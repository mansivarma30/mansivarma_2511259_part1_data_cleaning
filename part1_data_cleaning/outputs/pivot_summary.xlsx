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sana-my.sharepoint.com/personal/mansi_varma_eversana_com/Documents/Mansi/BITSoM/Capstone Project/part1_data_cleaning/outputs/"/>
    </mc:Choice>
  </mc:AlternateContent>
  <xr:revisionPtr revIDLastSave="71" documentId="8_{A991888F-2030-4560-894F-2BED062EFD52}" xr6:coauthVersionLast="47" xr6:coauthVersionMax="47" xr10:uidLastSave="{A88702A1-4E46-4BE1-9189-97792B5613B1}"/>
  <bookViews>
    <workbookView xWindow="-110" yWindow="-110" windowWidth="19420" windowHeight="10300" xr2:uid="{79E6957D-235F-4E92-95E9-0549F69FD54C}"/>
  </bookViews>
  <sheets>
    <sheet name="Handle duplicates" sheetId="2" r:id="rId1"/>
    <sheet name="Data Quality Report" sheetId="1" r:id="rId2"/>
  </sheets>
  <definedNames>
    <definedName name="_xlnm._FilterDatabase" localSheetId="0" hidden="1">'Handle duplicates'!$A$1:$Y$933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2" i="2"/>
  <c r="W932" i="2" l="1"/>
  <c r="W924" i="2"/>
  <c r="W916" i="2"/>
  <c r="W908" i="2"/>
  <c r="W844" i="2"/>
  <c r="W811" i="2"/>
  <c r="W884" i="2"/>
  <c r="W852" i="2"/>
  <c r="W820" i="2"/>
  <c r="W788" i="2"/>
  <c r="W684" i="2"/>
  <c r="W652" i="2"/>
  <c r="W620" i="2"/>
  <c r="W588" i="2"/>
  <c r="W564" i="2"/>
  <c r="W344" i="2"/>
  <c r="W532" i="2"/>
  <c r="W484" i="2"/>
  <c r="W436" i="2"/>
  <c r="W404" i="2"/>
  <c r="W372" i="2"/>
  <c r="W340" i="2"/>
  <c r="W292" i="2"/>
  <c r="W260" i="2"/>
  <c r="W220" i="2"/>
  <c r="W196" i="2"/>
  <c r="W156" i="2"/>
  <c r="W132" i="2"/>
  <c r="W92" i="2"/>
  <c r="W68" i="2"/>
  <c r="W36" i="2"/>
  <c r="W12" i="2"/>
  <c r="W923" i="2"/>
  <c r="W891" i="2"/>
  <c r="W867" i="2"/>
  <c r="W827" i="2"/>
  <c r="W168" i="2"/>
  <c r="W876" i="2"/>
  <c r="W756" i="2"/>
  <c r="W724" i="2"/>
  <c r="W692" i="2"/>
  <c r="W660" i="2"/>
  <c r="W628" i="2"/>
  <c r="W596" i="2"/>
  <c r="W548" i="2"/>
  <c r="W228" i="2"/>
  <c r="W204" i="2"/>
  <c r="W164" i="2"/>
  <c r="W84" i="2"/>
  <c r="W933" i="2"/>
  <c r="W925" i="2"/>
  <c r="W917" i="2"/>
  <c r="W909" i="2"/>
  <c r="W901" i="2"/>
  <c r="W893" i="2"/>
  <c r="W885" i="2"/>
  <c r="W877" i="2"/>
  <c r="W869" i="2"/>
  <c r="W861" i="2"/>
  <c r="W853" i="2"/>
  <c r="W845" i="2"/>
  <c r="W837" i="2"/>
  <c r="W829" i="2"/>
  <c r="W821" i="2"/>
  <c r="W900" i="2"/>
  <c r="W868" i="2"/>
  <c r="W836" i="2"/>
  <c r="W804" i="2"/>
  <c r="W772" i="2"/>
  <c r="W740" i="2"/>
  <c r="W708" i="2"/>
  <c r="W636" i="2"/>
  <c r="W604" i="2"/>
  <c r="W516" i="2"/>
  <c r="W468" i="2"/>
  <c r="W420" i="2"/>
  <c r="W284" i="2"/>
  <c r="W907" i="2"/>
  <c r="W875" i="2"/>
  <c r="W843" i="2"/>
  <c r="W819" i="2"/>
  <c r="W779" i="2"/>
  <c r="W763" i="2"/>
  <c r="W892" i="2"/>
  <c r="W860" i="2"/>
  <c r="W828" i="2"/>
  <c r="W796" i="2"/>
  <c r="W764" i="2"/>
  <c r="W732" i="2"/>
  <c r="W700" i="2"/>
  <c r="W668" i="2"/>
  <c r="W572" i="2"/>
  <c r="W524" i="2"/>
  <c r="W476" i="2"/>
  <c r="W452" i="2"/>
  <c r="W412" i="2"/>
  <c r="W388" i="2"/>
  <c r="W332" i="2"/>
  <c r="W324" i="2"/>
  <c r="W268" i="2"/>
  <c r="W180" i="2"/>
  <c r="W148" i="2"/>
  <c r="W116" i="2"/>
  <c r="W76" i="2"/>
  <c r="W52" i="2"/>
  <c r="W20" i="2"/>
  <c r="W931" i="2"/>
  <c r="W899" i="2"/>
  <c r="W859" i="2"/>
  <c r="W835" i="2"/>
  <c r="W803" i="2"/>
  <c r="W787" i="2"/>
  <c r="W771" i="2"/>
  <c r="W755" i="2"/>
  <c r="W747" i="2"/>
  <c r="W715" i="2"/>
  <c r="W812" i="2"/>
  <c r="W780" i="2"/>
  <c r="W748" i="2"/>
  <c r="W716" i="2"/>
  <c r="W676" i="2"/>
  <c r="W644" i="2"/>
  <c r="W612" i="2"/>
  <c r="W580" i="2"/>
  <c r="W540" i="2"/>
  <c r="W500" i="2"/>
  <c r="W460" i="2"/>
  <c r="W396" i="2"/>
  <c r="W356" i="2"/>
  <c r="W348" i="2"/>
  <c r="W308" i="2"/>
  <c r="W276" i="2"/>
  <c r="W244" i="2"/>
  <c r="W212" i="2"/>
  <c r="W140" i="2"/>
  <c r="W100" i="2"/>
  <c r="W28" i="2"/>
  <c r="W4" i="2"/>
  <c r="W915" i="2"/>
  <c r="W883" i="2"/>
  <c r="W851" i="2"/>
  <c r="W795" i="2"/>
  <c r="W905" i="2"/>
  <c r="W873" i="2"/>
  <c r="W841" i="2"/>
  <c r="W777" i="2"/>
  <c r="W745" i="2"/>
  <c r="W713" i="2"/>
  <c r="W683" i="2"/>
  <c r="W739" i="2"/>
  <c r="W699" i="2"/>
  <c r="W643" i="2"/>
  <c r="W611" i="2"/>
  <c r="W555" i="2"/>
  <c r="W523" i="2"/>
  <c r="W491" i="2"/>
  <c r="W459" i="2"/>
  <c r="W427" i="2"/>
  <c r="W403" i="2"/>
  <c r="W371" i="2"/>
  <c r="W323" i="2"/>
  <c r="W315" i="2"/>
  <c r="W307" i="2"/>
  <c r="W283" i="2"/>
  <c r="W275" i="2"/>
  <c r="W267" i="2"/>
  <c r="W259" i="2"/>
  <c r="W251" i="2"/>
  <c r="W243" i="2"/>
  <c r="W235" i="2"/>
  <c r="W227" i="2"/>
  <c r="W219" i="2"/>
  <c r="W211" i="2"/>
  <c r="W203" i="2"/>
  <c r="W195" i="2"/>
  <c r="W187" i="2"/>
  <c r="W179" i="2"/>
  <c r="W809" i="2"/>
  <c r="W680" i="2"/>
  <c r="W338" i="2"/>
  <c r="W731" i="2"/>
  <c r="W691" i="2"/>
  <c r="W659" i="2"/>
  <c r="W619" i="2"/>
  <c r="W595" i="2"/>
  <c r="W563" i="2"/>
  <c r="W539" i="2"/>
  <c r="W507" i="2"/>
  <c r="W467" i="2"/>
  <c r="W443" i="2"/>
  <c r="W395" i="2"/>
  <c r="W379" i="2"/>
  <c r="W355" i="2"/>
  <c r="W331" i="2"/>
  <c r="W291" i="2"/>
  <c r="W922" i="2"/>
  <c r="W906" i="2"/>
  <c r="W890" i="2"/>
  <c r="W874" i="2"/>
  <c r="W866" i="2"/>
  <c r="W858" i="2"/>
  <c r="W842" i="2"/>
  <c r="W834" i="2"/>
  <c r="W826" i="2"/>
  <c r="W818" i="2"/>
  <c r="W810" i="2"/>
  <c r="W802" i="2"/>
  <c r="W794" i="2"/>
  <c r="W786" i="2"/>
  <c r="W778" i="2"/>
  <c r="W770" i="2"/>
  <c r="W762" i="2"/>
  <c r="W754" i="2"/>
  <c r="W746" i="2"/>
  <c r="W738" i="2"/>
  <c r="W730" i="2"/>
  <c r="W658" i="2"/>
  <c r="W642" i="2"/>
  <c r="W578" i="2"/>
  <c r="W600" i="2"/>
  <c r="W258" i="2"/>
  <c r="W929" i="2"/>
  <c r="W921" i="2"/>
  <c r="W913" i="2"/>
  <c r="W897" i="2"/>
  <c r="W889" i="2"/>
  <c r="W881" i="2"/>
  <c r="W865" i="2"/>
  <c r="W857" i="2"/>
  <c r="W849" i="2"/>
  <c r="W833" i="2"/>
  <c r="W825" i="2"/>
  <c r="W817" i="2"/>
  <c r="W801" i="2"/>
  <c r="W793" i="2"/>
  <c r="W785" i="2"/>
  <c r="W769" i="2"/>
  <c r="W761" i="2"/>
  <c r="W753" i="2"/>
  <c r="W737" i="2"/>
  <c r="W729" i="2"/>
  <c r="W721" i="2"/>
  <c r="W705" i="2"/>
  <c r="W697" i="2"/>
  <c r="W689" i="2"/>
  <c r="W681" i="2"/>
  <c r="W673" i="2"/>
  <c r="W665" i="2"/>
  <c r="W657" i="2"/>
  <c r="W649" i="2"/>
  <c r="W641" i="2"/>
  <c r="W633" i="2"/>
  <c r="W625" i="2"/>
  <c r="W617" i="2"/>
  <c r="W609" i="2"/>
  <c r="W601" i="2"/>
  <c r="W593" i="2"/>
  <c r="W585" i="2"/>
  <c r="W594" i="2"/>
  <c r="W252" i="2"/>
  <c r="W928" i="2"/>
  <c r="W920" i="2"/>
  <c r="W912" i="2"/>
  <c r="W904" i="2"/>
  <c r="W896" i="2"/>
  <c r="W888" i="2"/>
  <c r="W880" i="2"/>
  <c r="W872" i="2"/>
  <c r="W864" i="2"/>
  <c r="W856" i="2"/>
  <c r="W848" i="2"/>
  <c r="W840" i="2"/>
  <c r="W832" i="2"/>
  <c r="W824" i="2"/>
  <c r="W816" i="2"/>
  <c r="W808" i="2"/>
  <c r="W800" i="2"/>
  <c r="W792" i="2"/>
  <c r="W784" i="2"/>
  <c r="W776" i="2"/>
  <c r="W768" i="2"/>
  <c r="W760" i="2"/>
  <c r="W752" i="2"/>
  <c r="W744" i="2"/>
  <c r="W736" i="2"/>
  <c r="W728" i="2"/>
  <c r="W720" i="2"/>
  <c r="W712" i="2"/>
  <c r="W704" i="2"/>
  <c r="W696" i="2"/>
  <c r="W688" i="2"/>
  <c r="W664" i="2"/>
  <c r="W616" i="2"/>
  <c r="W514" i="2"/>
  <c r="W172" i="2"/>
  <c r="W723" i="2"/>
  <c r="W667" i="2"/>
  <c r="W635" i="2"/>
  <c r="W603" i="2"/>
  <c r="W579" i="2"/>
  <c r="W547" i="2"/>
  <c r="W515" i="2"/>
  <c r="W483" i="2"/>
  <c r="W451" i="2"/>
  <c r="W419" i="2"/>
  <c r="W347" i="2"/>
  <c r="W919" i="2"/>
  <c r="W847" i="2"/>
  <c r="W791" i="2"/>
  <c r="W783" i="2"/>
  <c r="W767" i="2"/>
  <c r="W759" i="2"/>
  <c r="W751" i="2"/>
  <c r="W743" i="2"/>
  <c r="W735" i="2"/>
  <c r="W727" i="2"/>
  <c r="W719" i="2"/>
  <c r="W711" i="2"/>
  <c r="W703" i="2"/>
  <c r="W695" i="2"/>
  <c r="W687" i="2"/>
  <c r="W679" i="2"/>
  <c r="W671" i="2"/>
  <c r="W663" i="2"/>
  <c r="W655" i="2"/>
  <c r="W647" i="2"/>
  <c r="W639" i="2"/>
  <c r="W631" i="2"/>
  <c r="W623" i="2"/>
  <c r="W615" i="2"/>
  <c r="W607" i="2"/>
  <c r="W599" i="2"/>
  <c r="W591" i="2"/>
  <c r="W583" i="2"/>
  <c r="W575" i="2"/>
  <c r="W567" i="2"/>
  <c r="W559" i="2"/>
  <c r="W551" i="2"/>
  <c r="W543" i="2"/>
  <c r="W535" i="2"/>
  <c r="W527" i="2"/>
  <c r="W519" i="2"/>
  <c r="W511" i="2"/>
  <c r="W503" i="2"/>
  <c r="W495" i="2"/>
  <c r="W487" i="2"/>
  <c r="W479" i="2"/>
  <c r="W471" i="2"/>
  <c r="W463" i="2"/>
  <c r="W455" i="2"/>
  <c r="W447" i="2"/>
  <c r="W439" i="2"/>
  <c r="W431" i="2"/>
  <c r="W423" i="2"/>
  <c r="W415" i="2"/>
  <c r="W407" i="2"/>
  <c r="W399" i="2"/>
  <c r="W391" i="2"/>
  <c r="W383" i="2"/>
  <c r="W375" i="2"/>
  <c r="W367" i="2"/>
  <c r="W508" i="2"/>
  <c r="W707" i="2"/>
  <c r="W675" i="2"/>
  <c r="W651" i="2"/>
  <c r="W627" i="2"/>
  <c r="W587" i="2"/>
  <c r="W571" i="2"/>
  <c r="W531" i="2"/>
  <c r="W499" i="2"/>
  <c r="W475" i="2"/>
  <c r="W435" i="2"/>
  <c r="W411" i="2"/>
  <c r="W387" i="2"/>
  <c r="W363" i="2"/>
  <c r="W339" i="2"/>
  <c r="W299" i="2"/>
  <c r="W930" i="2"/>
  <c r="W914" i="2"/>
  <c r="W898" i="2"/>
  <c r="W882" i="2"/>
  <c r="W850" i="2"/>
  <c r="W927" i="2"/>
  <c r="W911" i="2"/>
  <c r="W903" i="2"/>
  <c r="W895" i="2"/>
  <c r="W887" i="2"/>
  <c r="W879" i="2"/>
  <c r="W871" i="2"/>
  <c r="W863" i="2"/>
  <c r="W855" i="2"/>
  <c r="W839" i="2"/>
  <c r="W831" i="2"/>
  <c r="W823" i="2"/>
  <c r="W815" i="2"/>
  <c r="W807" i="2"/>
  <c r="W799" i="2"/>
  <c r="W775" i="2"/>
  <c r="W2" i="2"/>
  <c r="W18" i="2"/>
  <c r="W104" i="2"/>
  <c r="W188" i="2"/>
  <c r="W274" i="2"/>
  <c r="W360" i="2"/>
  <c r="W444" i="2"/>
  <c r="W530" i="2"/>
  <c r="W24" i="2"/>
  <c r="W108" i="2"/>
  <c r="W194" i="2"/>
  <c r="W280" i="2"/>
  <c r="W364" i="2"/>
  <c r="W450" i="2"/>
  <c r="W536" i="2"/>
  <c r="W40" i="2"/>
  <c r="W124" i="2"/>
  <c r="W210" i="2"/>
  <c r="W296" i="2"/>
  <c r="W380" i="2"/>
  <c r="W466" i="2"/>
  <c r="W552" i="2"/>
  <c r="W44" i="2"/>
  <c r="W130" i="2"/>
  <c r="W216" i="2"/>
  <c r="W300" i="2"/>
  <c r="W386" i="2"/>
  <c r="W472" i="2"/>
  <c r="W556" i="2"/>
  <c r="W60" i="2"/>
  <c r="W146" i="2"/>
  <c r="W232" i="2"/>
  <c r="W316" i="2"/>
  <c r="W402" i="2"/>
  <c r="W488" i="2"/>
  <c r="W66" i="2"/>
  <c r="W152" i="2"/>
  <c r="W236" i="2"/>
  <c r="W322" i="2"/>
  <c r="W408" i="2"/>
  <c r="W492" i="2"/>
  <c r="W926" i="2"/>
  <c r="W918" i="2"/>
  <c r="W910" i="2"/>
  <c r="W902" i="2"/>
  <c r="W894" i="2"/>
  <c r="W886" i="2"/>
  <c r="W878" i="2"/>
  <c r="W870" i="2"/>
  <c r="W862" i="2"/>
  <c r="W854" i="2"/>
  <c r="W846" i="2"/>
  <c r="W838" i="2"/>
  <c r="W830" i="2"/>
  <c r="W822" i="2"/>
  <c r="W814" i="2"/>
  <c r="W806" i="2"/>
  <c r="W798" i="2"/>
  <c r="W790" i="2"/>
  <c r="W782" i="2"/>
  <c r="W774" i="2"/>
  <c r="W766" i="2"/>
  <c r="W758" i="2"/>
  <c r="W750" i="2"/>
  <c r="W742" i="2"/>
  <c r="W734" i="2"/>
  <c r="W726" i="2"/>
  <c r="W718" i="2"/>
  <c r="W710" i="2"/>
  <c r="W702" i="2"/>
  <c r="W694" i="2"/>
  <c r="W686" i="2"/>
  <c r="W678" i="2"/>
  <c r="W670" i="2"/>
  <c r="W662" i="2"/>
  <c r="W654" i="2"/>
  <c r="W646" i="2"/>
  <c r="W638" i="2"/>
  <c r="W630" i="2"/>
  <c r="W622" i="2"/>
  <c r="W614" i="2"/>
  <c r="W606" i="2"/>
  <c r="W598" i="2"/>
  <c r="W590" i="2"/>
  <c r="W582" i="2"/>
  <c r="W574" i="2"/>
  <c r="W428" i="2"/>
  <c r="W88" i="2"/>
  <c r="W813" i="2"/>
  <c r="W805" i="2"/>
  <c r="W797" i="2"/>
  <c r="W789" i="2"/>
  <c r="W781" i="2"/>
  <c r="W773" i="2"/>
  <c r="W765" i="2"/>
  <c r="W757" i="2"/>
  <c r="W749" i="2"/>
  <c r="W741" i="2"/>
  <c r="W733" i="2"/>
  <c r="W725" i="2"/>
  <c r="W717" i="2"/>
  <c r="W709" i="2"/>
  <c r="W701" i="2"/>
  <c r="W693" i="2"/>
  <c r="W685" i="2"/>
  <c r="W677" i="2"/>
  <c r="W669" i="2"/>
  <c r="W661" i="2"/>
  <c r="W653" i="2"/>
  <c r="W645" i="2"/>
  <c r="W637" i="2"/>
  <c r="W629" i="2"/>
  <c r="W621" i="2"/>
  <c r="W613" i="2"/>
  <c r="W605" i="2"/>
  <c r="W597" i="2"/>
  <c r="W589" i="2"/>
  <c r="W581" i="2"/>
  <c r="W573" i="2"/>
  <c r="W565" i="2"/>
  <c r="W557" i="2"/>
  <c r="W549" i="2"/>
  <c r="W541" i="2"/>
  <c r="W533" i="2"/>
  <c r="W525" i="2"/>
  <c r="W517" i="2"/>
  <c r="W509" i="2"/>
  <c r="W501" i="2"/>
  <c r="W493" i="2"/>
  <c r="W485" i="2"/>
  <c r="W477" i="2"/>
  <c r="W469" i="2"/>
  <c r="W461" i="2"/>
  <c r="W453" i="2"/>
  <c r="W445" i="2"/>
  <c r="W437" i="2"/>
  <c r="W429" i="2"/>
  <c r="W421" i="2"/>
  <c r="W413" i="2"/>
  <c r="W405" i="2"/>
  <c r="W397" i="2"/>
  <c r="W389" i="2"/>
  <c r="W381" i="2"/>
  <c r="W373" i="2"/>
  <c r="W365" i="2"/>
  <c r="W424" i="2"/>
  <c r="W82" i="2"/>
  <c r="W722" i="2"/>
  <c r="W714" i="2"/>
  <c r="W706" i="2"/>
  <c r="W698" i="2"/>
  <c r="W690" i="2"/>
  <c r="W682" i="2"/>
  <c r="W674" i="2"/>
  <c r="W666" i="2"/>
  <c r="W650" i="2"/>
  <c r="W634" i="2"/>
  <c r="W626" i="2"/>
  <c r="W618" i="2"/>
  <c r="W610" i="2"/>
  <c r="W602" i="2"/>
  <c r="W586" i="2"/>
  <c r="W570" i="2"/>
  <c r="W562" i="2"/>
  <c r="W554" i="2"/>
  <c r="W546" i="2"/>
  <c r="W538" i="2"/>
  <c r="W522" i="2"/>
  <c r="W506" i="2"/>
  <c r="W498" i="2"/>
  <c r="W490" i="2"/>
  <c r="W482" i="2"/>
  <c r="W474" i="2"/>
  <c r="W458" i="2"/>
  <c r="W442" i="2"/>
  <c r="W434" i="2"/>
  <c r="W426" i="2"/>
  <c r="W418" i="2"/>
  <c r="W410" i="2"/>
  <c r="W394" i="2"/>
  <c r="W378" i="2"/>
  <c r="W370" i="2"/>
  <c r="W362" i="2"/>
  <c r="W354" i="2"/>
  <c r="W346" i="2"/>
  <c r="W330" i="2"/>
  <c r="W314" i="2"/>
  <c r="W306" i="2"/>
  <c r="W298" i="2"/>
  <c r="W290" i="2"/>
  <c r="W282" i="2"/>
  <c r="W266" i="2"/>
  <c r="W250" i="2"/>
  <c r="W242" i="2"/>
  <c r="W234" i="2"/>
  <c r="W226" i="2"/>
  <c r="W218" i="2"/>
  <c r="W202" i="2"/>
  <c r="W186" i="2"/>
  <c r="W178" i="2"/>
  <c r="W170" i="2"/>
  <c r="W162" i="2"/>
  <c r="W154" i="2"/>
  <c r="W138" i="2"/>
  <c r="W122" i="2"/>
  <c r="W114" i="2"/>
  <c r="W106" i="2"/>
  <c r="W98" i="2"/>
  <c r="W90" i="2"/>
  <c r="W74" i="2"/>
  <c r="W58" i="2"/>
  <c r="W50" i="2"/>
  <c r="W42" i="2"/>
  <c r="W34" i="2"/>
  <c r="W26" i="2"/>
  <c r="W10" i="2"/>
  <c r="W577" i="2"/>
  <c r="W569" i="2"/>
  <c r="W561" i="2"/>
  <c r="W553" i="2"/>
  <c r="W545" i="2"/>
  <c r="W537" i="2"/>
  <c r="W529" i="2"/>
  <c r="W521" i="2"/>
  <c r="W513" i="2"/>
  <c r="W505" i="2"/>
  <c r="W497" i="2"/>
  <c r="W489" i="2"/>
  <c r="W481" i="2"/>
  <c r="W473" i="2"/>
  <c r="W465" i="2"/>
  <c r="W457" i="2"/>
  <c r="W449" i="2"/>
  <c r="W441" i="2"/>
  <c r="W433" i="2"/>
  <c r="W425" i="2"/>
  <c r="W417" i="2"/>
  <c r="W409" i="2"/>
  <c r="W401" i="2"/>
  <c r="W393" i="2"/>
  <c r="W385" i="2"/>
  <c r="W377" i="2"/>
  <c r="W369" i="2"/>
  <c r="W361" i="2"/>
  <c r="W353" i="2"/>
  <c r="W345" i="2"/>
  <c r="W337" i="2"/>
  <c r="W329" i="2"/>
  <c r="W321" i="2"/>
  <c r="W313" i="2"/>
  <c r="W305" i="2"/>
  <c r="W297" i="2"/>
  <c r="W289" i="2"/>
  <c r="W281" i="2"/>
  <c r="W273" i="2"/>
  <c r="W265" i="2"/>
  <c r="W257" i="2"/>
  <c r="W249" i="2"/>
  <c r="W241" i="2"/>
  <c r="W233" i="2"/>
  <c r="W225" i="2"/>
  <c r="W217" i="2"/>
  <c r="W209" i="2"/>
  <c r="W201" i="2"/>
  <c r="W193" i="2"/>
  <c r="W185" i="2"/>
  <c r="W177" i="2"/>
  <c r="W672" i="2"/>
  <c r="W656" i="2"/>
  <c r="W648" i="2"/>
  <c r="W640" i="2"/>
  <c r="W632" i="2"/>
  <c r="W624" i="2"/>
  <c r="W608" i="2"/>
  <c r="W592" i="2"/>
  <c r="W584" i="2"/>
  <c r="W576" i="2"/>
  <c r="W568" i="2"/>
  <c r="W560" i="2"/>
  <c r="W544" i="2"/>
  <c r="W528" i="2"/>
  <c r="W520" i="2"/>
  <c r="W512" i="2"/>
  <c r="W504" i="2"/>
  <c r="W496" i="2"/>
  <c r="W480" i="2"/>
  <c r="W464" i="2"/>
  <c r="W456" i="2"/>
  <c r="W448" i="2"/>
  <c r="W440" i="2"/>
  <c r="W432" i="2"/>
  <c r="W416" i="2"/>
  <c r="W400" i="2"/>
  <c r="W392" i="2"/>
  <c r="W384" i="2"/>
  <c r="W376" i="2"/>
  <c r="W368" i="2"/>
  <c r="W352" i="2"/>
  <c r="W336" i="2"/>
  <c r="W328" i="2"/>
  <c r="W320" i="2"/>
  <c r="W312" i="2"/>
  <c r="W304" i="2"/>
  <c r="W288" i="2"/>
  <c r="W272" i="2"/>
  <c r="W264" i="2"/>
  <c r="W256" i="2"/>
  <c r="W248" i="2"/>
  <c r="W240" i="2"/>
  <c r="W224" i="2"/>
  <c r="W208" i="2"/>
  <c r="W200" i="2"/>
  <c r="W192" i="2"/>
  <c r="W184" i="2"/>
  <c r="W176" i="2"/>
  <c r="W160" i="2"/>
  <c r="W144" i="2"/>
  <c r="W136" i="2"/>
  <c r="W128" i="2"/>
  <c r="W120" i="2"/>
  <c r="W112" i="2"/>
  <c r="W96" i="2"/>
  <c r="W80" i="2"/>
  <c r="W72" i="2"/>
  <c r="W64" i="2"/>
  <c r="W56" i="2"/>
  <c r="W48" i="2"/>
  <c r="W32" i="2"/>
  <c r="W16" i="2"/>
  <c r="W8" i="2"/>
  <c r="W359" i="2"/>
  <c r="W351" i="2"/>
  <c r="W343" i="2"/>
  <c r="W335" i="2"/>
  <c r="W327" i="2"/>
  <c r="W319" i="2"/>
  <c r="W311" i="2"/>
  <c r="W303" i="2"/>
  <c r="W295" i="2"/>
  <c r="W287" i="2"/>
  <c r="W279" i="2"/>
  <c r="W271" i="2"/>
  <c r="W263" i="2"/>
  <c r="W255" i="2"/>
  <c r="W247" i="2"/>
  <c r="W239" i="2"/>
  <c r="W231" i="2"/>
  <c r="W223" i="2"/>
  <c r="W215" i="2"/>
  <c r="W207" i="2"/>
  <c r="W199" i="2"/>
  <c r="W191" i="2"/>
  <c r="W183" i="2"/>
  <c r="W175" i="2"/>
  <c r="W167" i="2"/>
  <c r="W159" i="2"/>
  <c r="W151" i="2"/>
  <c r="W143" i="2"/>
  <c r="W135" i="2"/>
  <c r="W127" i="2"/>
  <c r="W119" i="2"/>
  <c r="W111" i="2"/>
  <c r="W103" i="2"/>
  <c r="W95" i="2"/>
  <c r="W87" i="2"/>
  <c r="W79" i="2"/>
  <c r="W71" i="2"/>
  <c r="W63" i="2"/>
  <c r="W55" i="2"/>
  <c r="W47" i="2"/>
  <c r="W39" i="2"/>
  <c r="W31" i="2"/>
  <c r="W23" i="2"/>
  <c r="W15" i="2"/>
  <c r="W7" i="2"/>
  <c r="W566" i="2"/>
  <c r="W558" i="2"/>
  <c r="W550" i="2"/>
  <c r="W542" i="2"/>
  <c r="W534" i="2"/>
  <c r="W526" i="2"/>
  <c r="W518" i="2"/>
  <c r="W510" i="2"/>
  <c r="W502" i="2"/>
  <c r="W494" i="2"/>
  <c r="W486" i="2"/>
  <c r="W478" i="2"/>
  <c r="W470" i="2"/>
  <c r="W462" i="2"/>
  <c r="W454" i="2"/>
  <c r="W446" i="2"/>
  <c r="W438" i="2"/>
  <c r="W430" i="2"/>
  <c r="W422" i="2"/>
  <c r="W414" i="2"/>
  <c r="W406" i="2"/>
  <c r="W398" i="2"/>
  <c r="W390" i="2"/>
  <c r="W382" i="2"/>
  <c r="W374" i="2"/>
  <c r="W366" i="2"/>
  <c r="W358" i="2"/>
  <c r="W350" i="2"/>
  <c r="W342" i="2"/>
  <c r="W334" i="2"/>
  <c r="W326" i="2"/>
  <c r="W318" i="2"/>
  <c r="W310" i="2"/>
  <c r="W302" i="2"/>
  <c r="W294" i="2"/>
  <c r="W286" i="2"/>
  <c r="W278" i="2"/>
  <c r="W270" i="2"/>
  <c r="W262" i="2"/>
  <c r="W254" i="2"/>
  <c r="W246" i="2"/>
  <c r="W238" i="2"/>
  <c r="W230" i="2"/>
  <c r="W222" i="2"/>
  <c r="W214" i="2"/>
  <c r="W206" i="2"/>
  <c r="W198" i="2"/>
  <c r="W190" i="2"/>
  <c r="W182" i="2"/>
  <c r="W357" i="2"/>
  <c r="W349" i="2"/>
  <c r="W341" i="2"/>
  <c r="W333" i="2"/>
  <c r="W325" i="2"/>
  <c r="W317" i="2"/>
  <c r="W309" i="2"/>
  <c r="W301" i="2"/>
  <c r="W293" i="2"/>
  <c r="W285" i="2"/>
  <c r="W277" i="2"/>
  <c r="W269" i="2"/>
  <c r="W261" i="2"/>
  <c r="W253" i="2"/>
  <c r="W245" i="2"/>
  <c r="W237" i="2"/>
  <c r="W229" i="2"/>
  <c r="W221" i="2"/>
  <c r="W213" i="2"/>
  <c r="W205" i="2"/>
  <c r="W197" i="2"/>
  <c r="W189" i="2"/>
  <c r="W181" i="2"/>
  <c r="W173" i="2"/>
  <c r="W165" i="2"/>
  <c r="W157" i="2"/>
  <c r="W149" i="2"/>
  <c r="W141" i="2"/>
  <c r="W133" i="2"/>
  <c r="W125" i="2"/>
  <c r="W117" i="2"/>
  <c r="W109" i="2"/>
  <c r="W101" i="2"/>
  <c r="W93" i="2"/>
  <c r="W85" i="2"/>
  <c r="W77" i="2"/>
  <c r="W69" i="2"/>
  <c r="W61" i="2"/>
  <c r="W53" i="2"/>
  <c r="W45" i="2"/>
  <c r="W37" i="2"/>
  <c r="W29" i="2"/>
  <c r="W21" i="2"/>
  <c r="W13" i="2"/>
  <c r="W5" i="2"/>
  <c r="W174" i="2"/>
  <c r="W166" i="2"/>
  <c r="W158" i="2"/>
  <c r="W150" i="2"/>
  <c r="W142" i="2"/>
  <c r="W134" i="2"/>
  <c r="W126" i="2"/>
  <c r="W118" i="2"/>
  <c r="W110" i="2"/>
  <c r="W102" i="2"/>
  <c r="W94" i="2"/>
  <c r="W86" i="2"/>
  <c r="W78" i="2"/>
  <c r="W70" i="2"/>
  <c r="W62" i="2"/>
  <c r="W54" i="2"/>
  <c r="W46" i="2"/>
  <c r="W38" i="2"/>
  <c r="W30" i="2"/>
  <c r="W22" i="2"/>
  <c r="W14" i="2"/>
  <c r="W6" i="2"/>
  <c r="W171" i="2"/>
  <c r="W163" i="2"/>
  <c r="W155" i="2"/>
  <c r="W147" i="2"/>
  <c r="W139" i="2"/>
  <c r="W131" i="2"/>
  <c r="W123" i="2"/>
  <c r="W115" i="2"/>
  <c r="W107" i="2"/>
  <c r="W99" i="2"/>
  <c r="W91" i="2"/>
  <c r="W83" i="2"/>
  <c r="W75" i="2"/>
  <c r="W67" i="2"/>
  <c r="W59" i="2"/>
  <c r="W51" i="2"/>
  <c r="W43" i="2"/>
  <c r="W35" i="2"/>
  <c r="W27" i="2"/>
  <c r="W19" i="2"/>
  <c r="W11" i="2"/>
  <c r="W3" i="2"/>
  <c r="W169" i="2"/>
  <c r="W161" i="2"/>
  <c r="W153" i="2"/>
  <c r="W145" i="2"/>
  <c r="W137" i="2"/>
  <c r="W129" i="2"/>
  <c r="W121" i="2"/>
  <c r="W113" i="2"/>
  <c r="W105" i="2"/>
  <c r="W97" i="2"/>
  <c r="W89" i="2"/>
  <c r="W81" i="2"/>
  <c r="W73" i="2"/>
  <c r="W65" i="2"/>
  <c r="W57" i="2"/>
  <c r="W49" i="2"/>
  <c r="W41" i="2"/>
  <c r="W33" i="2"/>
  <c r="W25" i="2"/>
  <c r="W17" i="2"/>
  <c r="W9" i="2"/>
</calcChain>
</file>

<file path=xl/sharedStrings.xml><?xml version="1.0" encoding="utf-8"?>
<sst xmlns="http://schemas.openxmlformats.org/spreadsheetml/2006/main" count="14035" uniqueCount="4100">
  <si>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</si>
  <si>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</si>
  <si>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</si>
  <si>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</si>
  <si>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</si>
  <si>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</si>
  <si>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</si>
  <si>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</si>
  <si>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</si>
  <si>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</si>
  <si>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</si>
  <si>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</si>
  <si>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</si>
  <si>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</si>
  <si>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</si>
  <si>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</si>
  <si>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</si>
  <si>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</si>
  <si>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</si>
  <si>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</si>
  <si>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</si>
  <si>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</si>
  <si>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</si>
  <si>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</si>
  <si>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</si>
  <si>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</si>
  <si>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</si>
  <si>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</si>
  <si>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</si>
  <si>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</si>
  <si>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</si>
  <si>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</si>
  <si>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</si>
  <si>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</si>
  <si>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</si>
  <si>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</si>
  <si>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</si>
  <si>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</si>
  <si>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</si>
  <si>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</si>
  <si>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</si>
  <si>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</si>
  <si>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</si>
  <si>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</si>
  <si>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</si>
  <si>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</si>
  <si>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</si>
  <si>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</si>
  <si>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</si>
  <si>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</si>
  <si>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</si>
  <si>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</si>
  <si>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</si>
  <si>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</si>
  <si>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</si>
  <si>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</si>
  <si>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</si>
  <si>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</si>
  <si>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</si>
  <si>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</si>
  <si>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</si>
  <si>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</si>
  <si>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</si>
  <si>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</si>
  <si>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</si>
  <si>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</si>
  <si>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</si>
  <si>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</si>
  <si>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</si>
  <si>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</si>
  <si>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</si>
  <si>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</si>
  <si>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</si>
  <si>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</si>
  <si>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</si>
  <si>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</si>
  <si>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</si>
  <si>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</si>
  <si>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</si>
  <si>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</si>
  <si>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</si>
  <si>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</si>
  <si>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</si>
  <si>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</si>
  <si>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</si>
  <si>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</si>
  <si>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</si>
  <si>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</si>
  <si>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</si>
  <si>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</si>
  <si>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</si>
  <si>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</si>
  <si>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</si>
  <si>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</si>
  <si>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</si>
  <si>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</si>
  <si>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</si>
  <si>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</si>
  <si>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</si>
  <si>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</si>
  <si>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</si>
  <si>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</si>
  <si>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</si>
  <si>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</si>
  <si>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</si>
  <si>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</si>
  <si>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</si>
  <si>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</si>
  <si>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</si>
  <si>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</si>
  <si>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</si>
  <si>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</si>
  <si>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</si>
  <si>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</si>
  <si>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</si>
  <si>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</si>
  <si>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</si>
  <si>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</si>
  <si>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</si>
  <si>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</si>
  <si>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</si>
  <si>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</si>
  <si>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</si>
  <si>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</si>
  <si>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</si>
  <si>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</si>
  <si>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</si>
  <si>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</si>
  <si>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</si>
  <si>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</si>
  <si>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</si>
  <si>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</si>
  <si>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</si>
  <si>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</si>
  <si>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</si>
  <si>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</si>
  <si>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</si>
  <si>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</si>
  <si>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</si>
  <si>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</si>
  <si>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</si>
  <si>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</si>
  <si>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</si>
  <si>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</si>
  <si>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</si>
  <si>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</si>
  <si>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</si>
  <si>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</si>
  <si>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</si>
  <si>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</si>
  <si>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</si>
  <si>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</si>
  <si>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</si>
  <si>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</si>
  <si>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</si>
  <si>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</si>
  <si>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</si>
  <si>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</si>
  <si>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</si>
  <si>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</si>
  <si>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</si>
  <si>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</si>
  <si>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</si>
  <si>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</si>
  <si>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</si>
  <si>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</si>
  <si>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</si>
  <si>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</si>
  <si>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</si>
  <si>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</si>
  <si>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</si>
  <si>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</si>
  <si>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</si>
  <si>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</si>
  <si>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</si>
  <si>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</si>
  <si>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</si>
  <si>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</si>
  <si>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</si>
  <si>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</si>
  <si>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</si>
  <si>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</si>
  <si>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</si>
  <si>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</si>
  <si>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</si>
  <si>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</si>
  <si>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</si>
  <si>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</si>
  <si>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</si>
  <si>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</si>
  <si>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</si>
  <si>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</si>
  <si>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</si>
  <si>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</si>
  <si>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</si>
  <si>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</si>
  <si>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</si>
  <si>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</si>
  <si>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</si>
  <si>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</si>
  <si>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</si>
  <si>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</si>
  <si>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</si>
  <si>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</si>
  <si>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</si>
  <si>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</si>
  <si>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</si>
  <si>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</si>
  <si>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</si>
  <si>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</si>
  <si>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</si>
  <si>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</si>
  <si>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</si>
  <si>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</si>
  <si>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</si>
  <si>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</si>
  <si>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</si>
  <si>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</si>
  <si>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</si>
  <si>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</si>
  <si>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</si>
  <si>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</si>
  <si>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</si>
  <si>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</si>
  <si>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</si>
  <si>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</si>
  <si>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</si>
  <si>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</si>
  <si>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</si>
  <si>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</si>
  <si>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</si>
  <si>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</si>
  <si>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</si>
  <si>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</si>
  <si>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</si>
  <si>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</si>
  <si>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</si>
  <si>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</si>
  <si>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</si>
  <si>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</si>
  <si>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</si>
  <si>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</si>
  <si>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</si>
  <si>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</si>
  <si>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</si>
  <si>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</si>
  <si>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</si>
  <si>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</si>
  <si>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</si>
  <si>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</si>
  <si>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</si>
  <si>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</si>
  <si>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</si>
  <si>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</si>
  <si>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</si>
  <si>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</si>
  <si>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</si>
  <si>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</si>
  <si>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</si>
  <si>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</si>
  <si>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</si>
  <si>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</si>
  <si>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</si>
  <si>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</si>
  <si>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</si>
  <si>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</si>
  <si>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</si>
  <si>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</si>
  <si>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</si>
  <si>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</si>
  <si>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</si>
  <si>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</si>
  <si>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</si>
  <si>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</si>
  <si>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</si>
  <si>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</si>
  <si>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</si>
  <si>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</si>
  <si>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</si>
  <si>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</si>
  <si>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</si>
  <si>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</si>
  <si>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</si>
  <si>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</si>
  <si>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</si>
  <si>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</si>
  <si>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</si>
  <si>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</si>
  <si>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</si>
  <si>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</si>
  <si>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</si>
  <si>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</si>
  <si>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</si>
  <si>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</si>
  <si>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</si>
  <si>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</si>
  <si>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</si>
  <si>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</si>
  <si>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</si>
  <si>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</si>
  <si>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</si>
  <si>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</si>
  <si>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</si>
  <si>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</si>
  <si>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</si>
  <si>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</si>
  <si>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</si>
  <si>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</si>
  <si>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</si>
  <si>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</si>
  <si>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</si>
  <si>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</si>
  <si>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</si>
  <si>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</si>
  <si>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</si>
  <si>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</si>
  <si>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</si>
  <si>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</si>
  <si>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</si>
  <si>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</si>
  <si>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</si>
  <si>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</si>
  <si>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</si>
  <si>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</si>
  <si>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</si>
  <si>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</si>
  <si>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</si>
  <si>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</si>
  <si>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</si>
  <si>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</si>
  <si>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</si>
  <si>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</si>
  <si>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</si>
  <si>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</si>
  <si>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</si>
  <si>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</si>
  <si>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</si>
  <si>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</si>
  <si>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</si>
  <si>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</si>
  <si>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</si>
  <si>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</si>
  <si>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</si>
  <si>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</si>
  <si>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</si>
  <si>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</si>
  <si>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</si>
  <si>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</si>
  <si>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</si>
  <si>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</si>
  <si>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</si>
  <si>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</si>
  <si>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</si>
  <si>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</si>
  <si>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</si>
  <si>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</si>
  <si>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</si>
  <si>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</si>
  <si>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</si>
  <si>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</si>
  <si>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</si>
  <si>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</si>
  <si>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</si>
  <si>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</si>
  <si>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</si>
  <si>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</si>
  <si>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</si>
  <si>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</si>
  <si>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</si>
  <si>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</si>
  <si>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</si>
  <si>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</si>
  <si>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</si>
  <si>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</si>
  <si>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</si>
  <si>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</si>
  <si>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</si>
  <si>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</si>
  <si>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</si>
  <si>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</si>
  <si>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</si>
  <si>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</si>
  <si>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</si>
  <si>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</si>
  <si>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</si>
  <si>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</si>
  <si>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</si>
  <si>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</si>
  <si>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</si>
  <si>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</si>
  <si>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</si>
  <si>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</si>
  <si>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</si>
  <si>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</si>
  <si>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</si>
  <si>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</si>
  <si>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</si>
  <si>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</si>
  <si>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</si>
  <si>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</si>
  <si>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</si>
  <si>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</si>
  <si>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</si>
  <si>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</si>
  <si>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</si>
  <si>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</si>
  <si>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</si>
  <si>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</si>
  <si>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</si>
  <si>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</si>
  <si>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</si>
  <si>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</si>
  <si>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</si>
  <si>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</si>
  <si>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</si>
  <si>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</si>
  <si>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</si>
  <si>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</si>
  <si>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</si>
  <si>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</si>
  <si>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</si>
  <si>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</si>
  <si>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</si>
  <si>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</si>
  <si>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</si>
  <si>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</si>
  <si>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</si>
  <si>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</si>
  <si>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</si>
  <si>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</si>
  <si>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</si>
  <si>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</si>
  <si>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</si>
  <si>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</si>
  <si>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</si>
  <si>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</si>
  <si>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</si>
  <si>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</si>
  <si>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</si>
  <si>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</si>
  <si>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</si>
  <si>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</si>
  <si>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</si>
  <si>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</si>
  <si>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</si>
  <si>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</si>
  <si>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</si>
  <si>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</si>
  <si>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</si>
  <si>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</si>
  <si>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</si>
  <si>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</si>
  <si>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</si>
  <si>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</si>
  <si>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</si>
  <si>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</si>
  <si>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</si>
  <si>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</si>
  <si>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</si>
  <si>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</si>
  <si>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</si>
  <si>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</si>
  <si>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</si>
  <si>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</si>
  <si>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</si>
  <si>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</si>
  <si>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</si>
  <si>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</si>
  <si>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</si>
  <si>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</si>
  <si>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</si>
  <si>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</si>
  <si>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</si>
  <si>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</si>
  <si>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</si>
  <si>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</si>
  <si>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</si>
  <si>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</si>
  <si>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</si>
  <si>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</si>
  <si>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</si>
  <si>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</si>
  <si>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</si>
  <si>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</si>
  <si>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</si>
  <si>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</si>
  <si>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</si>
  <si>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</si>
  <si>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</si>
  <si>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</si>
  <si>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</si>
  <si>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</si>
  <si>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</si>
  <si>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</si>
  <si>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</si>
  <si>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</si>
  <si>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</si>
  <si>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</si>
  <si>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</si>
  <si>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</si>
  <si>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</si>
  <si>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</si>
  <si>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</si>
  <si>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</si>
  <si>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</si>
  <si>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</si>
  <si>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</si>
  <si>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</si>
  <si>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</si>
  <si>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</si>
  <si>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</si>
  <si>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</si>
  <si>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</si>
  <si>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</si>
  <si>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</si>
  <si>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</si>
  <si>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</si>
  <si>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</si>
  <si>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</si>
  <si>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</si>
  <si>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</si>
  <si>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</si>
  <si>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</si>
  <si>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</si>
  <si>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</si>
  <si>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</si>
  <si>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</si>
  <si>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</si>
  <si>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</si>
  <si>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</si>
  <si>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</si>
  <si>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</si>
  <si>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</si>
  <si>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</si>
  <si>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</si>
  <si>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</si>
  <si>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</si>
  <si>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</si>
  <si>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</si>
  <si>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</si>
  <si>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</si>
  <si>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</si>
  <si>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</si>
  <si>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</si>
  <si>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</si>
  <si>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</si>
  <si>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</si>
  <si>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</si>
  <si>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</si>
  <si>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</si>
  <si>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</si>
  <si>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</si>
  <si>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</si>
  <si>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</si>
  <si>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</si>
  <si>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</si>
  <si>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</si>
  <si>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</si>
  <si>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</si>
  <si>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</si>
  <si>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</si>
  <si>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</si>
  <si>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</si>
  <si>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</si>
  <si>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</si>
  <si>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</si>
  <si>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</si>
  <si>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</si>
  <si>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</si>
  <si>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</si>
  <si>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</si>
  <si>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</si>
  <si>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</si>
  <si>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</si>
  <si>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</si>
  <si>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</si>
  <si>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</si>
  <si>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</si>
  <si>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</si>
  <si>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</si>
  <si>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</si>
  <si>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</si>
  <si>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</si>
  <si>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</si>
  <si>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</si>
  <si>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</si>
  <si>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</si>
  <si>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</si>
  <si>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</si>
  <si>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</si>
  <si>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</si>
  <si>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</si>
  <si>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</si>
  <si>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</si>
  <si>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</si>
  <si>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</si>
  <si>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</si>
  <si>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</si>
  <si>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</si>
  <si>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</si>
  <si>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</si>
  <si>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</si>
  <si>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</si>
  <si>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</si>
  <si>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</si>
  <si>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</si>
  <si>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</si>
  <si>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</si>
  <si>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</si>
  <si>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</si>
  <si>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</si>
  <si>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</si>
  <si>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</si>
  <si>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</si>
  <si>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</si>
  <si>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</si>
  <si>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</si>
  <si>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</si>
  <si>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</si>
  <si>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</si>
  <si>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</si>
  <si>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</si>
  <si>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</si>
  <si>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</si>
  <si>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</si>
  <si>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</si>
  <si>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</si>
  <si>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</si>
  <si>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</si>
  <si>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</si>
  <si>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</si>
  <si>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</si>
  <si>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</si>
  <si>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</si>
  <si>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</si>
  <si>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</si>
  <si>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</si>
  <si>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</si>
  <si>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</si>
  <si>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</si>
  <si>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</si>
  <si>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</si>
  <si>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</si>
  <si>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</si>
  <si>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</si>
  <si>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</si>
  <si>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</si>
  <si>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</si>
  <si>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</si>
  <si>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</si>
  <si>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</si>
  <si>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</si>
  <si>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</si>
  <si>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</si>
  <si>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</si>
  <si>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</si>
  <si>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</si>
  <si>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</si>
  <si>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</si>
  <si>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</si>
  <si>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</si>
  <si>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</si>
  <si>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</si>
  <si>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</si>
  <si>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</si>
  <si>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</si>
  <si>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</si>
  <si>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</si>
  <si>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</si>
  <si>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</si>
  <si>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</si>
  <si>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</si>
  <si>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</si>
  <si>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</si>
  <si>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</si>
  <si>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</si>
  <si>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</si>
  <si>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</si>
  <si>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</si>
  <si>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</si>
  <si>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</si>
  <si>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</si>
  <si>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</si>
  <si>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</si>
  <si>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</si>
  <si>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</si>
  <si>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</si>
  <si>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</si>
  <si>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</si>
  <si>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</si>
  <si>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</si>
  <si>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</si>
  <si>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</si>
  <si>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</si>
  <si>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</si>
  <si>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</si>
  <si>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</si>
  <si>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</si>
  <si>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</si>
  <si>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</si>
  <si>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</si>
  <si>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</si>
  <si>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</si>
  <si>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</si>
  <si>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</si>
  <si>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</si>
  <si>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</si>
  <si>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</si>
  <si>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</si>
  <si>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</si>
  <si>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</si>
  <si>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</si>
  <si>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</si>
  <si>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</si>
  <si>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</si>
  <si>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</si>
  <si>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</si>
  <si>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</si>
  <si>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</si>
  <si>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</si>
  <si>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</si>
  <si>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</si>
  <si>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</si>
  <si>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</si>
  <si>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</si>
  <si>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</si>
  <si>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</si>
  <si>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</si>
  <si>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</si>
  <si>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</si>
  <si>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</si>
  <si>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</si>
  <si>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</si>
  <si>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</si>
  <si>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</si>
  <si>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</si>
  <si>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</si>
  <si>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</si>
  <si>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</si>
  <si>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</si>
  <si>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</si>
  <si>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</si>
  <si>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</si>
  <si>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</si>
  <si>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</si>
  <si>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</si>
  <si>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</si>
  <si>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</si>
  <si>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</si>
  <si>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</si>
  <si>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</si>
  <si>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</si>
  <si>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</si>
  <si>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</si>
  <si>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</si>
  <si>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</si>
  <si>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</si>
  <si>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</si>
  <si>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</si>
  <si>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</si>
  <si>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</si>
  <si>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</si>
  <si>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</si>
  <si>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</si>
  <si>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</si>
  <si>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</si>
  <si>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</si>
  <si>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</si>
  <si>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</si>
  <si>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</si>
  <si>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</si>
  <si>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</si>
  <si>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</si>
  <si>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</si>
  <si>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</si>
  <si>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</si>
  <si>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</si>
  <si>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</si>
  <si>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</si>
  <si>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</si>
  <si>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</si>
  <si>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</si>
  <si>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</si>
  <si>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</si>
  <si>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</si>
  <si>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</si>
  <si>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</si>
  <si>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</si>
  <si>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</si>
  <si>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</si>
  <si>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</si>
  <si>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</si>
  <si>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</si>
  <si>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</si>
  <si>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</si>
  <si>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</si>
  <si>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</si>
  <si>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</si>
  <si>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</si>
  <si>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</si>
  <si>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</si>
  <si>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</si>
  <si>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</si>
  <si>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</si>
  <si>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</si>
  <si>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</si>
  <si>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</si>
  <si>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</si>
  <si>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</si>
  <si>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</si>
  <si>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</si>
  <si>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</si>
  <si>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</si>
  <si>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</si>
  <si>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</si>
  <si>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</si>
  <si>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</si>
  <si>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</si>
  <si>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</si>
  <si>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</si>
  <si>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</si>
  <si>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</si>
  <si>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</si>
  <si>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</si>
  <si>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</si>
  <si>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</si>
  <si>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</si>
  <si>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</si>
  <si>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</si>
  <si>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</si>
  <si>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</si>
  <si>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</si>
  <si>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</si>
  <si>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</si>
  <si>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</si>
  <si>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</si>
  <si>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</si>
  <si>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</si>
  <si>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</si>
  <si>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</si>
  <si>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</si>
  <si>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</si>
  <si>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</si>
  <si>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</si>
  <si>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</si>
  <si>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</si>
  <si>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</si>
  <si>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</si>
  <si>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</si>
  <si>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</si>
  <si>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</si>
  <si>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</si>
  <si>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</si>
  <si>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</si>
  <si>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</si>
  <si>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</si>
  <si>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</si>
  <si>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</si>
  <si>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</si>
  <si>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</si>
  <si>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</si>
  <si>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</si>
  <si>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</si>
  <si>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</si>
  <si>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</si>
  <si>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</si>
  <si>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</si>
  <si>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</si>
  <si>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</si>
  <si>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</si>
  <si>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</si>
  <si>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</si>
  <si>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</si>
  <si>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</si>
  <si>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</si>
  <si>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</si>
  <si>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</si>
  <si>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</si>
  <si>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</si>
  <si>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</si>
  <si>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</si>
  <si>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</si>
  <si>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</si>
  <si>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</si>
  <si>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</si>
  <si>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</si>
  <si>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</si>
  <si>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</si>
  <si>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</si>
  <si>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</si>
  <si>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</si>
  <si>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</si>
  <si>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</si>
  <si>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</si>
  <si>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</si>
  <si>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</si>
  <si>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</si>
  <si>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</si>
  <si>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</si>
  <si>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</si>
  <si>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</si>
  <si>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</si>
  <si>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</si>
  <si>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</si>
  <si>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</si>
  <si>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</si>
  <si>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</si>
  <si>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</si>
  <si>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</si>
  <si>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</si>
  <si>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</si>
  <si>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</si>
  <si>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</si>
  <si>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</si>
  <si>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</si>
  <si>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</si>
  <si>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</si>
  <si>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</si>
  <si>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</si>
  <si>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</si>
  <si>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</si>
  <si>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</si>
  <si>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</si>
  <si>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</si>
  <si>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</si>
  <si>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</si>
  <si>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</si>
  <si>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</si>
  <si>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</si>
  <si>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</si>
  <si>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</si>
  <si>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</si>
  <si>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</si>
  <si>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</si>
  <si>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</si>
  <si>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</si>
  <si>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</si>
  <si>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</si>
  <si>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</si>
  <si>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</si>
  <si>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</si>
  <si>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</si>
  <si>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</si>
  <si>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</si>
  <si>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</si>
  <si>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</si>
  <si>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</si>
  <si>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</si>
  <si>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</si>
  <si>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</si>
  <si>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</si>
  <si>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</si>
  <si>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</si>
  <si>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</si>
  <si>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</si>
  <si>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</si>
  <si>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</si>
  <si>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</si>
  <si>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</si>
  <si>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</si>
  <si>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</si>
  <si>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</si>
  <si>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</si>
  <si>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</si>
  <si>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</si>
  <si>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</si>
  <si>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</si>
  <si>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</si>
  <si>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</si>
  <si>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</si>
  <si>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</si>
  <si>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</si>
  <si>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</si>
  <si>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</si>
  <si>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</si>
  <si>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</si>
  <si>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</si>
  <si>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</si>
  <si>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</si>
  <si>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</si>
  <si>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</si>
  <si>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</si>
  <si>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</si>
  <si>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</si>
  <si>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</si>
  <si>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</si>
  <si>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</si>
  <si>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</si>
  <si>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</si>
  <si>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</si>
  <si>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</si>
  <si>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</si>
  <si>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</si>
  <si>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</si>
  <si>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</si>
  <si>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</si>
  <si>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</si>
  <si>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</si>
  <si>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</si>
  <si>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</si>
  <si>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</si>
  <si>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</si>
  <si>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</si>
  <si>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</si>
  <si>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</si>
  <si>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</si>
  <si>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</si>
  <si>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</si>
  <si>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</si>
  <si>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</si>
  <si>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</si>
  <si>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</si>
  <si>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</si>
  <si>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</si>
  <si>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</si>
  <si>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</si>
  <si>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</si>
  <si>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</si>
  <si>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</si>
  <si>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</si>
  <si>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</si>
  <si>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</si>
  <si>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</si>
  <si>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</si>
  <si>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</si>
  <si>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</si>
  <si>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</si>
  <si>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</si>
  <si>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</si>
  <si>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</si>
  <si>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</si>
  <si>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</si>
  <si>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</si>
  <si>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</si>
  <si>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</si>
  <si>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</si>
  <si>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</si>
  <si>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</si>
  <si>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</si>
  <si>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</si>
  <si>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</si>
  <si>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</si>
  <si>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</si>
  <si>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</si>
  <si>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</si>
  <si>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</si>
  <si>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</si>
  <si>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</si>
  <si>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</si>
  <si>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</si>
  <si>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</si>
  <si>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</si>
  <si>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</si>
  <si>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</si>
  <si>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</si>
  <si>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</si>
  <si>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</si>
  <si>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</si>
  <si>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</si>
  <si>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</si>
  <si>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</si>
  <si>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</si>
  <si>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</si>
  <si>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</si>
  <si>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</si>
  <si>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</si>
  <si>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</si>
  <si>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</si>
  <si>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</si>
  <si>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</si>
  <si>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</si>
  <si>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</si>
  <si>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</si>
  <si>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</si>
  <si>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</si>
  <si>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</si>
  <si>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</si>
  <si>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</si>
  <si>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</si>
  <si>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</si>
  <si>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</si>
  <si>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</si>
  <si>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</si>
  <si>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</si>
  <si>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</si>
  <si>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</si>
  <si>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</si>
  <si>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</si>
  <si>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</si>
  <si>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</si>
  <si>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</si>
  <si>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</si>
  <si>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</si>
  <si>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</si>
  <si>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</si>
  <si>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</si>
  <si>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</si>
  <si>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</si>
  <si>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</si>
  <si>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</si>
  <si>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</si>
  <si>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</si>
  <si>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</si>
  <si>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</si>
  <si>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</si>
  <si>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</si>
  <si>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</si>
  <si>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</si>
  <si>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</si>
  <si>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</si>
  <si>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</si>
  <si>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</si>
  <si>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</si>
  <si>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</si>
  <si>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</si>
  <si>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</si>
  <si>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</si>
  <si>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</si>
  <si>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</si>
  <si>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</si>
  <si>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</si>
  <si>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</si>
  <si>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</si>
  <si>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</si>
  <si>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</si>
  <si>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</si>
  <si>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</si>
  <si>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</si>
  <si>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</si>
  <si>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</si>
  <si>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</si>
  <si>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</si>
  <si>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</si>
  <si>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</si>
  <si>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</si>
  <si>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</si>
  <si>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</si>
  <si>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</si>
  <si>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</si>
  <si>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</si>
  <si>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</si>
  <si>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</si>
  <si>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</si>
  <si>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</si>
  <si>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</si>
  <si>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</si>
  <si>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</si>
  <si>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</si>
  <si>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</si>
  <si>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</si>
  <si>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</si>
  <si>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</si>
  <si>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</si>
  <si>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</si>
  <si>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</si>
  <si>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</si>
  <si>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</si>
  <si>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</si>
  <si>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</si>
  <si>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</si>
  <si>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</si>
  <si>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</si>
  <si>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</si>
  <si>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</si>
  <si>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</si>
  <si>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</si>
  <si>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</si>
  <si>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</si>
  <si>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</si>
  <si>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</si>
  <si>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</si>
  <si>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</si>
  <si>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</si>
  <si>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</si>
  <si>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</si>
  <si>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</si>
  <si>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</si>
  <si>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</si>
  <si>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</si>
  <si>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</si>
  <si>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</si>
  <si>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</si>
  <si>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</si>
  <si>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</si>
  <si>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</si>
  <si>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</si>
  <si>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</si>
  <si>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</si>
  <si>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</si>
  <si>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</si>
  <si>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</si>
  <si>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</si>
  <si>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</si>
  <si>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</si>
  <si>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</si>
  <si>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</si>
  <si>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</si>
  <si>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</si>
  <si>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</si>
  <si>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</si>
  <si>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</si>
  <si>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</si>
  <si>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</si>
  <si>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</si>
  <si>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</si>
  <si>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</si>
  <si>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</si>
  <si>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</si>
  <si>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</si>
  <si>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</si>
  <si>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</si>
  <si>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</si>
  <si>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</si>
  <si>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</si>
  <si>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</si>
  <si>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</si>
  <si>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</si>
  <si>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</si>
  <si>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</si>
  <si>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</si>
  <si>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</si>
  <si>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</si>
  <si>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</si>
  <si>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</si>
  <si>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</si>
  <si>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</si>
  <si>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</si>
  <si>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</si>
  <si>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</si>
  <si>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</si>
  <si>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</si>
  <si>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</si>
  <si>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</si>
  <si>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</si>
  <si>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</si>
  <si>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</si>
  <si>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</si>
  <si>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</si>
  <si>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</si>
  <si>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</si>
  <si>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</si>
  <si>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</si>
  <si>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</si>
  <si>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</si>
  <si>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</si>
  <si>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</si>
  <si>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</si>
  <si>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</si>
  <si>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</si>
  <si>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</si>
  <si>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</si>
  <si>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</si>
  <si>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</si>
  <si>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</si>
  <si>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</si>
  <si>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</si>
  <si>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</si>
  <si>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</si>
  <si>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</si>
  <si>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</si>
  <si>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</si>
  <si>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</si>
  <si>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</si>
  <si>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</si>
  <si>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</si>
  <si>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</si>
  <si>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</si>
  <si>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</si>
  <si>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</si>
  <si>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</si>
  <si>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</si>
  <si>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</si>
  <si>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</si>
  <si>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</si>
  <si>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</si>
  <si>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</si>
  <si>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</si>
  <si>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</si>
  <si>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</si>
  <si>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</si>
  <si>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</si>
  <si>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</si>
  <si>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</si>
  <si>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</si>
  <si>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</si>
  <si>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</si>
  <si>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</si>
  <si>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</si>
  <si>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</si>
  <si>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</si>
  <si>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</si>
  <si>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</si>
  <si>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</si>
  <si>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</si>
  <si>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</si>
  <si>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</si>
  <si>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</si>
  <si>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</si>
  <si>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</si>
  <si>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</si>
  <si>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</si>
  <si>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</si>
  <si>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</si>
  <si>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</si>
  <si>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</si>
  <si>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</si>
  <si>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</si>
  <si>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</si>
  <si>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</si>
  <si>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</si>
  <si>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</si>
  <si>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</si>
  <si>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</si>
  <si>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</si>
  <si>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</si>
  <si>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</si>
  <si>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</si>
  <si>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</si>
  <si>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</si>
  <si>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</si>
  <si>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</si>
  <si>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</si>
  <si>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</si>
  <si>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</si>
  <si>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</si>
  <si>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</si>
  <si>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</si>
  <si>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</si>
  <si>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</si>
  <si>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</si>
  <si>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</si>
  <si>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</si>
  <si>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</si>
  <si>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</si>
  <si>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</si>
  <si>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</si>
  <si>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</si>
  <si>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</si>
  <si>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</si>
  <si>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</si>
  <si>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</si>
  <si>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</si>
  <si>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</si>
  <si>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</si>
  <si>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</si>
  <si>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</si>
  <si>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</si>
  <si>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</si>
  <si>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</si>
  <si>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</si>
  <si>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</si>
  <si>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</si>
  <si>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</si>
  <si>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</si>
  <si>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</si>
  <si>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</si>
  <si>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</si>
  <si>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</si>
  <si>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</si>
  <si>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</si>
  <si>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</si>
  <si>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</si>
  <si>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</si>
  <si>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</si>
  <si>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</si>
  <si>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</si>
  <si>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</si>
  <si>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</si>
  <si>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</si>
  <si>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</si>
  <si>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</si>
  <si>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</si>
  <si>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</si>
  <si>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</si>
  <si>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</si>
  <si>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</si>
  <si>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</si>
  <si>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</si>
  <si>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</si>
  <si>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</si>
  <si>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</si>
  <si>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</si>
  <si>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</si>
  <si>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</si>
  <si>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</si>
  <si>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</si>
  <si>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</si>
  <si>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</si>
  <si>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</si>
  <si>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</si>
  <si>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</si>
  <si>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</si>
  <si>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</si>
  <si>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</si>
  <si>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</si>
  <si>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</si>
  <si>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</si>
  <si>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</si>
  <si>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</si>
  <si>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</si>
  <si>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</si>
  <si>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</si>
  <si>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</si>
  <si>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</si>
  <si>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</si>
  <si>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</si>
  <si>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</si>
  <si>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</si>
  <si>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</si>
  <si>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</si>
  <si>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</si>
  <si>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</si>
  <si>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</si>
  <si>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</si>
  <si>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</si>
  <si>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</si>
  <si>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</si>
  <si>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</si>
  <si>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</si>
  <si>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</si>
  <si>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</si>
  <si>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</si>
  <si>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</si>
  <si>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</si>
  <si>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</si>
  <si>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</si>
  <si>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</si>
  <si>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</si>
  <si>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</si>
  <si>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</si>
  <si>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</si>
  <si>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</si>
  <si>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</si>
  <si>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</si>
  <si>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</si>
  <si>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</si>
  <si>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</si>
  <si>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</si>
  <si>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</si>
  <si>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</si>
  <si>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</si>
  <si>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</si>
  <si>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</si>
  <si>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</si>
  <si>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</si>
  <si>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</si>
  <si>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</si>
  <si>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</si>
  <si>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</si>
  <si>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</si>
  <si>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</si>
  <si>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</si>
  <si>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</si>
  <si>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</si>
  <si>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</si>
  <si>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</si>
  <si>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</si>
  <si>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</si>
  <si>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</si>
  <si>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</si>
  <si>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</si>
  <si>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</si>
  <si>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</si>
  <si>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</si>
  <si>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</si>
  <si>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</si>
  <si>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</si>
  <si>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</si>
  <si>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</si>
  <si>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</si>
  <si>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</si>
  <si>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</si>
  <si>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</si>
  <si>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</si>
  <si>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</si>
  <si>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</si>
  <si>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</si>
  <si>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</si>
  <si>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</si>
  <si>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</si>
  <si>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</si>
  <si>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</si>
  <si>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</si>
  <si>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</si>
  <si>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</si>
  <si>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</si>
  <si>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</si>
  <si>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</si>
  <si>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</si>
  <si>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</si>
  <si>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</si>
  <si>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</si>
  <si>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</si>
  <si>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</si>
  <si>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</si>
  <si>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</si>
  <si>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</si>
  <si>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</si>
  <si>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</si>
  <si>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</si>
  <si>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</si>
  <si>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</si>
  <si>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</si>
  <si>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</si>
  <si>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</si>
  <si>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</si>
  <si>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</si>
  <si>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</si>
  <si>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</si>
  <si>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</si>
  <si>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</si>
  <si>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</si>
  <si>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</si>
  <si>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</si>
  <si>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</si>
  <si>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</si>
  <si>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</si>
  <si>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</si>
  <si>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</si>
  <si>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</si>
  <si>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</si>
  <si>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</si>
  <si>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</si>
  <si>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</si>
  <si>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</si>
  <si>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</si>
  <si>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</si>
  <si>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</si>
  <si>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</si>
  <si>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</si>
  <si>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</si>
  <si>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</si>
  <si>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</si>
  <si>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</si>
  <si>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</si>
  <si>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</si>
  <si>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</si>
  <si>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</si>
  <si>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</si>
  <si>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</si>
  <si>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</si>
  <si>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</si>
  <si>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</si>
  <si>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</si>
  <si>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</si>
  <si>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</si>
  <si>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</si>
  <si>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</si>
  <si>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</si>
  <si>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</si>
  <si>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</si>
  <si>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</si>
  <si>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</si>
  <si>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</si>
  <si>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</si>
  <si>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</si>
  <si>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</si>
  <si>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</si>
  <si>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</si>
  <si>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</si>
  <si>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</si>
  <si>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</si>
  <si>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</si>
  <si>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</si>
  <si>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</si>
  <si>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</si>
  <si>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</si>
  <si>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</si>
  <si>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</si>
  <si>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</si>
  <si>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</si>
  <si>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</si>
  <si>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</si>
  <si>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</si>
  <si>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</si>
  <si>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</si>
  <si>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</si>
  <si>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</si>
  <si>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</si>
  <si>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</si>
  <si>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</si>
  <si>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</si>
  <si>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</si>
  <si>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</si>
  <si>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</si>
  <si>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</si>
  <si>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</si>
  <si>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</si>
  <si>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</si>
  <si>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</si>
  <si>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</si>
  <si>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</si>
  <si>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</si>
  <si>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</si>
  <si>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</si>
  <si>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</si>
  <si>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</si>
  <si>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</si>
  <si>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</si>
  <si>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</si>
  <si>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</si>
  <si>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</si>
  <si>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</si>
  <si>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</si>
  <si>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</si>
  <si>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</si>
  <si>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</si>
  <si>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</si>
  <si>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</si>
  <si>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</si>
  <si>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</si>
  <si>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</si>
  <si>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</si>
  <si>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</si>
  <si>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</si>
  <si>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</si>
  <si>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</si>
  <si>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</si>
  <si>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</si>
  <si>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</si>
  <si>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</si>
  <si>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</si>
  <si>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</si>
  <si>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</si>
  <si>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</si>
  <si>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</si>
  <si>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</si>
  <si>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</si>
  <si>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</si>
  <si>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</si>
  <si>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</si>
  <si>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</si>
  <si>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</si>
  <si>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</si>
  <si>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</si>
  <si>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</si>
  <si>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</si>
  <si>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</si>
  <si>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</si>
  <si>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</si>
  <si>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</si>
  <si>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</si>
  <si>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</si>
  <si>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</si>
  <si>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</si>
  <si>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</si>
  <si>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</si>
  <si>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</si>
  <si>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</si>
  <si>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</si>
  <si>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</si>
  <si>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</si>
  <si>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</si>
  <si>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</si>
  <si>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</si>
  <si>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</si>
  <si>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</si>
  <si>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</si>
  <si>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</si>
  <si>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</si>
  <si>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</si>
  <si>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</si>
  <si>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</si>
  <si>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</si>
  <si>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</si>
  <si>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</si>
  <si>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</si>
  <si>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</si>
  <si>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</si>
  <si>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</si>
  <si>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</si>
  <si>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</si>
  <si>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</si>
  <si>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</si>
  <si>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</si>
  <si>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</si>
  <si>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</si>
  <si>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</si>
  <si>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</si>
  <si>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</si>
  <si>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</si>
  <si>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</si>
  <si>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</si>
  <si>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</si>
  <si>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</si>
  <si>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</si>
  <si>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</si>
  <si>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</si>
  <si>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</si>
  <si>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</si>
  <si>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</si>
  <si>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</si>
  <si>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</si>
  <si>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</si>
  <si>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</si>
  <si>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</si>
  <si>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</si>
  <si>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</si>
  <si>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</si>
  <si>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</si>
  <si>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</si>
  <si>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</si>
  <si>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</si>
  <si>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</si>
  <si>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</si>
  <si>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</si>
  <si>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</si>
  <si>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</si>
  <si>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</si>
  <si>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</si>
  <si>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</si>
  <si>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</si>
  <si>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</si>
  <si>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</si>
  <si>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</si>
  <si>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</si>
  <si>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</si>
  <si>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</si>
  <si>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</si>
  <si>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</si>
  <si>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</si>
  <si>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</si>
  <si>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</si>
  <si>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</si>
  <si>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</si>
  <si>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</si>
  <si>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</si>
  <si>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</si>
  <si>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</si>
  <si>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</si>
  <si>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</si>
  <si>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</si>
  <si>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</si>
  <si>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</si>
  <si>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</si>
  <si>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</si>
  <si>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</si>
  <si>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</si>
  <si>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</si>
  <si>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</si>
  <si>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</si>
  <si>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</si>
  <si>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</si>
  <si>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</si>
  <si>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</si>
  <si>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</si>
  <si>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</si>
  <si>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</si>
  <si>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</si>
  <si>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</si>
  <si>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</si>
  <si>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</si>
  <si>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</si>
  <si>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</si>
  <si>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</si>
  <si>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</si>
  <si>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</si>
  <si>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</si>
  <si>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</si>
  <si>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</si>
  <si>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</si>
  <si>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</si>
  <si>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</si>
  <si>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</si>
  <si>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</si>
  <si>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</si>
  <si>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</si>
  <si>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</si>
  <si>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</si>
  <si>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</si>
  <si>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</si>
  <si>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</si>
  <si>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</si>
  <si>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</si>
  <si>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</si>
  <si>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</si>
  <si>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</si>
  <si>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</si>
  <si>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</si>
  <si>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</si>
  <si>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</si>
  <si>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</si>
  <si>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</si>
  <si>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</si>
  <si>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</si>
  <si>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</si>
  <si>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</si>
  <si>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</si>
  <si>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</si>
  <si>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</si>
  <si>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</si>
  <si>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</si>
  <si>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</si>
  <si>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</si>
  <si>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</si>
  <si>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</si>
  <si>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</si>
  <si>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</si>
  <si>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</si>
  <si>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</si>
  <si>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</si>
  <si>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</si>
  <si>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</si>
  <si>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</si>
  <si>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</si>
  <si>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</si>
  <si>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</si>
  <si>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</si>
  <si>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</si>
  <si>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</si>
  <si>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</si>
  <si>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</si>
  <si>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</si>
  <si>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</si>
  <si>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</si>
  <si>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</si>
  <si>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</si>
  <si>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</si>
  <si>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</si>
  <si>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</si>
  <si>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</si>
  <si>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</si>
  <si>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</si>
  <si>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</si>
  <si>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</si>
  <si>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</si>
  <si>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</si>
  <si>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</si>
  <si>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</si>
  <si>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</si>
  <si>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</si>
  <si>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</si>
  <si>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</si>
  <si>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</si>
  <si>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</si>
  <si>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</si>
  <si>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</si>
  <si>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</si>
  <si>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</si>
  <si>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</si>
  <si>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</si>
  <si>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</si>
  <si>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</si>
  <si>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</si>
  <si>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</si>
  <si>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</si>
  <si>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</si>
  <si>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</si>
  <si>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</si>
  <si>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</si>
  <si>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</si>
  <si>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</si>
  <si>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</si>
  <si>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</si>
  <si>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</si>
  <si>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</si>
  <si>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</si>
  <si>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</si>
  <si>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</si>
  <si>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</si>
  <si>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</si>
  <si>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</si>
  <si>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</si>
  <si>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</si>
  <si>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</si>
  <si>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</si>
  <si>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</si>
  <si>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</si>
  <si>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</si>
  <si>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</si>
  <si>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</si>
  <si>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</si>
  <si>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</si>
  <si>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</si>
  <si>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</si>
  <si>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</si>
  <si>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</si>
  <si>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</si>
  <si>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</si>
  <si>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</si>
  <si>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</si>
  <si>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</si>
  <si>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</si>
  <si>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</si>
  <si>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</si>
  <si>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</si>
  <si>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</si>
  <si>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</si>
  <si>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</si>
  <si>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</si>
  <si>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</si>
  <si>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</si>
  <si>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</si>
  <si>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</si>
  <si>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</si>
  <si>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</si>
  <si>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</si>
  <si>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</si>
  <si>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</si>
  <si>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</si>
  <si>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</si>
  <si>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</si>
  <si>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</si>
  <si>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</si>
  <si>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</si>
  <si>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</si>
  <si>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</si>
  <si>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</si>
  <si>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</si>
  <si>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</si>
  <si>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</si>
  <si>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</si>
  <si>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</si>
  <si>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</si>
  <si>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</si>
  <si>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</si>
  <si>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</si>
  <si>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</si>
  <si>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</si>
  <si>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</si>
  <si>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</si>
  <si>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</si>
  <si>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</si>
  <si>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</si>
  <si>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</si>
  <si>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</si>
  <si>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</si>
  <si>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</si>
  <si>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</si>
  <si>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</si>
  <si>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</si>
  <si>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</si>
  <si>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</si>
  <si>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</si>
  <si>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</si>
  <si>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</si>
  <si>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</si>
  <si>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</si>
  <si>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</si>
  <si>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</si>
  <si>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</si>
  <si>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</si>
  <si>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</si>
  <si>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</si>
  <si>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</si>
  <si>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</si>
  <si>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</si>
  <si>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</si>
  <si>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</si>
  <si>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</si>
  <si>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</si>
  <si>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</si>
  <si>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</si>
  <si>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</si>
  <si>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</si>
  <si>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</si>
  <si>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</si>
  <si>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</si>
  <si>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</si>
  <si>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</si>
  <si>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</si>
  <si>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</si>
  <si>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</si>
  <si>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</si>
  <si>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</si>
  <si>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</si>
  <si>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</si>
  <si>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</si>
  <si>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</si>
  <si>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</si>
  <si>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</si>
  <si>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</si>
  <si>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</si>
  <si>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</si>
  <si>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</si>
  <si>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</si>
  <si>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</si>
  <si>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</si>
  <si>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</si>
  <si>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</si>
  <si>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</si>
  <si>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</si>
  <si>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</si>
  <si>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</si>
  <si>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</si>
  <si>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</si>
  <si>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</si>
  <si>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</si>
  <si>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</si>
  <si>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</si>
  <si>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</si>
  <si>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</si>
  <si>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</si>
  <si>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</si>
  <si>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</si>
  <si>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</si>
  <si>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</si>
  <si>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</si>
  <si>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</si>
  <si>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</si>
  <si>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</si>
  <si>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</si>
  <si>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</si>
  <si>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</si>
  <si>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</si>
  <si>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</si>
  <si>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</si>
  <si>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</si>
  <si>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</si>
  <si>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</si>
  <si>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</si>
  <si>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</si>
  <si>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</si>
  <si>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</si>
  <si>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</si>
  <si>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</si>
  <si>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</si>
  <si>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</si>
  <si>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</si>
  <si>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</si>
  <si>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</si>
  <si>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</si>
  <si>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</si>
  <si>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</si>
  <si>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</si>
  <si>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</si>
  <si>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</si>
  <si>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</si>
  <si>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</si>
  <si>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</si>
  <si>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</si>
  <si>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</si>
  <si>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</si>
  <si>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</si>
  <si>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</si>
  <si>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</si>
  <si>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</si>
  <si>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</si>
  <si>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</si>
  <si>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</si>
  <si>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</si>
  <si>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</si>
  <si>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</si>
  <si>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</si>
  <si>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</si>
  <si>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</si>
  <si>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</si>
  <si>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</si>
  <si>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</si>
  <si>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</si>
  <si>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</si>
  <si>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</si>
  <si>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</si>
  <si>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</si>
  <si>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</si>
  <si>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</si>
  <si>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</si>
  <si>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</si>
  <si>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</si>
  <si>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</si>
  <si>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</si>
  <si>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</si>
  <si>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</si>
  <si>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</si>
  <si>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</si>
  <si>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</si>
  <si>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</si>
  <si>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</si>
  <si>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</si>
  <si>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</si>
  <si>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</si>
  <si>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</si>
  <si>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</si>
  <si>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</si>
  <si>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</si>
  <si>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</si>
  <si>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</si>
  <si>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</si>
  <si>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</si>
  <si>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</si>
  <si>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</si>
  <si>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</si>
  <si>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</si>
  <si>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</si>
  <si>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</si>
  <si>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</si>
  <si>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</si>
  <si>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</si>
  <si>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</si>
  <si>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</si>
  <si>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</si>
  <si>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</si>
  <si>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</si>
  <si>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</si>
  <si>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</si>
  <si>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</si>
  <si>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</si>
  <si>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</si>
  <si>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</si>
  <si>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</si>
  <si>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</si>
  <si>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</si>
  <si>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</si>
  <si>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</si>
  <si>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</si>
  <si>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</si>
  <si>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</si>
  <si>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</si>
  <si>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</si>
  <si>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</si>
  <si>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</si>
  <si>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</si>
  <si>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</si>
  <si>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</si>
  <si>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</si>
  <si>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</si>
  <si>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</si>
  <si>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</si>
  <si>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</si>
  <si>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</si>
  <si>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</si>
  <si>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</si>
  <si>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</si>
  <si>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</si>
  <si>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</si>
  <si>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</si>
  <si>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</si>
  <si>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</si>
  <si>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</si>
  <si>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</si>
  <si>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</si>
  <si>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</si>
  <si>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</si>
  <si>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</si>
  <si>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</si>
  <si>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</si>
  <si>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</si>
  <si>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</si>
  <si>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</si>
  <si>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</si>
  <si>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</si>
  <si>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</si>
  <si>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</si>
  <si>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</si>
  <si>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</si>
  <si>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</si>
  <si>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</si>
  <si>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</si>
  <si>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</si>
  <si>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</si>
  <si>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</si>
  <si>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</si>
  <si>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</si>
  <si>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</si>
  <si>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</si>
  <si>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</si>
  <si>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</si>
  <si>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</si>
  <si>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</si>
  <si>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</si>
  <si>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</si>
  <si>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</si>
  <si>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</si>
  <si>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</si>
  <si>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</si>
  <si>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</si>
  <si>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</si>
  <si>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</si>
  <si>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</si>
  <si>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</si>
  <si>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</si>
  <si>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</si>
  <si>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</si>
  <si>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</si>
  <si>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</si>
  <si>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</si>
  <si>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</si>
  <si>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</si>
  <si>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</si>
  <si>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</si>
  <si>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</si>
  <si>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</si>
  <si>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</si>
  <si>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</si>
  <si>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</si>
  <si>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</si>
  <si>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</si>
  <si>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</si>
  <si>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</si>
  <si>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</si>
  <si>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</si>
  <si>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</si>
  <si>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</si>
  <si>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</si>
  <si>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</si>
  <si>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</si>
  <si>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</si>
  <si>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</si>
  <si>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</si>
  <si>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</si>
  <si>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</si>
  <si>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</si>
  <si>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</si>
  <si>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</si>
  <si>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</si>
  <si>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</si>
  <si>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</si>
  <si>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</si>
  <si>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</si>
  <si>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</si>
  <si>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</si>
  <si>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</si>
  <si>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</si>
  <si>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</si>
  <si>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</si>
  <si>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</si>
  <si>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</si>
  <si>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</si>
  <si>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</si>
  <si>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</si>
  <si>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</si>
  <si>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</si>
  <si>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</si>
  <si>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</si>
  <si>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</si>
  <si>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</si>
  <si>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</si>
  <si>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</si>
  <si>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</si>
  <si>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</si>
  <si>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</si>
  <si>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</si>
  <si>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</si>
  <si>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</si>
  <si>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</si>
  <si>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</si>
  <si>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</si>
  <si>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</si>
  <si>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</si>
  <si>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</si>
  <si>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</si>
  <si>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</si>
  <si>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</si>
  <si>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</si>
  <si>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</si>
  <si>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</si>
  <si>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</si>
  <si>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</si>
  <si>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</si>
  <si>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</si>
  <si>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</si>
  <si>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</si>
  <si>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</si>
  <si>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</si>
  <si>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</si>
  <si>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</si>
  <si>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</si>
  <si>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</si>
  <si>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</si>
  <si>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</si>
  <si>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</si>
  <si>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</si>
  <si>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</si>
  <si>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</si>
  <si>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</si>
  <si>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</si>
  <si>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</si>
  <si>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</si>
  <si>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</si>
  <si>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</si>
  <si>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</si>
  <si>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</si>
  <si>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</si>
  <si>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</si>
  <si>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</si>
  <si>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</si>
  <si>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</si>
  <si>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</si>
  <si>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</si>
  <si>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</si>
  <si>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</si>
  <si>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</si>
  <si>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</si>
  <si>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</si>
  <si>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</si>
  <si>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</si>
  <si>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</si>
  <si>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</si>
  <si>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</si>
  <si>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</si>
  <si>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</si>
  <si>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</si>
  <si>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</si>
  <si>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</si>
  <si>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</si>
  <si>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</si>
  <si>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</si>
  <si>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</si>
  <si>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</si>
  <si>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</si>
  <si>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</si>
  <si>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</si>
  <si>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</si>
  <si>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</si>
  <si>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</si>
  <si>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</si>
  <si>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</si>
  <si>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</si>
  <si>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</si>
  <si>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</si>
  <si>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</si>
  <si>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</si>
  <si>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</si>
  <si>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</si>
  <si>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</si>
  <si>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</si>
  <si>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</si>
  <si>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</si>
  <si>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</si>
  <si>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</si>
  <si>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</si>
  <si>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</si>
  <si>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</si>
  <si>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</si>
  <si>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</si>
  <si>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</si>
  <si>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</si>
  <si>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</si>
  <si>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</si>
  <si>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</si>
  <si>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</si>
  <si>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</si>
  <si>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</si>
  <si>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</si>
  <si>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</si>
  <si>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</si>
  <si>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</si>
  <si>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</si>
  <si>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</si>
  <si>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</si>
  <si>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</si>
  <si>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</si>
  <si>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</si>
  <si>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</si>
  <si>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</si>
  <si>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</si>
  <si>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</si>
  <si>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</si>
  <si>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</si>
  <si>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</si>
  <si>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</si>
  <si>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</si>
  <si>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</si>
  <si>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</si>
  <si>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</si>
  <si>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</si>
  <si>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</si>
  <si>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</si>
  <si>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</si>
  <si>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</si>
  <si>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</si>
  <si>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</si>
  <si>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</si>
  <si>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</si>
  <si>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</si>
  <si>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</si>
  <si>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</si>
  <si>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</si>
  <si>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</si>
  <si>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</si>
  <si>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</si>
  <si>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</si>
  <si>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</si>
  <si>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</si>
  <si>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</si>
  <si>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</si>
  <si>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</si>
  <si>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</si>
  <si>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</si>
  <si>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</si>
  <si>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</si>
  <si>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</si>
  <si>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</si>
  <si>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</si>
  <si>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</si>
  <si>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</si>
  <si>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</si>
  <si>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</si>
  <si>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</si>
  <si>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</si>
  <si>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</si>
  <si>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</si>
  <si>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</si>
  <si>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</si>
  <si>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</si>
  <si>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</si>
  <si>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</si>
  <si>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</si>
  <si>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</si>
  <si>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</si>
  <si>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</si>
  <si>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</si>
  <si>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</si>
  <si>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</si>
  <si>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</si>
  <si>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</si>
  <si>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</si>
  <si>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</si>
  <si>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</si>
  <si>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</si>
  <si>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</si>
  <si>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</si>
  <si>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</si>
  <si>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</si>
  <si>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</si>
  <si>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</si>
  <si>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</si>
  <si>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</si>
  <si>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</si>
  <si>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</si>
  <si>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</si>
  <si>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</si>
  <si>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</si>
  <si>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</si>
  <si>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</si>
  <si>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</si>
  <si>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</si>
  <si>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</si>
  <si>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</si>
  <si>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</si>
  <si>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</si>
  <si>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</si>
  <si>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</si>
  <si>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</si>
  <si>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</si>
  <si>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</si>
  <si>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</si>
  <si>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</si>
  <si>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</si>
  <si>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</si>
  <si>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</si>
  <si>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</si>
  <si>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</si>
  <si>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</si>
  <si>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</si>
  <si>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</si>
  <si>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</si>
  <si>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</si>
  <si>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</si>
  <si>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</si>
  <si>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</si>
  <si>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</si>
  <si>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</si>
  <si>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</si>
  <si>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</si>
  <si>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</si>
  <si>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</si>
  <si>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</si>
  <si>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</si>
  <si>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</si>
  <si>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</si>
  <si>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</si>
  <si>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</si>
  <si>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</si>
  <si>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</si>
  <si>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</si>
  <si>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</si>
  <si>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</si>
  <si>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</si>
  <si>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</si>
  <si>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</si>
  <si>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</si>
  <si>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</si>
  <si>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</si>
  <si>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</si>
  <si>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</si>
  <si>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</si>
  <si>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</si>
  <si>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</si>
  <si>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</si>
  <si>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</si>
  <si>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</si>
  <si>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</si>
  <si>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</si>
  <si>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</si>
  <si>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</si>
  <si>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</si>
  <si>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</si>
  <si>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</si>
  <si>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</si>
  <si>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</si>
  <si>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</si>
  <si>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</si>
  <si>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</si>
  <si>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</si>
  <si>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</si>
  <si>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</si>
  <si>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</si>
  <si>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</si>
  <si>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</si>
  <si>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</si>
  <si>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</si>
  <si>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</si>
  <si>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</si>
  <si>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</si>
  <si>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</si>
  <si>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</si>
  <si>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</si>
  <si>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</si>
  <si>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</si>
  <si>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</si>
  <si>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</si>
  <si>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</si>
  <si>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</si>
  <si>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</si>
  <si>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</si>
  <si>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</si>
  <si>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</si>
  <si>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</si>
  <si>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</si>
  <si>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</si>
  <si>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</si>
  <si>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</si>
  <si>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</si>
  <si>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</si>
  <si>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</si>
  <si>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</si>
  <si>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</si>
  <si>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</si>
  <si>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</si>
  <si>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</si>
  <si>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</si>
  <si>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</si>
  <si>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</si>
  <si>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</si>
  <si>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</si>
  <si>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</si>
  <si>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</si>
  <si>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</si>
  <si>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</si>
  <si>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</si>
  <si>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</si>
  <si>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</si>
  <si>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</si>
  <si>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</si>
  <si>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</si>
  <si>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</si>
  <si>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</si>
  <si>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</si>
  <si>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</si>
  <si>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</si>
  <si>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</si>
  <si>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</si>
  <si>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</si>
  <si>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</si>
  <si>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</si>
  <si>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</si>
  <si>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</si>
  <si>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</si>
  <si>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</si>
  <si>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</si>
  <si>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</si>
  <si>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</si>
  <si>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</si>
  <si>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</si>
  <si>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</si>
  <si>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</si>
  <si>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</si>
  <si>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</si>
  <si>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</si>
  <si>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</si>
  <si>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</si>
  <si>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</si>
  <si>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</si>
  <si>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</si>
  <si>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</si>
  <si>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</si>
  <si>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</si>
  <si>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</si>
  <si>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</si>
  <si>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</si>
  <si>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</si>
  <si>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</si>
  <si>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</si>
  <si>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</si>
  <si>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</si>
  <si>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</si>
  <si>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</si>
  <si>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</si>
  <si>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</si>
  <si>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</si>
  <si>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</si>
  <si>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</si>
  <si>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</si>
  <si>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</si>
  <si>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</si>
  <si>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</si>
  <si>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</si>
  <si>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</si>
  <si>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</si>
  <si>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</si>
  <si>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</si>
  <si>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</si>
  <si>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</si>
  <si>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</si>
  <si>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</si>
  <si>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</si>
  <si>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</si>
  <si>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</si>
  <si>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</si>
  <si>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</si>
  <si>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</si>
  <si>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</si>
  <si>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</si>
  <si>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</si>
  <si>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</si>
  <si>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</si>
  <si>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</si>
  <si>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</si>
  <si>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</si>
  <si>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</si>
  <si>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</si>
  <si>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</si>
  <si>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</si>
  <si>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</si>
  <si>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</si>
  <si>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</si>
  <si>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</si>
  <si>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</si>
  <si>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</si>
  <si>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</si>
  <si>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</si>
  <si>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</si>
  <si>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</si>
  <si>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</si>
  <si>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</si>
  <si>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</si>
  <si>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</si>
  <si>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</si>
  <si>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</si>
  <si>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</si>
  <si>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</si>
  <si>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</si>
  <si>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</si>
  <si>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</si>
  <si>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</si>
  <si>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</si>
  <si>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</si>
  <si>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</si>
  <si>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</si>
  <si>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</si>
  <si>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</si>
  <si>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</si>
  <si>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</si>
  <si>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</si>
  <si>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</si>
  <si>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</si>
  <si>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</si>
  <si>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</si>
  <si>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</si>
  <si>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</si>
  <si>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</si>
  <si>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</si>
  <si>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</si>
  <si>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</si>
  <si>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</si>
  <si>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</si>
  <si>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</si>
  <si>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</si>
  <si>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</si>
  <si>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</si>
  <si>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</si>
  <si>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</si>
  <si>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</si>
  <si>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</si>
  <si>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</si>
  <si>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</si>
  <si>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</si>
  <si>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</si>
  <si>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</si>
  <si>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</si>
  <si>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</si>
  <si>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</si>
  <si>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</si>
  <si>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</si>
  <si>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</si>
  <si>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</si>
  <si>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</si>
  <si>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</si>
  <si>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</si>
  <si>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</si>
  <si>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</si>
  <si>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</si>
  <si>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</si>
  <si>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</si>
  <si>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</si>
  <si>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</si>
  <si>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</si>
  <si>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</si>
  <si>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</si>
  <si>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</si>
  <si>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</si>
  <si>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</si>
  <si>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</si>
  <si>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</si>
  <si>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</si>
  <si>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</si>
  <si>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</si>
  <si>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</si>
  <si>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</si>
  <si>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</si>
  <si>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</si>
  <si>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</si>
  <si>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</si>
  <si>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</si>
  <si>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</si>
  <si>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</si>
  <si>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</si>
  <si>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</si>
  <si>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</si>
  <si>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</si>
  <si>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</si>
  <si>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</si>
  <si>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</si>
  <si>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</si>
  <si>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</si>
  <si>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</si>
  <si>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</si>
  <si>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</si>
  <si>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</si>
  <si>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</si>
  <si>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</si>
  <si>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</si>
  <si>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</si>
  <si>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</si>
  <si>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</si>
  <si>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</si>
  <si>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</si>
  <si>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</si>
  <si>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</si>
  <si>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</si>
  <si>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</si>
  <si>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</si>
  <si>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</si>
  <si>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</si>
  <si>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</si>
  <si>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</si>
  <si>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</si>
  <si>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</si>
  <si>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</si>
  <si>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</si>
  <si>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</si>
  <si>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</si>
  <si>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</si>
  <si>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</si>
  <si>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</si>
  <si>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</si>
  <si>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</si>
  <si>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</si>
  <si>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</si>
  <si>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</si>
  <si>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</si>
  <si>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</si>
  <si>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</si>
  <si>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</si>
  <si>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</si>
  <si>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</si>
  <si>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</si>
  <si>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</si>
  <si>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</si>
  <si>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</si>
  <si>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</si>
  <si>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</si>
  <si>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</si>
  <si>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</si>
  <si>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</si>
  <si>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</si>
  <si>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</si>
  <si>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</si>
  <si>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</si>
  <si>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</si>
  <si>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</si>
  <si>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</si>
  <si>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</si>
  <si>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</si>
  <si>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</si>
  <si>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</si>
  <si>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</si>
  <si>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</si>
  <si>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</si>
  <si>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</si>
  <si>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</si>
  <si>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</si>
  <si>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</si>
  <si>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</si>
  <si>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</si>
  <si>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</si>
  <si>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</si>
  <si>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</si>
  <si>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</si>
  <si>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</si>
  <si>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</si>
  <si>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</si>
  <si>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</si>
  <si>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</si>
  <si>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</si>
  <si>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</si>
  <si>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</si>
  <si>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</si>
  <si>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</si>
  <si>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</si>
  <si>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</si>
  <si>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</si>
  <si>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</si>
  <si>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</si>
  <si>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</si>
  <si>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</si>
  <si>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</si>
  <si>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</si>
  <si>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</si>
  <si>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</si>
  <si>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</si>
  <si>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</si>
  <si>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</si>
  <si>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</si>
  <si>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</si>
  <si>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</si>
  <si>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</si>
  <si>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</si>
  <si>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</si>
  <si>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</si>
  <si>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</si>
  <si>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</si>
  <si>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</si>
  <si>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</si>
  <si>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</si>
  <si>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</si>
  <si>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</si>
  <si>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</si>
  <si>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</si>
  <si>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</si>
  <si>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</si>
  <si>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</si>
  <si>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</si>
  <si>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</si>
  <si>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</si>
  <si>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</si>
  <si>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</si>
  <si>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</si>
  <si>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</si>
  <si>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</si>
  <si>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</si>
  <si>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</si>
  <si>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</si>
  <si>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</si>
  <si>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</si>
  <si>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</si>
  <si>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</si>
  <si>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</si>
  <si>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</si>
  <si>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</si>
  <si>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</si>
  <si>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</si>
  <si>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</si>
  <si>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</si>
  <si>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</si>
  <si>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</si>
  <si>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</si>
  <si>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</si>
  <si>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</si>
  <si>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</si>
  <si>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</si>
  <si>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</si>
  <si>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</si>
  <si>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</si>
  <si>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</si>
  <si>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</si>
  <si>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</si>
  <si>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</si>
  <si>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</si>
  <si>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</si>
  <si>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</si>
  <si>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</si>
  <si>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</si>
  <si>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</si>
  <si>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</si>
  <si>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</si>
  <si>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</si>
  <si>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</si>
  <si>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</si>
  <si>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</si>
  <si>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</si>
  <si>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</si>
  <si>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</si>
  <si>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</si>
  <si>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</si>
  <si>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</si>
  <si>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</si>
  <si>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</si>
  <si>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</si>
  <si>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</si>
  <si>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</si>
  <si>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</si>
  <si>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</si>
  <si>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</si>
  <si>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</si>
  <si>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</si>
  <si>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</si>
  <si>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</si>
  <si>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</si>
  <si>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</si>
  <si>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</si>
  <si>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</si>
  <si>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</si>
  <si>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</si>
  <si>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</si>
  <si>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</si>
  <si>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</si>
  <si>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</si>
  <si>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</si>
  <si>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</si>
  <si>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</si>
  <si>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</si>
  <si>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</si>
  <si>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</si>
  <si>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</si>
  <si>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</si>
  <si>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</si>
  <si>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</si>
  <si>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</si>
  <si>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</si>
  <si>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</si>
  <si>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</si>
  <si>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</si>
  <si>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</si>
  <si>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</si>
  <si>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</si>
  <si>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</si>
  <si>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</si>
  <si>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</si>
  <si>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</si>
  <si>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</si>
  <si>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</si>
  <si>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</si>
  <si>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</si>
  <si>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</si>
  <si>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</si>
  <si>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</si>
  <si>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</si>
  <si>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</si>
  <si>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</si>
  <si>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</si>
  <si>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</si>
  <si>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</si>
  <si>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</si>
  <si>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</si>
  <si>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</si>
  <si>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</si>
  <si>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</si>
  <si>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</si>
  <si>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</si>
  <si>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</si>
  <si>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</si>
  <si>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</si>
  <si>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</si>
  <si>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</si>
  <si>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</si>
  <si>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</si>
  <si>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</si>
  <si>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</si>
  <si>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</si>
  <si>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</si>
  <si>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</si>
  <si>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</si>
  <si>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</si>
  <si>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</si>
  <si>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</si>
  <si>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</si>
  <si>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</si>
  <si>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</si>
  <si>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</si>
  <si>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</si>
  <si>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</si>
  <si>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</si>
  <si>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</si>
  <si>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</si>
  <si>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</si>
  <si>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</si>
  <si>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</si>
  <si>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</si>
  <si>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</si>
  <si>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</si>
  <si>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</si>
  <si>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</si>
  <si>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</si>
  <si>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</si>
  <si>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</si>
  <si>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</si>
  <si>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</si>
  <si>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</si>
  <si>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</si>
  <si>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</si>
  <si>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</si>
  <si>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</si>
  <si>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</si>
  <si>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</si>
  <si>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</si>
  <si>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</si>
  <si>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</si>
  <si>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</si>
  <si>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</si>
  <si>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</si>
  <si>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</si>
  <si>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</si>
  <si>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</si>
  <si>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</si>
  <si>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</si>
  <si>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</si>
  <si>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</si>
  <si>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</si>
  <si>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</si>
  <si>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</si>
  <si>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</si>
  <si>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</si>
  <si>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</si>
  <si>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</si>
  <si>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</si>
  <si>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</si>
  <si>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</si>
  <si>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</si>
  <si>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</si>
  <si>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</si>
  <si>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</si>
  <si>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</si>
  <si>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</si>
  <si>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</si>
  <si>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</si>
  <si>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</si>
  <si>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</si>
  <si>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</si>
  <si>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</si>
  <si>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</si>
  <si>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</si>
  <si>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</si>
  <si>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</si>
  <si>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</si>
  <si>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</si>
  <si>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</si>
  <si>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</si>
  <si>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</si>
  <si>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</si>
  <si>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</si>
  <si>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</si>
  <si>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</si>
  <si>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</si>
  <si>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</si>
  <si>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</si>
  <si>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</si>
  <si>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</si>
  <si>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</si>
  <si>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</si>
  <si>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</si>
  <si>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</si>
  <si>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</si>
  <si>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</si>
  <si>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</si>
  <si>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</si>
  <si>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</si>
  <si>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</si>
  <si>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</si>
  <si>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</si>
  <si>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</si>
  <si>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</si>
  <si>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</si>
  <si>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</si>
  <si>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</si>
  <si>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</si>
  <si>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</si>
  <si>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</si>
  <si>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</si>
  <si>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</si>
  <si>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</si>
  <si>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</si>
  <si>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</si>
  <si>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</si>
  <si>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</si>
  <si>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</si>
  <si>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</si>
  <si>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</si>
  <si>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</si>
  <si>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</si>
  <si>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</si>
  <si>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</si>
  <si>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</si>
  <si>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</si>
  <si>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</si>
  <si>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</si>
  <si>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</si>
  <si>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</si>
  <si>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</si>
  <si>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</si>
  <si>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</si>
  <si>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</si>
  <si>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</si>
  <si>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</si>
  <si>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</si>
  <si>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</si>
  <si>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</si>
  <si>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</si>
  <si>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</si>
  <si>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</si>
  <si>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</si>
  <si>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</si>
  <si>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</si>
  <si>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</si>
  <si>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</si>
  <si>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</si>
  <si>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</si>
  <si>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</si>
  <si>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</si>
  <si>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</si>
  <si>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</si>
  <si>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</si>
  <si>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</si>
  <si>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</si>
  <si>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</si>
  <si>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</si>
  <si>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</si>
  <si>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</si>
  <si>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</si>
  <si>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</si>
  <si>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</si>
  <si>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</si>
  <si>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</si>
  <si>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</si>
  <si>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</si>
  <si>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</si>
  <si>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</si>
  <si>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</si>
  <si>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</si>
  <si>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</si>
  <si>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</si>
  <si>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</si>
  <si>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</si>
  <si>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</si>
  <si>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</si>
  <si>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</si>
  <si>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</si>
  <si>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</si>
  <si>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</si>
  <si>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</si>
  <si>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</si>
  <si>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</si>
  <si>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</si>
  <si>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</si>
  <si>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</si>
  <si>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</si>
  <si>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</si>
  <si>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</si>
  <si>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</si>
  <si>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</si>
  <si>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</si>
  <si>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</si>
  <si>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</si>
  <si>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</si>
  <si>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</si>
  <si>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</si>
  <si>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</si>
  <si>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</si>
  <si>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</si>
  <si>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</si>
  <si>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</si>
  <si>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</si>
  <si>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</si>
  <si>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</si>
  <si>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</si>
  <si>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</si>
  <si>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</si>
  <si>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</si>
  <si>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</si>
  <si>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</si>
  <si>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</si>
  <si>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</si>
  <si>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</si>
  <si>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</si>
  <si>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</si>
  <si>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</si>
  <si>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</si>
  <si>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</si>
  <si>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</si>
  <si>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</si>
  <si>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</si>
  <si>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</si>
  <si>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</si>
  <si>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</si>
  <si>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</si>
  <si>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</si>
  <si>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</si>
  <si>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</si>
  <si>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</si>
  <si>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</si>
  <si>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</si>
  <si>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</si>
  <si>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</si>
  <si>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</si>
  <si>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</si>
  <si>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</si>
  <si>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</si>
  <si>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</si>
  <si>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</si>
  <si>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</si>
  <si>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</si>
  <si>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</si>
  <si>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</si>
  <si>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</si>
  <si>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</si>
  <si>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</si>
  <si>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</si>
  <si>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</si>
  <si>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</si>
  <si>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</si>
  <si>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</si>
  <si>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</si>
  <si>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</si>
  <si>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</si>
  <si>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</si>
  <si>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</si>
  <si>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</si>
  <si>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</si>
  <si>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</si>
  <si>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</si>
  <si>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</si>
  <si>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</si>
  <si>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</si>
  <si>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</si>
  <si>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</si>
  <si>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</si>
  <si>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</si>
  <si>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</si>
  <si>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</si>
  <si>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</si>
  <si>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</si>
  <si>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</si>
  <si>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</si>
  <si>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</si>
  <si>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</si>
  <si>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</si>
  <si>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</si>
  <si>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</si>
  <si>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</si>
  <si>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</si>
  <si>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</si>
  <si>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</si>
  <si>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</si>
  <si>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</si>
  <si>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</si>
  <si>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</si>
  <si>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</si>
  <si>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</si>
  <si>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</si>
  <si>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</si>
  <si>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</si>
  <si>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</si>
  <si>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</si>
  <si>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</si>
  <si>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</si>
  <si>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</si>
  <si>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</si>
  <si>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</si>
  <si>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</si>
  <si>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</si>
  <si>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</si>
  <si>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</si>
  <si>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</si>
  <si>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</si>
  <si>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</si>
  <si>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</si>
  <si>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</si>
  <si>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</si>
  <si>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</si>
  <si>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</si>
  <si>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</si>
  <si>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</si>
  <si>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</si>
  <si>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</si>
  <si>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</si>
  <si>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</si>
  <si>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</si>
  <si>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</si>
  <si>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</si>
  <si>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</si>
  <si>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</si>
  <si>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</si>
  <si>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</si>
  <si>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</si>
  <si>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</si>
  <si>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</si>
  <si>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</si>
  <si>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</si>
  <si>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</si>
  <si>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</si>
  <si>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</si>
  <si>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</si>
  <si>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</si>
  <si>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</si>
  <si>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</si>
  <si>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</si>
  <si>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</si>
  <si>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</si>
  <si>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</si>
  <si>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</si>
  <si>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</si>
  <si>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</si>
  <si>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</si>
  <si>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</si>
  <si>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</si>
  <si>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</si>
  <si>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</si>
  <si>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</si>
  <si>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</si>
  <si>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</si>
  <si>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</si>
  <si>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</si>
  <si>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</si>
  <si>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</si>
  <si>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</si>
  <si>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</si>
  <si>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</si>
  <si>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</si>
  <si>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</si>
  <si>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</si>
  <si>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</si>
  <si>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</si>
  <si>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</si>
  <si>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</si>
  <si>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</si>
  <si>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</si>
  <si>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</si>
  <si>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</si>
  <si>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</si>
  <si>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</si>
  <si>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</si>
  <si>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</si>
  <si>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</si>
  <si>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</si>
  <si>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</si>
  <si>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</si>
  <si>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</si>
  <si>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</si>
  <si>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</si>
  <si>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</si>
  <si>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</si>
  <si>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</si>
  <si>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</si>
  <si>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</si>
  <si>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</si>
  <si>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</si>
  <si>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</si>
  <si>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</si>
  <si>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</si>
  <si>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</si>
  <si>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</si>
  <si>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</si>
  <si>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</si>
  <si>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</si>
  <si>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</si>
  <si>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</si>
  <si>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</si>
  <si>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</si>
  <si>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</si>
  <si>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</si>
  <si>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</si>
  <si>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</si>
  <si>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</si>
  <si>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</si>
  <si>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</si>
  <si>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</si>
  <si>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</si>
  <si>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</si>
  <si>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</si>
  <si>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</si>
  <si>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</si>
  <si>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</si>
  <si>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</si>
  <si>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</si>
  <si>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</si>
  <si>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</si>
  <si>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</si>
  <si>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</si>
  <si>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</si>
  <si>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</si>
  <si>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</si>
  <si>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</si>
  <si>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</si>
  <si>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</si>
  <si>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</si>
  <si>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</si>
  <si>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</si>
  <si>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</si>
  <si>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</si>
  <si>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</si>
  <si>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</si>
  <si>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</si>
  <si>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</si>
  <si>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</si>
  <si>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</si>
  <si>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</si>
  <si>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</si>
  <si>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</si>
  <si>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</si>
  <si>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</si>
  <si>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</si>
  <si>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</si>
  <si>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</si>
  <si>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</si>
  <si>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</si>
  <si>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</si>
  <si>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</si>
  <si>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</si>
  <si>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</si>
  <si>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</si>
  <si>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</si>
  <si>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</si>
  <si>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</si>
  <si>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</si>
  <si>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</si>
  <si>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</si>
  <si>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</si>
  <si>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</si>
  <si>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</si>
  <si>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</si>
  <si>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</si>
  <si>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</si>
  <si>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</si>
  <si>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</si>
  <si>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</si>
  <si>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</si>
  <si>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</si>
  <si>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</si>
  <si>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</si>
  <si>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</si>
  <si>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</si>
  <si>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</si>
  <si>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</si>
  <si>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</si>
  <si>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</si>
  <si>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</si>
  <si>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</si>
  <si>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</si>
  <si>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</si>
  <si>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</si>
  <si>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</si>
  <si>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</si>
  <si>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</si>
  <si>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</si>
  <si>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</si>
  <si>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</si>
  <si>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</si>
  <si>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</si>
  <si>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</si>
  <si>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</si>
  <si>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</si>
  <si>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</si>
  <si>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</si>
  <si>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</si>
  <si>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</si>
  <si>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</si>
  <si>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</si>
  <si>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</si>
  <si>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</si>
  <si>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</si>
  <si>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</si>
  <si>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</si>
  <si>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</si>
  <si>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</si>
  <si>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</si>
  <si>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</si>
  <si>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</si>
  <si>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</si>
  <si>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</si>
  <si>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</si>
  <si>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</si>
  <si>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</si>
  <si>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</si>
  <si>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</si>
  <si>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</si>
  <si>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</si>
  <si>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</si>
  <si>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</si>
  <si>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</si>
  <si>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</si>
  <si>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</si>
  <si>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</si>
  <si>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</si>
  <si>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</si>
  <si>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</si>
  <si>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</si>
  <si>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</si>
  <si>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</si>
  <si>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</si>
  <si>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</si>
  <si>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</si>
  <si>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</si>
  <si>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</si>
  <si>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</si>
  <si>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</si>
  <si>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</si>
  <si>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</si>
  <si>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</si>
  <si>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</si>
  <si>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</si>
  <si>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</si>
  <si>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</si>
  <si>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</si>
  <si>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</si>
  <si>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</si>
  <si>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</si>
  <si>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</si>
  <si>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</si>
  <si>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</si>
  <si>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</si>
  <si>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</si>
  <si>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</si>
  <si>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</si>
  <si>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</si>
  <si>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</si>
  <si>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</si>
  <si>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</si>
  <si>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</si>
  <si>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</si>
  <si>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</si>
  <si>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</si>
  <si>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</si>
  <si>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</si>
  <si>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</si>
  <si>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</si>
  <si>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</si>
  <si>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</si>
  <si>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</si>
  <si>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</si>
  <si>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</si>
  <si>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</si>
  <si>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</si>
  <si>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</si>
  <si>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</si>
  <si>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</si>
  <si>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</si>
  <si>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</si>
  <si>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</si>
  <si>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</si>
  <si>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</si>
  <si>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</si>
  <si>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</si>
  <si>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</si>
  <si>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</si>
  <si>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</si>
  <si>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</si>
  <si>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</si>
  <si>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</si>
  <si>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</si>
  <si>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</si>
  <si>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</si>
  <si>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</si>
  <si>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</si>
  <si>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</si>
  <si>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</si>
  <si>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</si>
  <si>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</si>
  <si>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</si>
  <si>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</si>
  <si>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</si>
  <si>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</si>
  <si>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</si>
  <si>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</si>
  <si>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</si>
  <si>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</si>
  <si>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</si>
  <si>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</si>
  <si>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</si>
  <si>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</si>
  <si>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</si>
  <si>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</si>
  <si>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</si>
  <si>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</si>
  <si>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</si>
  <si>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</si>
  <si>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</si>
  <si>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</si>
  <si>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</si>
  <si>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</si>
  <si>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</si>
  <si>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</si>
  <si>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</si>
  <si>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</si>
  <si>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</si>
  <si>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</si>
  <si>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</si>
  <si>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</si>
  <si>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</si>
  <si>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</si>
  <si>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</si>
  <si>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</si>
  <si>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</si>
  <si>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</si>
  <si>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</si>
  <si>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</si>
  <si>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</si>
  <si>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</si>
  <si>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</si>
  <si>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</si>
  <si>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</si>
  <si>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</si>
  <si>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</si>
  <si>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</si>
  <si>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</si>
  <si>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</si>
  <si>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</si>
  <si>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</si>
  <si>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</si>
  <si>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</si>
  <si>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</si>
  <si>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</si>
  <si>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</si>
  <si>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</si>
  <si>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</si>
  <si>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</si>
  <si>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</si>
  <si>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</si>
  <si>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</si>
  <si>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</si>
  <si>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</si>
  <si>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</si>
  <si>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</si>
  <si>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</si>
  <si>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</si>
  <si>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</si>
  <si>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</si>
  <si>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</si>
  <si>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</si>
  <si>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</si>
  <si>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</si>
  <si>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</si>
  <si>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</si>
  <si>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</si>
  <si>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</si>
  <si>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</si>
  <si>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</si>
  <si>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</si>
  <si>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</si>
  <si>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</si>
  <si>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</si>
  <si>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</si>
  <si>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</si>
  <si>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</si>
  <si>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</si>
  <si>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</si>
  <si>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</si>
  <si>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</si>
  <si>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</si>
  <si>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</si>
  <si>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</si>
  <si>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</si>
  <si>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</si>
  <si>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</si>
  <si>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</si>
  <si>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</si>
  <si>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</si>
  <si>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</si>
  <si>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</si>
  <si>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</si>
  <si>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</si>
  <si>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</si>
  <si>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</si>
  <si>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</si>
  <si>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</si>
  <si>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</si>
  <si>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</si>
  <si>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</si>
  <si>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</si>
  <si>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</si>
  <si>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</si>
  <si>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</si>
  <si>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</si>
  <si>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</si>
  <si>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</si>
  <si>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</si>
  <si>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</si>
  <si>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</si>
  <si>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</si>
  <si>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</si>
  <si>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</si>
  <si>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</si>
  <si>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</si>
  <si>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</si>
  <si>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</si>
  <si>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</si>
  <si>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</si>
  <si>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</si>
  <si>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</si>
  <si>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</si>
  <si>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</si>
  <si>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</si>
  <si>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</si>
  <si>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</si>
  <si>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</si>
  <si>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</si>
  <si>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</si>
  <si>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</si>
  <si>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</si>
  <si>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</si>
  <si>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</si>
  <si>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</si>
  <si>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</si>
  <si>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</si>
  <si>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</si>
  <si>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</si>
  <si>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</si>
  <si>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</si>
  <si>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</si>
  <si>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</si>
  <si>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</si>
  <si>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</si>
  <si>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</si>
  <si>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</si>
  <si>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</si>
  <si>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</si>
  <si>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</si>
  <si>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</si>
  <si>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</si>
  <si>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</si>
  <si>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</si>
  <si>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</si>
  <si>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</si>
  <si>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</si>
  <si>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</si>
  <si>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</si>
  <si>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</si>
  <si>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</si>
  <si>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</si>
  <si>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</si>
  <si>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</si>
  <si>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</si>
  <si>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</si>
  <si>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</si>
  <si>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</si>
  <si>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</si>
  <si>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</si>
  <si>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</si>
  <si>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</si>
  <si>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</si>
  <si>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</si>
  <si>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</si>
  <si>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</si>
  <si>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</si>
  <si>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</si>
  <si>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</si>
  <si>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</si>
  <si>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</si>
  <si>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</si>
  <si>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</si>
  <si>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</si>
  <si>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</si>
  <si>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</si>
  <si>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</si>
  <si>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</si>
  <si>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</si>
  <si>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</si>
  <si>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</si>
  <si>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</si>
  <si>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</si>
  <si>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</si>
  <si>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</si>
  <si>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</si>
  <si>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</si>
  <si>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</si>
  <si>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</si>
  <si>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</si>
  <si>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</si>
  <si>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</si>
  <si>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</si>
  <si>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</si>
  <si>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</si>
  <si>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</si>
  <si>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</si>
  <si>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</si>
  <si>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</si>
  <si>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</si>
  <si>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</si>
  <si>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</si>
  <si>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</si>
  <si>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</si>
  <si>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</si>
  <si>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</si>
  <si>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</si>
  <si>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</si>
  <si>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</si>
  <si>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</si>
  <si>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</si>
  <si>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</si>
  <si>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</si>
  <si>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</si>
  <si>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</si>
  <si>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</si>
  <si>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</si>
  <si>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</si>
  <si>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</si>
  <si>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</si>
  <si>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</si>
  <si>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</si>
  <si>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</si>
  <si>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</si>
  <si>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</si>
  <si>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</si>
  <si>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</si>
  <si>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</si>
  <si>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</si>
  <si>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</si>
  <si>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</si>
  <si>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</si>
  <si>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</si>
  <si>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</si>
  <si>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</si>
  <si>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</si>
  <si>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</si>
  <si>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</si>
  <si>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</si>
  <si>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</si>
  <si>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</si>
  <si>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</si>
  <si>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</si>
  <si>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</si>
  <si>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</si>
  <si>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</si>
  <si>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</si>
  <si>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</si>
  <si>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</si>
  <si>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</si>
  <si>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</si>
  <si>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</si>
  <si>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</si>
  <si>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</si>
  <si>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</si>
  <si>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</si>
  <si>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</si>
  <si>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</si>
  <si>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</si>
  <si>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</si>
  <si>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</si>
  <si>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</si>
  <si>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</si>
  <si>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</si>
  <si>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</si>
  <si>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</si>
  <si>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</si>
  <si>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</si>
  <si>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</si>
  <si>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</si>
  <si>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</si>
  <si>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</si>
  <si>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</si>
  <si>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</si>
  <si>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</si>
  <si>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</si>
  <si>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</si>
  <si>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</si>
  <si>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</si>
  <si>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</si>
  <si>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</si>
  <si>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</si>
  <si>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</si>
  <si>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</si>
  <si>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</si>
  <si>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</si>
  <si>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</si>
  <si>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</si>
  <si>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</si>
  <si>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</si>
  <si>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</si>
  <si>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</si>
  <si>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</si>
  <si>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</si>
  <si>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</si>
  <si>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</si>
  <si>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</si>
  <si>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</si>
  <si>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</si>
  <si>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</si>
  <si>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</si>
  <si>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</si>
  <si>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</si>
  <si>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</si>
  <si>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</si>
  <si>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</si>
  <si>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</si>
  <si>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</si>
  <si>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</si>
  <si>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</si>
  <si>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</si>
  <si>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</si>
  <si>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</si>
  <si>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</si>
  <si>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</si>
  <si>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</si>
  <si>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</si>
  <si>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</si>
  <si>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</si>
  <si>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</si>
  <si>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</si>
  <si>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</si>
  <si>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</si>
  <si>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</si>
  <si>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</si>
  <si>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</si>
  <si>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</si>
  <si>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</si>
  <si>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</si>
  <si>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</si>
  <si>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</si>
  <si>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</si>
  <si>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</si>
  <si>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</si>
  <si>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</si>
  <si>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</si>
  <si>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</si>
  <si>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</si>
  <si>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</si>
  <si>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</si>
  <si>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</si>
  <si>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</si>
  <si>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</si>
  <si>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</si>
  <si>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</si>
  <si>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</si>
  <si>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</si>
  <si>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</si>
  <si>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</si>
  <si>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</si>
  <si>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</si>
  <si>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</si>
  <si>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</si>
  <si>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</si>
  <si>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</si>
  <si>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</si>
  <si>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</si>
  <si>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</si>
  <si>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</si>
  <si>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</si>
  <si>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</si>
  <si>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</si>
  <si>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</si>
  <si>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</si>
  <si>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</si>
  <si>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</si>
  <si>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</si>
  <si>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</si>
  <si>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</si>
  <si>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</si>
  <si>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</si>
  <si>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</si>
  <si>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</si>
  <si>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</si>
  <si>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</si>
  <si>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</si>
  <si>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</si>
  <si>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</si>
  <si>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</si>
  <si>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</si>
  <si>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</si>
  <si>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</si>
  <si>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</si>
  <si>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</si>
  <si>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</si>
  <si>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</si>
  <si>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</si>
  <si>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</si>
  <si>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</si>
  <si>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</si>
  <si>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</si>
  <si>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</si>
  <si>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</si>
  <si>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</si>
  <si>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</si>
  <si>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</si>
  <si>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</si>
  <si>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</si>
  <si>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</si>
  <si>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</si>
  <si>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</si>
  <si>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</si>
  <si>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</si>
  <si>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</si>
  <si>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</si>
  <si>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</si>
  <si>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</si>
  <si>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</si>
  <si>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</si>
  <si>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</si>
  <si>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</si>
  <si>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</si>
  <si>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</si>
  <si>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</si>
  <si>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</si>
  <si>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</si>
  <si>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</si>
  <si>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</si>
  <si>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</si>
  <si>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</si>
  <si>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</si>
  <si>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</si>
  <si>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</si>
  <si>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</si>
  <si>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</si>
  <si>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</si>
  <si>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</si>
  <si>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</si>
  <si>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</si>
  <si>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</si>
  <si>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</si>
  <si>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</si>
  <si>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</si>
  <si>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</si>
  <si>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</si>
  <si>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</si>
  <si>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</si>
  <si>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</si>
  <si>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</si>
  <si>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</si>
  <si>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</si>
  <si>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</si>
  <si>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</si>
  <si>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</si>
  <si>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</si>
  <si>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</si>
  <si>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</si>
  <si>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</si>
  <si>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</si>
  <si>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</si>
  <si>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</si>
  <si>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</si>
  <si>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</si>
  <si>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</si>
  <si>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</si>
  <si>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</si>
  <si>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</si>
  <si>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</si>
  <si>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</si>
  <si>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</si>
  <si>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</si>
  <si>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</si>
  <si>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</si>
  <si>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</si>
  <si>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</si>
  <si>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</si>
  <si>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</si>
  <si>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</si>
  <si>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</si>
  <si>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</si>
  <si>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</si>
  <si>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</si>
  <si>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</si>
  <si>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</si>
  <si>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</si>
  <si>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</si>
  <si>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</si>
  <si>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</si>
  <si>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</si>
  <si>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</si>
  <si>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</si>
  <si>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</si>
  <si>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</si>
  <si>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</si>
  <si>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</si>
  <si>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</si>
  <si>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</si>
  <si>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</si>
  <si>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</si>
  <si>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</si>
  <si>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</si>
  <si>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</si>
  <si>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</si>
  <si>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</si>
  <si>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</si>
  <si>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</si>
  <si>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</si>
  <si>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</si>
  <si>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</si>
  <si>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</si>
  <si>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</si>
  <si>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Number of exact duplicate rows found</t>
  </si>
  <si>
    <t>Number of duplicate order IDs found</t>
  </si>
  <si>
    <t>Number of records removed</t>
  </si>
  <si>
    <t>Number of records flagged for review</t>
  </si>
  <si>
    <t>Logic used for handling duplicates</t>
  </si>
  <si>
    <t>Duplicate rows key</t>
  </si>
  <si>
    <t>Comment</t>
  </si>
  <si>
    <t>duplicate row check1</t>
  </si>
  <si>
    <t>Duplicate row, Duplicate Order ID</t>
  </si>
  <si>
    <t>Duplicate Order ID</t>
  </si>
  <si>
    <t>None</t>
  </si>
  <si>
    <t>Used Countif formula to identify duplicates and added comments in column "comment" for the records falling under duplicates.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</si>
</sst>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2" fillId="0" borderId="0" xfId="1"/>
    <xf numFmtId="0" fontId="4" fillId="3" borderId="0" xfId="1" applyFont="1" applyFill="1"/>
    <xf numFmtId="0" fontId="1" fillId="0" borderId="1" xfId="0" applyFont="1" applyBorder="1"/>
  </cellXfs>
  <cellStyles count="2">
    <cellStyle name="Normal" xfId="0" builtinId="0"/>
    <cellStyle name="Normal 2" xfId="1" xr:uid="{88A5FFC9-6076-4F00-B87E-BE7687089D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B3EB-BB0E-4E1D-9ED2-4D22F73A6364}">
  <dimension ref="A1:AE933"/>
  <sheetViews>
    <sheetView tabSelected="1" topLeftCell="M1" zoomScale="83" workbookViewId="0">
      <selection activeCell="U1" sqref="U1"/>
    </sheetView>
  </sheetViews>
  <sheetFormatPr defaultRowHeight="14.5"/>
  <cols>
    <col min="1" max="21" width="17.453125" style="2" customWidth="1"/>
    <col min="22" max="23" width="8.7265625" style="2"/>
    <col min="25" max="25" width="13" style="2" bestFit="1" customWidth="1"/>
    <col min="26" max="16384" width="8.7265625" style="2"/>
  </cols>
  <sheetData>
    <row r="1" spans="1:25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4093</v>
      </c>
      <c r="W1" s="2" t="s">
        <v>4095</v>
      </c>
      <c r="X1" s="2" t="s">
        <v>4095</v>
      </c>
      <c r="Y1" s="3" t="s">
        <v>4094</v>
      </c>
    </row>
    <row r="2" spans="1: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34</v>
      </c>
      <c r="U2" s="2" t="s">
        <v>35</v>
      </c>
      <c r="V2" s="2" t="str">
        <f>_xlfn.CONCAT(A2:U2)</f>
        <v>ORD-2024-1000121 Jul 202407/27/2024CUST-4655Karan MalhotraConsumerNorthRajasthanJaipurOffice SuppliesPaperPro Paper 122Second Class82976.450.219049.2815841.893207.39PaidCompleted</v>
      </c>
      <c r="W2" s="2">
        <f>COUNTIF($V$2:$V$933,V2)</f>
        <v>1</v>
      </c>
      <c r="X2">
        <f>COUNTIF($A$2:$A$933,A2)</f>
        <v>1</v>
      </c>
    </row>
    <row r="3" spans="1:25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>
        <v>3</v>
      </c>
      <c r="O3" s="2">
        <v>2437.5</v>
      </c>
      <c r="P3" s="2">
        <v>0</v>
      </c>
      <c r="Q3" s="2">
        <v>7312.5</v>
      </c>
      <c r="R3" s="2">
        <v>4904.7299999999996</v>
      </c>
      <c r="S3" s="2">
        <v>2407.77</v>
      </c>
      <c r="T3" s="2" t="s">
        <v>34</v>
      </c>
      <c r="U3" s="2" t="s">
        <v>35</v>
      </c>
      <c r="V3" s="2" t="str">
        <f t="shared" ref="V3:V66" si="0">_xlfn.CONCAT(A3:U3)</f>
        <v>ORD-2024-1000208/31/202405 Sep 2024CUST-2054Mira DasSmall BusinessEastOdishaBhubaneswarFurnitureTablesPro Tables 258Same Day32437.507312.54904.732407.77PaidCompleted</v>
      </c>
      <c r="W3" s="2">
        <f t="shared" ref="W3:W66" si="1">COUNTIF($V$2:$V$933,V3)</f>
        <v>1</v>
      </c>
      <c r="X3">
        <f t="shared" ref="X3:X66" si="2">COUNTIF($A$2:$A$933,A3)</f>
        <v>1</v>
      </c>
    </row>
    <row r="4" spans="1:25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26</v>
      </c>
      <c r="G4" s="2" t="s">
        <v>42</v>
      </c>
      <c r="H4" s="2" t="s">
        <v>43</v>
      </c>
      <c r="I4" s="2" t="s">
        <v>44</v>
      </c>
      <c r="J4" s="2" t="s">
        <v>30</v>
      </c>
      <c r="K4" s="2" t="s">
        <v>54</v>
      </c>
      <c r="L4" s="2" t="s">
        <v>55</v>
      </c>
      <c r="M4" s="2" t="s">
        <v>56</v>
      </c>
      <c r="N4" s="2">
        <v>4</v>
      </c>
      <c r="O4" s="2">
        <v>1065.43</v>
      </c>
      <c r="P4" s="2">
        <v>0.55000000000000004</v>
      </c>
      <c r="Q4" s="2">
        <v>4261.72</v>
      </c>
      <c r="R4" s="2">
        <v>2465.69</v>
      </c>
      <c r="S4" s="2">
        <v>1796.03</v>
      </c>
      <c r="T4" s="2" t="s">
        <v>34</v>
      </c>
      <c r="U4" s="2" t="s">
        <v>35</v>
      </c>
      <c r="V4" s="2" t="str">
        <f t="shared" si="0"/>
        <v>ORD-2024-1000306/08/202415 Jun 2024CUST-6843Isha NairConsumerEastOdishaBhubaneswarOffice SuppliesArtElite Art 525First Class41065.430.554261.722465.691796.03PaidCompleted</v>
      </c>
      <c r="W4" s="2">
        <f t="shared" si="1"/>
        <v>1</v>
      </c>
      <c r="X4">
        <f t="shared" si="2"/>
        <v>1</v>
      </c>
    </row>
    <row r="5" spans="1:2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41</v>
      </c>
      <c r="G5" s="2" t="s">
        <v>62</v>
      </c>
      <c r="H5" s="2" t="s">
        <v>63</v>
      </c>
      <c r="I5" s="2" t="s">
        <v>64</v>
      </c>
      <c r="J5" s="2" t="s">
        <v>45</v>
      </c>
      <c r="K5" s="2" t="s">
        <v>65</v>
      </c>
      <c r="L5" s="2" t="s">
        <v>66</v>
      </c>
      <c r="M5" s="2" t="s">
        <v>67</v>
      </c>
      <c r="N5" s="2">
        <v>6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34</v>
      </c>
      <c r="U5" s="2" t="s">
        <v>35</v>
      </c>
      <c r="V5" s="2" t="str">
        <f t="shared" si="0"/>
        <v>ORD-2024-1000428-11-202411/29/2024CUST-3722Arjun BoseSmall BusinessSouthTelanganaHyderabadFurnitureFurnishingsSmart Furnishings 294Standard Class61848.430.258317.936796.771521.16PaidCompleted</v>
      </c>
      <c r="W5" s="2">
        <f t="shared" si="1"/>
        <v>1</v>
      </c>
      <c r="X5">
        <f t="shared" si="2"/>
        <v>1</v>
      </c>
    </row>
    <row r="6" spans="1:25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41</v>
      </c>
      <c r="G6" s="2" t="s">
        <v>73</v>
      </c>
      <c r="H6" s="2" t="s">
        <v>74</v>
      </c>
      <c r="I6" s="2" t="s">
        <v>75</v>
      </c>
      <c r="J6" s="2" t="s">
        <v>45</v>
      </c>
      <c r="K6" s="2" t="s">
        <v>76</v>
      </c>
      <c r="L6" s="2" t="s">
        <v>77</v>
      </c>
      <c r="M6" s="2" t="s">
        <v>56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34</v>
      </c>
      <c r="U6" s="2" t="s">
        <v>78</v>
      </c>
      <c r="V6" s="2" t="str">
        <f t="shared" si="0"/>
        <v>ORD-2025-1000529 Aug 20252025-09-01CUST-8130Ananya RaoSmall BusinessWestMaharashtraMumbaiFurnitureChairsElite Chairs 543First Class72973.76020816.3217705.373110.95PaidCancelled</v>
      </c>
      <c r="W6" s="2">
        <f t="shared" si="1"/>
        <v>1</v>
      </c>
      <c r="X6">
        <f t="shared" si="2"/>
        <v>1</v>
      </c>
    </row>
    <row r="7" spans="1:25">
      <c r="A7" s="2" t="s">
        <v>79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41</v>
      </c>
      <c r="G7" s="2" t="s">
        <v>73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48</v>
      </c>
      <c r="N7" s="2">
        <v>3</v>
      </c>
      <c r="O7" s="2">
        <v>1053.1099999999999</v>
      </c>
      <c r="P7" s="2">
        <v>0.2</v>
      </c>
      <c r="Q7" s="2">
        <v>2527.46</v>
      </c>
      <c r="R7" s="2">
        <v>1533.58</v>
      </c>
      <c r="S7" s="2">
        <v>993.88</v>
      </c>
      <c r="T7" s="2" t="s">
        <v>34</v>
      </c>
      <c r="U7" s="2" t="s">
        <v>35</v>
      </c>
      <c r="V7" s="2" t="str">
        <f t="shared" si="0"/>
        <v>ORD-2024-100062024-05-2428-05-2024CUST-6056Vikram IyerSmall BusinessWestMadhya PradeshIndoreTechnologyAccessoriesPro Accessories 821Same Day31053.110.22527.461533.58993.88PaidCompleted</v>
      </c>
      <c r="W7" s="2">
        <f t="shared" si="1"/>
        <v>1</v>
      </c>
      <c r="X7">
        <f t="shared" si="2"/>
        <v>1</v>
      </c>
    </row>
    <row r="8" spans="1:25">
      <c r="A8" s="2" t="s">
        <v>89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26</v>
      </c>
      <c r="G8" s="2" t="s">
        <v>42</v>
      </c>
      <c r="H8" s="2" t="s">
        <v>43</v>
      </c>
      <c r="I8" s="2" t="s">
        <v>44</v>
      </c>
      <c r="J8" s="2" t="s">
        <v>86</v>
      </c>
      <c r="K8" s="2" t="s">
        <v>94</v>
      </c>
      <c r="L8" s="2" t="s">
        <v>95</v>
      </c>
      <c r="M8" s="2" t="s">
        <v>67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34</v>
      </c>
      <c r="U8" s="2" t="s">
        <v>35</v>
      </c>
      <c r="V8" s="2" t="str">
        <f t="shared" si="0"/>
        <v>ORD-2025-1000704/10/202504/16/2025CUST-3656Neha GuptaConsumerEastOdishaBhubaneswarTechnologyCopiersEco Copiers 790Standard Class41719.870.155847.564727.251120.31PaidCompleted</v>
      </c>
      <c r="W8" s="2">
        <f t="shared" si="1"/>
        <v>2</v>
      </c>
      <c r="X8">
        <f t="shared" si="2"/>
        <v>2</v>
      </c>
      <c r="Y8" s="2" t="s">
        <v>4096</v>
      </c>
    </row>
    <row r="9" spans="1:25">
      <c r="A9" s="2" t="s">
        <v>96</v>
      </c>
      <c r="B9" s="2" t="s">
        <v>97</v>
      </c>
      <c r="C9" s="2" t="s">
        <v>98</v>
      </c>
      <c r="D9" s="2" t="s">
        <v>99</v>
      </c>
      <c r="E9" s="2" t="s">
        <v>53</v>
      </c>
      <c r="F9" s="2" t="s">
        <v>41</v>
      </c>
      <c r="G9" s="2" t="s">
        <v>62</v>
      </c>
      <c r="H9" s="2" t="s">
        <v>100</v>
      </c>
      <c r="I9" s="2" t="s">
        <v>101</v>
      </c>
      <c r="J9" s="2" t="s">
        <v>30</v>
      </c>
      <c r="K9" s="2" t="s">
        <v>54</v>
      </c>
      <c r="L9" s="2" t="s">
        <v>102</v>
      </c>
      <c r="M9" s="2" t="s">
        <v>56</v>
      </c>
      <c r="N9" s="2">
        <v>1</v>
      </c>
      <c r="O9" s="2">
        <v>2980.71</v>
      </c>
      <c r="P9" s="2">
        <v>0</v>
      </c>
      <c r="Q9" s="2">
        <v>2980.71</v>
      </c>
      <c r="R9" s="2">
        <v>2357.2199999999998</v>
      </c>
      <c r="S9" s="2">
        <v>623.49</v>
      </c>
      <c r="T9" s="2" t="s">
        <v>34</v>
      </c>
      <c r="U9" s="2" t="s">
        <v>35</v>
      </c>
      <c r="V9" s="2" t="str">
        <f t="shared" si="0"/>
        <v>ORD-2025-100082025-02-2326-02-2025CUST-4683Isha NairSmall BusinessSouthAndhra PradeshVijayawadaOffice SuppliesArtEco Art 848First Class12980.7102980.712357.22623.49PaidCompleted</v>
      </c>
      <c r="W9" s="2">
        <f t="shared" si="1"/>
        <v>1</v>
      </c>
      <c r="X9">
        <f t="shared" si="2"/>
        <v>1</v>
      </c>
    </row>
    <row r="10" spans="1:25">
      <c r="A10" s="2" t="s">
        <v>103</v>
      </c>
      <c r="B10" s="2" t="s">
        <v>104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62</v>
      </c>
      <c r="H10" s="2" t="s">
        <v>63</v>
      </c>
      <c r="I10" s="2" t="s">
        <v>64</v>
      </c>
      <c r="J10" s="2" t="s">
        <v>30</v>
      </c>
      <c r="K10" s="2" t="s">
        <v>109</v>
      </c>
      <c r="L10" s="2" t="s">
        <v>110</v>
      </c>
      <c r="M10" s="2" t="s">
        <v>56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34</v>
      </c>
      <c r="U10" s="2" t="s">
        <v>35</v>
      </c>
      <c r="V10" s="2" t="str">
        <f t="shared" si="0"/>
        <v>ORD-2024-1000911/05/202411/10/2024CUST-2598Aditi SenCorporateSouthTelanganaHyderabadOffice SuppliesLabelsClassic Labels 815First Class83134.2025073.617347.237726.37PaidCompleted</v>
      </c>
      <c r="W10" s="2">
        <f t="shared" si="1"/>
        <v>1</v>
      </c>
      <c r="X10">
        <f t="shared" si="2"/>
        <v>1</v>
      </c>
    </row>
    <row r="11" spans="1:25">
      <c r="A11" s="2" t="s">
        <v>111</v>
      </c>
      <c r="B11" s="2" t="s">
        <v>112</v>
      </c>
      <c r="C11" s="2" t="s">
        <v>113</v>
      </c>
      <c r="D11" s="2" t="s">
        <v>114</v>
      </c>
      <c r="E11" s="2" t="s">
        <v>40</v>
      </c>
      <c r="F11" s="2" t="s">
        <v>115</v>
      </c>
      <c r="G11" s="2" t="s">
        <v>62</v>
      </c>
      <c r="H11" s="2" t="s">
        <v>63</v>
      </c>
      <c r="I11" s="2" t="s">
        <v>64</v>
      </c>
      <c r="J11" s="2" t="s">
        <v>30</v>
      </c>
      <c r="K11" s="2" t="s">
        <v>31</v>
      </c>
      <c r="L11" s="2" t="s">
        <v>116</v>
      </c>
      <c r="M11" s="2" t="s">
        <v>33</v>
      </c>
      <c r="N11" s="2">
        <v>9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34</v>
      </c>
      <c r="U11" s="2" t="s">
        <v>35</v>
      </c>
      <c r="V11" s="2" t="str">
        <f t="shared" si="0"/>
        <v>ORD-2025-1001007-09-202509/12/2025CUST-2483Mira DasHome OfficeSouthTelanganaHyderabadOffice SuppliesPaperPro Paper 622Second Class9852.040.26134.693800.192334.5PaidCompleted</v>
      </c>
      <c r="W11" s="2">
        <f t="shared" si="1"/>
        <v>1</v>
      </c>
      <c r="X11">
        <f t="shared" si="2"/>
        <v>1</v>
      </c>
    </row>
    <row r="12" spans="1:25">
      <c r="A12" s="2" t="s">
        <v>117</v>
      </c>
      <c r="B12" s="2" t="s">
        <v>118</v>
      </c>
      <c r="C12" s="2" t="s">
        <v>119</v>
      </c>
      <c r="D12" s="2" t="s">
        <v>120</v>
      </c>
      <c r="E12" s="2" t="s">
        <v>72</v>
      </c>
      <c r="F12" s="2" t="s">
        <v>108</v>
      </c>
      <c r="G12" s="2" t="s">
        <v>42</v>
      </c>
      <c r="H12" s="2" t="s">
        <v>121</v>
      </c>
      <c r="I12" s="2" t="s">
        <v>122</v>
      </c>
      <c r="J12" s="2" t="s">
        <v>30</v>
      </c>
      <c r="K12" s="2" t="s">
        <v>109</v>
      </c>
      <c r="L12" s="2" t="s">
        <v>123</v>
      </c>
      <c r="M12" s="2" t="s">
        <v>33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124</v>
      </c>
      <c r="U12" s="2" t="s">
        <v>125</v>
      </c>
      <c r="V12" s="2" t="str">
        <f t="shared" si="0"/>
        <v>ORD-2025-1001120 May 202505/20/2025CUST-8092Ananya RaoCorporateEastWest BengalKolkataOffice SuppliesLabelsPrime Labels 644Second Class33534.830.0510074.276048.274026RefundedReturned</v>
      </c>
      <c r="W12" s="2">
        <f t="shared" si="1"/>
        <v>1</v>
      </c>
      <c r="X12">
        <f t="shared" si="2"/>
        <v>1</v>
      </c>
    </row>
    <row r="13" spans="1:25">
      <c r="A13" s="2" t="s">
        <v>126</v>
      </c>
      <c r="B13" s="2" t="s">
        <v>127</v>
      </c>
      <c r="C13" s="2" t="s">
        <v>128</v>
      </c>
      <c r="D13" s="2" t="s">
        <v>129</v>
      </c>
      <c r="E13" s="2" t="s">
        <v>83</v>
      </c>
      <c r="F13" s="2" t="s">
        <v>41</v>
      </c>
      <c r="G13" s="2" t="s">
        <v>42</v>
      </c>
      <c r="H13" s="2" t="s">
        <v>43</v>
      </c>
      <c r="I13" s="2" t="s">
        <v>44</v>
      </c>
      <c r="J13" s="2" t="s">
        <v>86</v>
      </c>
      <c r="K13" s="2" t="s">
        <v>87</v>
      </c>
      <c r="L13" s="2" t="s">
        <v>130</v>
      </c>
      <c r="M13" s="2" t="s">
        <v>48</v>
      </c>
      <c r="N13" s="2">
        <v>6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34</v>
      </c>
      <c r="U13" s="2" t="s">
        <v>35</v>
      </c>
      <c r="V13" s="2" t="str">
        <f t="shared" si="0"/>
        <v>ORD-2024-100122024-07-2223-07-2024CUST-6528Vikram IyerSmall BusinessEastOdishaBhubaneswarTechnologyAccessoriesSmart Accessories 603Same Day62005.950.29628.568038.591589.97PaidCompleted</v>
      </c>
      <c r="W13" s="2">
        <f t="shared" si="1"/>
        <v>1</v>
      </c>
      <c r="X13">
        <f t="shared" si="2"/>
        <v>1</v>
      </c>
    </row>
    <row r="14" spans="1:25">
      <c r="A14" s="2" t="s">
        <v>131</v>
      </c>
      <c r="B14" s="2" t="s">
        <v>132</v>
      </c>
      <c r="C14" s="2" t="s">
        <v>133</v>
      </c>
      <c r="D14" s="2" t="s">
        <v>134</v>
      </c>
      <c r="E14" s="2" t="s">
        <v>72</v>
      </c>
      <c r="F14" s="2" t="s">
        <v>108</v>
      </c>
      <c r="G14" s="2" t="s">
        <v>73</v>
      </c>
      <c r="H14" s="2" t="s">
        <v>28</v>
      </c>
      <c r="I14" s="2" t="s">
        <v>135</v>
      </c>
      <c r="J14" s="2" t="s">
        <v>30</v>
      </c>
      <c r="K14" s="2" t="s">
        <v>31</v>
      </c>
      <c r="L14" s="2" t="s">
        <v>136</v>
      </c>
      <c r="M14" s="2" t="s">
        <v>56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137</v>
      </c>
      <c r="U14" s="2" t="s">
        <v>125</v>
      </c>
      <c r="V14" s="2" t="str">
        <f t="shared" si="0"/>
        <v>ORD-2024-1001320 Dec 202412/21/2024CUST-2648Ananya RaoCorporateWestRajasthanUdaipurOffice SuppliesPaperPro Paper 481First Class1702.140.15596.82380.25216.57PendingReturned</v>
      </c>
      <c r="W14" s="2">
        <f t="shared" si="1"/>
        <v>1</v>
      </c>
      <c r="X14">
        <f t="shared" si="2"/>
        <v>1</v>
      </c>
    </row>
    <row r="15" spans="1:25">
      <c r="A15" s="2" t="s">
        <v>138</v>
      </c>
      <c r="B15" s="2" t="s">
        <v>139</v>
      </c>
      <c r="C15" s="2" t="s">
        <v>140</v>
      </c>
      <c r="D15" s="2" t="s">
        <v>141</v>
      </c>
      <c r="E15" s="2" t="s">
        <v>142</v>
      </c>
      <c r="F15" s="2" t="s">
        <v>41</v>
      </c>
      <c r="G15" s="2" t="s">
        <v>73</v>
      </c>
      <c r="H15" s="2" t="s">
        <v>74</v>
      </c>
      <c r="I15" s="2" t="s">
        <v>75</v>
      </c>
      <c r="J15" s="2" t="s">
        <v>30</v>
      </c>
      <c r="K15" s="2" t="s">
        <v>54</v>
      </c>
      <c r="L15" s="2" t="s">
        <v>143</v>
      </c>
      <c r="M15" s="2" t="s">
        <v>33</v>
      </c>
      <c r="N15" s="2">
        <v>7</v>
      </c>
      <c r="O15" s="2">
        <v>3964.72</v>
      </c>
      <c r="P15" s="2">
        <v>0.05</v>
      </c>
      <c r="Q15" s="2">
        <v>26365.39</v>
      </c>
      <c r="R15" s="2">
        <v>22306.240000000002</v>
      </c>
      <c r="S15" s="2">
        <v>4059.15</v>
      </c>
      <c r="T15" s="2" t="s">
        <v>34</v>
      </c>
      <c r="U15" s="2" t="s">
        <v>35</v>
      </c>
      <c r="V15" s="2" t="str">
        <f t="shared" si="0"/>
        <v>ORD-2025-100142025-10-1216-10-2025CUST-7482Priya MenonSmall BusinessWestMaharashtraMumbaiOffice SuppliesArtSmart Art 795Second Class73964.720.0526365.3922306.244059.15PaidCompleted</v>
      </c>
      <c r="W15" s="2">
        <f t="shared" si="1"/>
        <v>1</v>
      </c>
      <c r="X15">
        <f t="shared" si="2"/>
        <v>1</v>
      </c>
    </row>
    <row r="16" spans="1:25">
      <c r="A16" s="2" t="s">
        <v>144</v>
      </c>
      <c r="B16" s="2" t="s">
        <v>145</v>
      </c>
      <c r="C16" s="2" t="s">
        <v>146</v>
      </c>
      <c r="D16" s="2" t="s">
        <v>147</v>
      </c>
      <c r="E16" s="2" t="s">
        <v>148</v>
      </c>
      <c r="F16" s="2" t="s">
        <v>26</v>
      </c>
      <c r="G16" s="2" t="s">
        <v>73</v>
      </c>
      <c r="H16" s="2" t="s">
        <v>28</v>
      </c>
      <c r="I16" s="2" t="s">
        <v>135</v>
      </c>
      <c r="J16" s="2" t="s">
        <v>86</v>
      </c>
      <c r="K16" s="2" t="s">
        <v>94</v>
      </c>
      <c r="L16" s="2" t="s">
        <v>149</v>
      </c>
      <c r="M16" s="2" t="s">
        <v>67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34</v>
      </c>
      <c r="U16" s="2" t="s">
        <v>35</v>
      </c>
      <c r="V16" s="2" t="str">
        <f t="shared" si="0"/>
        <v>ORD-2024-1001527 Dec 202412/28/2024CUST-4912Rahul VermaConsumerWestRajasthanUdaipurTechnologyCopiersMax Copiers 983Standard Class22737.830.254106.742666.31440.44PaidCompleted</v>
      </c>
      <c r="W16" s="2">
        <f t="shared" si="1"/>
        <v>1</v>
      </c>
      <c r="X16">
        <f t="shared" si="2"/>
        <v>1</v>
      </c>
    </row>
    <row r="17" spans="1:24">
      <c r="A17" s="2" t="s">
        <v>150</v>
      </c>
      <c r="B17" s="2" t="s">
        <v>151</v>
      </c>
      <c r="C17" s="2" t="s">
        <v>152</v>
      </c>
      <c r="D17" s="2" t="s">
        <v>153</v>
      </c>
      <c r="E17" s="2" t="s">
        <v>25</v>
      </c>
      <c r="F17" s="2" t="s">
        <v>41</v>
      </c>
      <c r="G17" s="2" t="s">
        <v>27</v>
      </c>
      <c r="H17" s="2" t="s">
        <v>154</v>
      </c>
      <c r="I17" s="2" t="s">
        <v>155</v>
      </c>
      <c r="J17" s="2" t="s">
        <v>30</v>
      </c>
      <c r="K17" s="2" t="s">
        <v>156</v>
      </c>
      <c r="L17" s="2" t="s">
        <v>157</v>
      </c>
      <c r="M17" s="2" t="s">
        <v>33</v>
      </c>
      <c r="N17" s="2">
        <v>6</v>
      </c>
      <c r="O17" s="2">
        <v>3965.76</v>
      </c>
      <c r="P17" s="2">
        <v>0</v>
      </c>
      <c r="Q17" s="2">
        <v>23794.560000000001</v>
      </c>
      <c r="R17" s="2">
        <v>15698.47</v>
      </c>
      <c r="S17" s="2">
        <v>8096.09</v>
      </c>
      <c r="T17" s="2" t="s">
        <v>34</v>
      </c>
      <c r="U17" s="2" t="s">
        <v>35</v>
      </c>
      <c r="V17" s="2" t="str">
        <f t="shared" si="0"/>
        <v>ORD-2024-1001607/09/202409 Jul 2024CUST-7656Karan MalhotraSmall BusinessNorthPunjabLudhianaOffice SuppliesStorageClassic Storage 198Second Class63965.76023794.5615698.478096.09PaidCompleted</v>
      </c>
      <c r="W17" s="2">
        <f t="shared" si="1"/>
        <v>1</v>
      </c>
      <c r="X17">
        <f t="shared" si="2"/>
        <v>1</v>
      </c>
    </row>
    <row r="18" spans="1:24">
      <c r="A18" s="2" t="s">
        <v>158</v>
      </c>
      <c r="B18" s="2" t="s">
        <v>159</v>
      </c>
      <c r="C18" s="2" t="s">
        <v>160</v>
      </c>
      <c r="D18" s="2" t="s">
        <v>161</v>
      </c>
      <c r="E18" s="2" t="s">
        <v>162</v>
      </c>
      <c r="F18" s="2" t="s">
        <v>26</v>
      </c>
      <c r="G18" s="2" t="s">
        <v>62</v>
      </c>
      <c r="H18" s="2" t="s">
        <v>63</v>
      </c>
      <c r="I18" s="2" t="s">
        <v>64</v>
      </c>
      <c r="J18" s="2" t="s">
        <v>30</v>
      </c>
      <c r="K18" s="2" t="s">
        <v>54</v>
      </c>
      <c r="L18" s="2" t="s">
        <v>163</v>
      </c>
      <c r="M18" s="2" t="s">
        <v>56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34</v>
      </c>
      <c r="U18" s="2" t="s">
        <v>35</v>
      </c>
      <c r="V18" s="2" t="str">
        <f t="shared" si="0"/>
        <v>ORD-2024-1001705/08/202415-05-2024CUST-6214Aarav SharmaConsumerSouthTelanganaHyderabadOffice SuppliesArtBasic Art 204First Class43323.510.259970.535668.174302.36PaidCompleted</v>
      </c>
      <c r="W18" s="2">
        <f t="shared" si="1"/>
        <v>1</v>
      </c>
      <c r="X18">
        <f t="shared" si="2"/>
        <v>1</v>
      </c>
    </row>
    <row r="19" spans="1:24">
      <c r="A19" s="2" t="s">
        <v>164</v>
      </c>
      <c r="B19" s="2" t="s">
        <v>165</v>
      </c>
      <c r="C19" s="2" t="s">
        <v>166</v>
      </c>
      <c r="D19" s="2" t="s">
        <v>167</v>
      </c>
      <c r="E19" s="2" t="s">
        <v>168</v>
      </c>
      <c r="F19" s="2" t="s">
        <v>41</v>
      </c>
      <c r="G19" s="2" t="s">
        <v>27</v>
      </c>
      <c r="H19" s="2" t="s">
        <v>28</v>
      </c>
      <c r="I19" s="2" t="s">
        <v>29</v>
      </c>
      <c r="J19" s="2" t="s">
        <v>45</v>
      </c>
      <c r="K19" s="2" t="s">
        <v>65</v>
      </c>
      <c r="L19" s="2" t="s">
        <v>169</v>
      </c>
      <c r="M19" s="2" t="s">
        <v>48</v>
      </c>
      <c r="N19" s="2">
        <v>5</v>
      </c>
      <c r="O19" s="2">
        <v>1526.78</v>
      </c>
      <c r="P19" s="2">
        <v>0</v>
      </c>
      <c r="Q19" s="2">
        <v>7633.9</v>
      </c>
      <c r="R19" s="2">
        <v>4706.91</v>
      </c>
      <c r="S19" s="2">
        <v>2926.99</v>
      </c>
      <c r="T19" s="2" t="s">
        <v>34</v>
      </c>
      <c r="U19" s="2" t="s">
        <v>35</v>
      </c>
      <c r="V19" s="2" t="str">
        <f t="shared" si="0"/>
        <v>ORD-2024-1001801/07/20242024-01-08CUST-1626Sneha KapoorSmall BusinessNorthRajasthanJaipurFurnitureFurnishingsBasic Furnishings 434Same Day51526.7807633.94706.912926.99PaidCompleted</v>
      </c>
      <c r="W19" s="2">
        <f t="shared" si="1"/>
        <v>1</v>
      </c>
      <c r="X19">
        <f t="shared" si="2"/>
        <v>1</v>
      </c>
    </row>
    <row r="20" spans="1:24">
      <c r="A20" s="2" t="s">
        <v>170</v>
      </c>
      <c r="B20" s="2" t="s">
        <v>171</v>
      </c>
      <c r="C20" s="2" t="s">
        <v>172</v>
      </c>
      <c r="D20" s="2" t="s">
        <v>173</v>
      </c>
      <c r="E20" s="2" t="s">
        <v>162</v>
      </c>
      <c r="F20" s="2" t="s">
        <v>115</v>
      </c>
      <c r="G20" s="2" t="s">
        <v>27</v>
      </c>
      <c r="H20" s="2" t="s">
        <v>174</v>
      </c>
      <c r="I20" s="2" t="s">
        <v>175</v>
      </c>
      <c r="J20" s="2" t="s">
        <v>86</v>
      </c>
      <c r="K20" s="2" t="s">
        <v>94</v>
      </c>
      <c r="L20" s="2" t="s">
        <v>176</v>
      </c>
      <c r="M20" s="2" t="s">
        <v>56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124</v>
      </c>
      <c r="U20" s="2" t="s">
        <v>78</v>
      </c>
      <c r="V20" s="2" t="str">
        <f t="shared" si="0"/>
        <v>ORD-2025-1001907/15/202517-07-2025CUST-2110Aarav SharmaHome OfficeNorthUttar PradeshNoidaTechnologyCopiersEco Copiers 755First Class21997.9903995.982633.21362.78RefundedCancelled</v>
      </c>
      <c r="W20" s="2">
        <f t="shared" si="1"/>
        <v>1</v>
      </c>
      <c r="X20">
        <f t="shared" si="2"/>
        <v>1</v>
      </c>
    </row>
    <row r="21" spans="1:24">
      <c r="A21" s="2" t="s">
        <v>177</v>
      </c>
      <c r="B21" s="2" t="s">
        <v>23</v>
      </c>
      <c r="C21" s="2" t="s">
        <v>178</v>
      </c>
      <c r="D21" s="2" t="s">
        <v>179</v>
      </c>
      <c r="E21" s="2" t="s">
        <v>180</v>
      </c>
      <c r="F21" s="2" t="s">
        <v>115</v>
      </c>
      <c r="G21" s="2" t="s">
        <v>73</v>
      </c>
      <c r="H21" s="2" t="s">
        <v>84</v>
      </c>
      <c r="I21" s="2" t="s">
        <v>85</v>
      </c>
      <c r="J21" s="2" t="s">
        <v>30</v>
      </c>
      <c r="K21" s="2" t="s">
        <v>156</v>
      </c>
      <c r="L21" s="2" t="s">
        <v>181</v>
      </c>
      <c r="M21" s="2" t="s">
        <v>33</v>
      </c>
      <c r="N21" s="2">
        <v>3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34</v>
      </c>
      <c r="U21" s="2" t="s">
        <v>35</v>
      </c>
      <c r="V21" s="2" t="str">
        <f t="shared" si="0"/>
        <v>ORD-2024-1002007/27/202431 Jul 2024CUST-3186Rohan MehtaHome OfficeWestMadhya PradeshIndoreOffice SuppliesStoragePrime Storage 121Second Class33887.94-0.199331.067529.311801.75PaidCompleted</v>
      </c>
      <c r="W21" s="2">
        <f t="shared" si="1"/>
        <v>1</v>
      </c>
      <c r="X21">
        <f t="shared" si="2"/>
        <v>1</v>
      </c>
    </row>
    <row r="22" spans="1:24">
      <c r="A22" s="2" t="s">
        <v>182</v>
      </c>
      <c r="B22" s="2" t="s">
        <v>183</v>
      </c>
      <c r="C22" s="2" t="s">
        <v>184</v>
      </c>
      <c r="D22" s="2" t="s">
        <v>185</v>
      </c>
      <c r="E22" s="2" t="s">
        <v>107</v>
      </c>
      <c r="F22" s="2" t="s">
        <v>115</v>
      </c>
      <c r="G22" s="2" t="s">
        <v>42</v>
      </c>
      <c r="H22" s="2" t="s">
        <v>186</v>
      </c>
      <c r="I22" s="2" t="s">
        <v>187</v>
      </c>
      <c r="J22" s="2" t="s">
        <v>86</v>
      </c>
      <c r="K22" s="2" t="s">
        <v>94</v>
      </c>
      <c r="L22" s="2" t="s">
        <v>188</v>
      </c>
      <c r="M22" s="2" t="s">
        <v>56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34</v>
      </c>
      <c r="U22" s="2" t="s">
        <v>35</v>
      </c>
      <c r="V22" s="2" t="str">
        <f t="shared" si="0"/>
        <v>ORD-2025-1002121-01-202523 Jan 2025CUST-3190Aditi SenHome OfficeEastBiharPatnaTechnologyCopiersElite Copiers 233First Class54373.060.2516398.989556.526842.46PaidCompleted</v>
      </c>
      <c r="W22" s="2">
        <f t="shared" si="1"/>
        <v>1</v>
      </c>
      <c r="X22">
        <f t="shared" si="2"/>
        <v>1</v>
      </c>
    </row>
    <row r="23" spans="1:24">
      <c r="A23" s="2" t="s">
        <v>189</v>
      </c>
      <c r="B23" s="2" t="s">
        <v>190</v>
      </c>
      <c r="C23" s="2" t="s">
        <v>191</v>
      </c>
      <c r="D23" s="2" t="s">
        <v>192</v>
      </c>
      <c r="E23" s="2" t="s">
        <v>168</v>
      </c>
      <c r="F23" s="2" t="s">
        <v>26</v>
      </c>
      <c r="G23" s="2" t="s">
        <v>73</v>
      </c>
      <c r="H23" s="2" t="s">
        <v>84</v>
      </c>
      <c r="I23" s="2" t="s">
        <v>85</v>
      </c>
      <c r="J23" s="2" t="s">
        <v>45</v>
      </c>
      <c r="K23" s="2" t="s">
        <v>65</v>
      </c>
      <c r="L23" s="2" t="s">
        <v>193</v>
      </c>
      <c r="M23" s="2" t="s">
        <v>33</v>
      </c>
      <c r="N23" s="2">
        <v>4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34</v>
      </c>
      <c r="U23" s="2" t="s">
        <v>35</v>
      </c>
      <c r="V23" s="2" t="str">
        <f t="shared" si="0"/>
        <v>ORD-2025-1002224-01-202501/30/2025CUST-3036Sneha KapoorConsumerWestMadhya PradeshIndoreFurnitureFurnishingsEco Furnishings 897Second Class4697.69-0.232790.762037.71753.05PaidCompleted</v>
      </c>
      <c r="W23" s="2">
        <f t="shared" si="1"/>
        <v>1</v>
      </c>
      <c r="X23">
        <f t="shared" si="2"/>
        <v>1</v>
      </c>
    </row>
    <row r="24" spans="1:24">
      <c r="A24" s="2" t="s">
        <v>194</v>
      </c>
      <c r="B24" s="2" t="s">
        <v>195</v>
      </c>
      <c r="C24" s="2" t="s">
        <v>196</v>
      </c>
      <c r="D24" s="2" t="s">
        <v>197</v>
      </c>
      <c r="E24" s="2" t="s">
        <v>40</v>
      </c>
      <c r="F24" s="2" t="s">
        <v>26</v>
      </c>
      <c r="G24" s="2" t="s">
        <v>62</v>
      </c>
      <c r="H24" s="2" t="s">
        <v>63</v>
      </c>
      <c r="I24" s="2" t="s">
        <v>64</v>
      </c>
      <c r="J24" s="2" t="s">
        <v>30</v>
      </c>
      <c r="K24" s="2" t="s">
        <v>198</v>
      </c>
      <c r="L24" s="2" t="s">
        <v>199</v>
      </c>
      <c r="M24" s="2" t="s">
        <v>67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200</v>
      </c>
      <c r="U24" s="2" t="s">
        <v>125</v>
      </c>
      <c r="V24" s="2" t="str">
        <f t="shared" si="0"/>
        <v>ORD-2025-1002319 Jan 20252025-01-21CUST-3588Mira DasConsumerSouthTelanganaHyderabadOffice SuppliesBindersMax Binders 355Standard Class81219.340.158291.516685.031606.48FailedReturned</v>
      </c>
      <c r="W24" s="2">
        <f t="shared" si="1"/>
        <v>1</v>
      </c>
      <c r="X24">
        <f t="shared" si="2"/>
        <v>1</v>
      </c>
    </row>
    <row r="25" spans="1:24">
      <c r="A25" s="2" t="s">
        <v>201</v>
      </c>
      <c r="B25" s="2" t="s">
        <v>69</v>
      </c>
      <c r="C25" s="2" t="s">
        <v>202</v>
      </c>
      <c r="D25" s="2" t="s">
        <v>203</v>
      </c>
      <c r="E25" s="2" t="s">
        <v>148</v>
      </c>
      <c r="F25" s="2" t="s">
        <v>115</v>
      </c>
      <c r="G25" s="2" t="s">
        <v>42</v>
      </c>
      <c r="H25" s="2" t="s">
        <v>186</v>
      </c>
      <c r="I25" s="2" t="s">
        <v>187</v>
      </c>
      <c r="J25" s="2" t="s">
        <v>45</v>
      </c>
      <c r="K25" s="2" t="s">
        <v>204</v>
      </c>
      <c r="L25" s="2" t="s">
        <v>205</v>
      </c>
      <c r="M25" s="2" t="s">
        <v>56</v>
      </c>
      <c r="N25" s="2">
        <v>4</v>
      </c>
      <c r="O25" s="2">
        <v>1958.01</v>
      </c>
      <c r="P25" s="2">
        <v>0.2</v>
      </c>
      <c r="Q25" s="2">
        <v>6265.63</v>
      </c>
      <c r="R25" s="2">
        <v>4321.8599999999997</v>
      </c>
      <c r="S25" s="2">
        <v>1943.77</v>
      </c>
      <c r="T25" s="2" t="s">
        <v>34</v>
      </c>
      <c r="U25" s="2" t="s">
        <v>35</v>
      </c>
      <c r="V25" s="2" t="str">
        <f t="shared" si="0"/>
        <v>ORD-2025-1002429 Aug 202531-08-2025CUST-7098Rahul VermaHome OfficeEastBiharPatnaFurnitureBookcasesPro Bookcases 394First Class41958.010.26265.634321.861943.77PaidCompleted</v>
      </c>
      <c r="W25" s="2">
        <f t="shared" si="1"/>
        <v>1</v>
      </c>
      <c r="X25">
        <f t="shared" si="2"/>
        <v>1</v>
      </c>
    </row>
    <row r="26" spans="1:24">
      <c r="A26" s="2" t="s">
        <v>206</v>
      </c>
      <c r="B26" s="2" t="s">
        <v>207</v>
      </c>
      <c r="C26" s="2" t="s">
        <v>208</v>
      </c>
      <c r="D26" s="2" t="s">
        <v>209</v>
      </c>
      <c r="E26" s="2" t="s">
        <v>210</v>
      </c>
      <c r="F26" s="2" t="s">
        <v>26</v>
      </c>
      <c r="G26" s="2" t="s">
        <v>27</v>
      </c>
      <c r="H26" s="2" t="s">
        <v>154</v>
      </c>
      <c r="I26" s="2" t="s">
        <v>155</v>
      </c>
      <c r="J26" s="2" t="s">
        <v>30</v>
      </c>
      <c r="K26" s="2" t="s">
        <v>54</v>
      </c>
      <c r="L26" s="2" t="s">
        <v>211</v>
      </c>
      <c r="M26" s="2" t="s">
        <v>67</v>
      </c>
      <c r="N26" s="2">
        <v>4</v>
      </c>
      <c r="O26" s="2">
        <v>4492.9399999999996</v>
      </c>
      <c r="P26" s="2">
        <v>0.25</v>
      </c>
      <c r="Q26" s="2">
        <v>13478.82</v>
      </c>
      <c r="R26" s="2">
        <v>10937.35</v>
      </c>
      <c r="S26" s="2">
        <v>2541.4699999999998</v>
      </c>
      <c r="T26" s="2" t="s">
        <v>137</v>
      </c>
      <c r="U26" s="2" t="s">
        <v>78</v>
      </c>
      <c r="V26" s="2" t="str">
        <f t="shared" si="0"/>
        <v>ORD-2024-100252024-03-0403/01/2024CUST-1747Diya PatelConsumerNorthPunjabLudhianaOffice SuppliesArtMax Art 215Standard Class44492.940.2513478.8210937.352541.47PendingCancelled</v>
      </c>
      <c r="W26" s="2">
        <f t="shared" si="1"/>
        <v>1</v>
      </c>
      <c r="X26">
        <f t="shared" si="2"/>
        <v>1</v>
      </c>
    </row>
    <row r="27" spans="1:24">
      <c r="A27" s="2" t="s">
        <v>212</v>
      </c>
      <c r="B27" s="2" t="s">
        <v>213</v>
      </c>
      <c r="C27" s="2" t="s">
        <v>214</v>
      </c>
      <c r="D27" s="2" t="s">
        <v>215</v>
      </c>
      <c r="E27" s="2" t="s">
        <v>61</v>
      </c>
      <c r="F27" s="2" t="s">
        <v>108</v>
      </c>
      <c r="G27" s="2" t="s">
        <v>42</v>
      </c>
      <c r="H27" s="2" t="s">
        <v>216</v>
      </c>
      <c r="I27" s="2" t="s">
        <v>217</v>
      </c>
      <c r="J27" s="2" t="s">
        <v>86</v>
      </c>
      <c r="K27" s="2" t="s">
        <v>87</v>
      </c>
      <c r="L27" s="2" t="s">
        <v>218</v>
      </c>
      <c r="M27" s="2" t="s">
        <v>56</v>
      </c>
      <c r="N27" s="2">
        <v>2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2367.4299999999998</v>
      </c>
      <c r="T27" s="2" t="s">
        <v>34</v>
      </c>
      <c r="U27" s="2" t="s">
        <v>35</v>
      </c>
      <c r="V27" s="2" t="str">
        <f t="shared" si="0"/>
        <v>ORD-2024-1002611-10-20242024-10-19CUST-1731Arjun BoseCorporateEastAssamGuwahatiTechnologyAccessoriesClassic Accessories 478First Class24315.20.157335.844968.412367.43PaidCompleted</v>
      </c>
      <c r="W27" s="2">
        <f t="shared" si="1"/>
        <v>1</v>
      </c>
      <c r="X27">
        <f t="shared" si="2"/>
        <v>1</v>
      </c>
    </row>
    <row r="28" spans="1:24">
      <c r="A28" s="2" t="s">
        <v>219</v>
      </c>
      <c r="B28" s="2" t="s">
        <v>220</v>
      </c>
      <c r="C28" s="2" t="s">
        <v>221</v>
      </c>
      <c r="D28" s="2" t="s">
        <v>222</v>
      </c>
      <c r="E28" s="2" t="s">
        <v>210</v>
      </c>
      <c r="F28" s="2" t="s">
        <v>108</v>
      </c>
      <c r="G28" s="2" t="s">
        <v>27</v>
      </c>
      <c r="H28" s="2" t="s">
        <v>174</v>
      </c>
      <c r="I28" s="2" t="s">
        <v>175</v>
      </c>
      <c r="J28" s="2" t="s">
        <v>86</v>
      </c>
      <c r="K28" s="2" t="s">
        <v>223</v>
      </c>
      <c r="L28" s="2" t="s">
        <v>224</v>
      </c>
      <c r="M28" s="2" t="s">
        <v>67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34</v>
      </c>
      <c r="U28" s="2" t="s">
        <v>125</v>
      </c>
      <c r="V28" s="2" t="str">
        <f t="shared" si="0"/>
        <v>ORD-2024-1002723-11-202423 Nov 2024CUST-4401Diya PatelCorporateNorthUttar PradeshNoidaTechnologyPhonesPro Phones 243Standard Class4716.130.12578.071527.551050.52PaidReturned</v>
      </c>
      <c r="W28" s="2">
        <f t="shared" si="1"/>
        <v>1</v>
      </c>
      <c r="X28">
        <f t="shared" si="2"/>
        <v>1</v>
      </c>
    </row>
    <row r="29" spans="1:24">
      <c r="A29" s="2" t="s">
        <v>225</v>
      </c>
      <c r="B29" s="2" t="s">
        <v>226</v>
      </c>
      <c r="C29" s="2" t="s">
        <v>227</v>
      </c>
      <c r="D29" s="2" t="s">
        <v>228</v>
      </c>
      <c r="E29" s="2" t="s">
        <v>61</v>
      </c>
      <c r="F29" s="2" t="s">
        <v>41</v>
      </c>
      <c r="G29" s="2" t="s">
        <v>62</v>
      </c>
      <c r="H29" s="2" t="s">
        <v>229</v>
      </c>
      <c r="I29" s="2" t="s">
        <v>230</v>
      </c>
      <c r="J29" s="2" t="s">
        <v>30</v>
      </c>
      <c r="K29" s="2" t="s">
        <v>31</v>
      </c>
      <c r="L29" s="2" t="s">
        <v>231</v>
      </c>
      <c r="M29" s="2" t="s">
        <v>33</v>
      </c>
      <c r="N29" s="2">
        <v>5</v>
      </c>
      <c r="O29" s="2">
        <v>1806.51</v>
      </c>
      <c r="P29" s="2">
        <v>0.25</v>
      </c>
      <c r="Q29" s="2">
        <v>6774.41</v>
      </c>
      <c r="R29" s="2">
        <v>4710.3599999999997</v>
      </c>
      <c r="S29" s="2">
        <v>2064.0500000000002</v>
      </c>
      <c r="T29" s="2" t="s">
        <v>200</v>
      </c>
      <c r="U29" s="2" t="s">
        <v>125</v>
      </c>
      <c r="V29" s="2" t="str">
        <f t="shared" si="0"/>
        <v>ORD-2025-1002829 Sep 202505-10-2025CUST-9875Arjun BoseSmall BusinessSouthKarnatakaBengaluruOffice SuppliesPaperBasic Paper 613Second Class51806.510.256774.414710.362064.05FailedReturned</v>
      </c>
      <c r="W29" s="2">
        <f t="shared" si="1"/>
        <v>1</v>
      </c>
      <c r="X29">
        <f t="shared" si="2"/>
        <v>1</v>
      </c>
    </row>
    <row r="30" spans="1:24">
      <c r="A30" s="2" t="s">
        <v>232</v>
      </c>
      <c r="B30" s="2" t="s">
        <v>213</v>
      </c>
      <c r="C30" s="2" t="s">
        <v>233</v>
      </c>
      <c r="D30" s="2" t="s">
        <v>234</v>
      </c>
      <c r="E30" s="2" t="s">
        <v>72</v>
      </c>
      <c r="F30" s="2" t="s">
        <v>115</v>
      </c>
      <c r="G30" s="2" t="s">
        <v>73</v>
      </c>
      <c r="H30" s="2" t="s">
        <v>235</v>
      </c>
      <c r="I30" s="2" t="s">
        <v>236</v>
      </c>
      <c r="J30" s="2" t="s">
        <v>86</v>
      </c>
      <c r="K30" s="2" t="s">
        <v>223</v>
      </c>
      <c r="L30" s="2" t="s">
        <v>237</v>
      </c>
      <c r="M30" s="2" t="s">
        <v>33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124</v>
      </c>
      <c r="U30" s="2" t="s">
        <v>78</v>
      </c>
      <c r="V30" s="2" t="str">
        <f t="shared" si="0"/>
        <v>ORD-2024-1002911-10-202418-10-2024CUST-1569Ananya RaoHome OfficeWestGujaratAhmedabadTechnologyPhonesPrime Phones 698Second Class21942.220.252913.332122.33791RefundedCancelled</v>
      </c>
      <c r="W30" s="2">
        <f t="shared" si="1"/>
        <v>1</v>
      </c>
      <c r="X30">
        <f t="shared" si="2"/>
        <v>1</v>
      </c>
    </row>
    <row r="31" spans="1:24">
      <c r="A31" s="2" t="s">
        <v>238</v>
      </c>
      <c r="B31" s="2" t="s">
        <v>239</v>
      </c>
      <c r="C31" s="2" t="s">
        <v>240</v>
      </c>
      <c r="D31" s="2" t="s">
        <v>241</v>
      </c>
      <c r="E31" s="2" t="s">
        <v>180</v>
      </c>
      <c r="F31" s="2" t="s">
        <v>115</v>
      </c>
      <c r="G31" s="2" t="s">
        <v>62</v>
      </c>
      <c r="H31" s="2" t="s">
        <v>242</v>
      </c>
      <c r="I31" s="2" t="s">
        <v>243</v>
      </c>
      <c r="J31" s="2" t="s">
        <v>86</v>
      </c>
      <c r="K31" s="2" t="s">
        <v>223</v>
      </c>
      <c r="L31" s="2" t="s">
        <v>244</v>
      </c>
      <c r="M31" s="2" t="s">
        <v>67</v>
      </c>
      <c r="N31" s="2">
        <v>1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34</v>
      </c>
      <c r="U31" s="2" t="s">
        <v>35</v>
      </c>
      <c r="V31" s="2" t="str">
        <f t="shared" si="0"/>
        <v>ORD-2025-1003013 Aug 202513-08-2025CUST-5936Rohan MehtaHome OfficeSouthKeralaKochiTechnologyPhonesPro Phones 442Standard Class1256.010.15217.61119.7797.84PaidCompleted</v>
      </c>
      <c r="W31" s="2">
        <f t="shared" si="1"/>
        <v>1</v>
      </c>
      <c r="X31">
        <f t="shared" si="2"/>
        <v>1</v>
      </c>
    </row>
    <row r="32" spans="1:24">
      <c r="A32" s="2" t="s">
        <v>245</v>
      </c>
      <c r="B32" s="2" t="s">
        <v>246</v>
      </c>
      <c r="C32" s="2" t="s">
        <v>247</v>
      </c>
      <c r="D32" s="2" t="s">
        <v>248</v>
      </c>
      <c r="E32" s="2" t="s">
        <v>72</v>
      </c>
      <c r="F32" s="2" t="s">
        <v>108</v>
      </c>
      <c r="G32" s="2" t="s">
        <v>73</v>
      </c>
      <c r="H32" s="2" t="s">
        <v>249</v>
      </c>
      <c r="I32" s="2" t="s">
        <v>250</v>
      </c>
      <c r="J32" s="2" t="s">
        <v>30</v>
      </c>
      <c r="K32" s="2" t="s">
        <v>109</v>
      </c>
      <c r="L32" s="2" t="s">
        <v>251</v>
      </c>
      <c r="M32" s="2" t="s">
        <v>56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34</v>
      </c>
      <c r="U32" s="2" t="s">
        <v>35</v>
      </c>
      <c r="V32" s="2" t="str">
        <f t="shared" si="0"/>
        <v>ORD-2024-1003109 Feb 202402/12/2024CUST-8759Ananya RaoCorporateWestGoaPanajiOffice SuppliesLabelsPro Labels 355First Class13421.770.13079.592001.891077.7PaidCompleted</v>
      </c>
      <c r="W32" s="2">
        <f t="shared" si="1"/>
        <v>1</v>
      </c>
      <c r="X32">
        <f t="shared" si="2"/>
        <v>1</v>
      </c>
    </row>
    <row r="33" spans="1:24">
      <c r="A33" s="2" t="s">
        <v>252</v>
      </c>
      <c r="B33" s="2" t="s">
        <v>253</v>
      </c>
      <c r="C33" s="2" t="s">
        <v>254</v>
      </c>
      <c r="D33" s="2" t="s">
        <v>255</v>
      </c>
      <c r="E33" s="2" t="s">
        <v>25</v>
      </c>
      <c r="F33" s="2" t="s">
        <v>41</v>
      </c>
      <c r="G33" s="2" t="s">
        <v>73</v>
      </c>
      <c r="H33" s="2" t="s">
        <v>84</v>
      </c>
      <c r="I33" s="2" t="s">
        <v>85</v>
      </c>
      <c r="J33" s="2" t="s">
        <v>30</v>
      </c>
      <c r="K33" s="2" t="s">
        <v>31</v>
      </c>
      <c r="L33" s="2" t="s">
        <v>256</v>
      </c>
      <c r="M33" s="2" t="s">
        <v>33</v>
      </c>
      <c r="N33" s="2">
        <v>9</v>
      </c>
      <c r="O33" s="2">
        <v>3092.55</v>
      </c>
      <c r="P33" s="2">
        <v>0</v>
      </c>
      <c r="Q33" s="2">
        <v>27832.95</v>
      </c>
      <c r="R33" s="2">
        <v>17769.75</v>
      </c>
      <c r="S33" s="2">
        <v>10063.200000000001</v>
      </c>
      <c r="T33" s="2" t="s">
        <v>200</v>
      </c>
      <c r="U33" s="2" t="s">
        <v>125</v>
      </c>
      <c r="V33" s="2" t="str">
        <f t="shared" si="0"/>
        <v>ORD-2025-1003215-06-202519-06-2025CUST-7867Karan MalhotraSmall BusinessWestMadhya PradeshIndoreOffice SuppliesPaperPro Paper 959Second Class93092.55027832.9517769.7510063.2FailedReturned</v>
      </c>
      <c r="W33" s="2">
        <f t="shared" si="1"/>
        <v>1</v>
      </c>
      <c r="X33">
        <f t="shared" si="2"/>
        <v>1</v>
      </c>
    </row>
    <row r="34" spans="1:24">
      <c r="A34" s="2" t="s">
        <v>257</v>
      </c>
      <c r="B34" s="2" t="s">
        <v>258</v>
      </c>
      <c r="C34" s="2" t="s">
        <v>259</v>
      </c>
      <c r="D34" s="2" t="s">
        <v>260</v>
      </c>
      <c r="E34" s="2" t="s">
        <v>162</v>
      </c>
      <c r="F34" s="2" t="s">
        <v>108</v>
      </c>
      <c r="G34" s="2" t="s">
        <v>62</v>
      </c>
      <c r="H34" s="2" t="s">
        <v>100</v>
      </c>
      <c r="I34" s="2" t="s">
        <v>101</v>
      </c>
      <c r="J34" s="2" t="s">
        <v>86</v>
      </c>
      <c r="K34" s="2" t="s">
        <v>223</v>
      </c>
      <c r="L34" s="2" t="s">
        <v>261</v>
      </c>
      <c r="M34" s="2" t="s">
        <v>33</v>
      </c>
      <c r="N34" s="2">
        <v>3</v>
      </c>
      <c r="O34" s="2">
        <v>4001.25</v>
      </c>
      <c r="Q34" s="2">
        <v>9002.81</v>
      </c>
      <c r="R34" s="2">
        <v>7529.92</v>
      </c>
      <c r="S34" s="2">
        <v>1472.89</v>
      </c>
      <c r="T34" s="2" t="s">
        <v>34</v>
      </c>
      <c r="U34" s="2" t="s">
        <v>35</v>
      </c>
      <c r="V34" s="2" t="str">
        <f t="shared" si="0"/>
        <v>ORD-2024-1003322-11-20242024-11-26CUST-6509Aarav SharmaCorporateSouthAndhra PradeshVijayawadaTechnologyPhonesBasic Phones 242Second Class34001.259002.817529.921472.89PaidCompleted</v>
      </c>
      <c r="W34" s="2">
        <f t="shared" si="1"/>
        <v>1</v>
      </c>
      <c r="X34">
        <f t="shared" si="2"/>
        <v>1</v>
      </c>
    </row>
    <row r="35" spans="1:24">
      <c r="A35" s="2" t="s">
        <v>262</v>
      </c>
      <c r="B35" s="2" t="s">
        <v>263</v>
      </c>
      <c r="C35" s="2" t="s">
        <v>264</v>
      </c>
      <c r="D35" s="2" t="s">
        <v>265</v>
      </c>
      <c r="E35" s="2" t="s">
        <v>142</v>
      </c>
      <c r="F35" s="2" t="s">
        <v>115</v>
      </c>
      <c r="G35" s="2" t="s">
        <v>73</v>
      </c>
      <c r="H35" s="2" t="s">
        <v>249</v>
      </c>
      <c r="I35" s="2" t="s">
        <v>250</v>
      </c>
      <c r="J35" s="2" t="s">
        <v>45</v>
      </c>
      <c r="K35" s="2" t="s">
        <v>46</v>
      </c>
      <c r="L35" s="2" t="s">
        <v>266</v>
      </c>
      <c r="M35" s="2" t="s">
        <v>48</v>
      </c>
      <c r="N35" s="2">
        <v>7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514.41999999999996</v>
      </c>
      <c r="T35" s="2" t="s">
        <v>34</v>
      </c>
      <c r="U35" s="2" t="s">
        <v>35</v>
      </c>
      <c r="V35" s="2" t="str">
        <f t="shared" si="0"/>
        <v>ORD-2024-1003407/22/202427-07-2024CUST-6660Priya MenonHome OfficeWestGoaPanajiFurnitureTablesMax Tables 836Same Day7492.410.252585.152070.73514.42PaidCompleted</v>
      </c>
      <c r="W35" s="2">
        <f t="shared" si="1"/>
        <v>1</v>
      </c>
      <c r="X35">
        <f t="shared" si="2"/>
        <v>1</v>
      </c>
    </row>
    <row r="36" spans="1:24">
      <c r="A36" s="2" t="s">
        <v>267</v>
      </c>
      <c r="B36" s="2" t="s">
        <v>268</v>
      </c>
      <c r="C36" s="2" t="s">
        <v>269</v>
      </c>
      <c r="D36" s="2" t="s">
        <v>270</v>
      </c>
      <c r="E36" s="2" t="s">
        <v>142</v>
      </c>
      <c r="F36" s="2" t="s">
        <v>115</v>
      </c>
      <c r="G36" s="2" t="s">
        <v>42</v>
      </c>
      <c r="H36" s="2" t="s">
        <v>121</v>
      </c>
      <c r="I36" s="2" t="s">
        <v>122</v>
      </c>
      <c r="J36" s="2" t="s">
        <v>45</v>
      </c>
      <c r="K36" s="2" t="s">
        <v>76</v>
      </c>
      <c r="L36" s="2" t="s">
        <v>271</v>
      </c>
      <c r="N36" s="2">
        <v>2</v>
      </c>
      <c r="O36" s="2">
        <v>4159.6899999999996</v>
      </c>
      <c r="P36" s="2">
        <v>0.2</v>
      </c>
      <c r="Q36" s="2">
        <v>6655.5</v>
      </c>
      <c r="R36" s="2">
        <v>4340.21</v>
      </c>
      <c r="S36" s="2">
        <v>2607.3200000000002</v>
      </c>
      <c r="T36" s="2" t="s">
        <v>34</v>
      </c>
      <c r="U36" s="2" t="s">
        <v>35</v>
      </c>
      <c r="V36" s="2" t="str">
        <f t="shared" si="0"/>
        <v>ORD-2025-100352025-01-312025-02-05CUST-2392Priya MenonHome OfficeEastWest BengalKolkataFurnitureChairsElite Chairs 86224159.690.26655.54340.212607.32PaidCompleted</v>
      </c>
      <c r="W36" s="2">
        <f t="shared" si="1"/>
        <v>1</v>
      </c>
      <c r="X36">
        <f t="shared" si="2"/>
        <v>1</v>
      </c>
    </row>
    <row r="37" spans="1:24">
      <c r="A37" s="2" t="s">
        <v>272</v>
      </c>
      <c r="B37" s="2" t="s">
        <v>273</v>
      </c>
      <c r="C37" s="2" t="s">
        <v>274</v>
      </c>
      <c r="D37" s="2" t="s">
        <v>275</v>
      </c>
      <c r="E37" s="2" t="s">
        <v>168</v>
      </c>
      <c r="F37" s="2" t="s">
        <v>41</v>
      </c>
      <c r="G37" s="2" t="s">
        <v>73</v>
      </c>
      <c r="H37" s="2" t="s">
        <v>235</v>
      </c>
      <c r="I37" s="2" t="s">
        <v>236</v>
      </c>
      <c r="J37" s="2" t="s">
        <v>45</v>
      </c>
      <c r="K37" s="2" t="s">
        <v>204</v>
      </c>
      <c r="L37" s="2" t="s">
        <v>276</v>
      </c>
      <c r="M37" s="2" t="s">
        <v>33</v>
      </c>
      <c r="N37" s="2">
        <v>8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137</v>
      </c>
      <c r="U37" s="2" t="s">
        <v>125</v>
      </c>
      <c r="V37" s="2" t="str">
        <f t="shared" si="0"/>
        <v>ORD-2024-1003629-05-202429 May 2024CUST-1611Sneha KapoorSmall BusinessWestGujaratAhmedabadFurnitureBookcasesPrime Bookcases 414Second Class82507.120.0519054.1115313.833740.28PendingReturned</v>
      </c>
      <c r="W37" s="2">
        <f t="shared" si="1"/>
        <v>1</v>
      </c>
      <c r="X37">
        <f t="shared" si="2"/>
        <v>1</v>
      </c>
    </row>
    <row r="38" spans="1:24">
      <c r="A38" s="2" t="s">
        <v>277</v>
      </c>
      <c r="B38" s="2" t="s">
        <v>278</v>
      </c>
      <c r="C38" s="2" t="s">
        <v>279</v>
      </c>
      <c r="D38" s="2" t="s">
        <v>280</v>
      </c>
      <c r="E38" s="2" t="s">
        <v>180</v>
      </c>
      <c r="F38" s="2" t="s">
        <v>108</v>
      </c>
      <c r="G38" s="2" t="s">
        <v>73</v>
      </c>
      <c r="H38" s="2" t="s">
        <v>74</v>
      </c>
      <c r="I38" s="2" t="s">
        <v>75</v>
      </c>
      <c r="J38" s="2" t="s">
        <v>45</v>
      </c>
      <c r="K38" s="2" t="s">
        <v>204</v>
      </c>
      <c r="L38" s="2" t="s">
        <v>281</v>
      </c>
      <c r="M38" s="2" t="s">
        <v>33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34</v>
      </c>
      <c r="U38" s="2" t="s">
        <v>125</v>
      </c>
      <c r="V38" s="2" t="str">
        <f t="shared" si="0"/>
        <v>ORD-2024-100372024-10-2528 Oct 2024CUST-8296Rohan MehtaCorporateWestMaharashtraMumbaiFurnitureBookcasesEco Bookcases 220Second Class33126.4709379.416670.852708.56PaidReturned</v>
      </c>
      <c r="W38" s="2">
        <f t="shared" si="1"/>
        <v>1</v>
      </c>
      <c r="X38">
        <f t="shared" si="2"/>
        <v>1</v>
      </c>
    </row>
    <row r="39" spans="1:24">
      <c r="A39" s="2" t="s">
        <v>282</v>
      </c>
      <c r="B39" s="2" t="s">
        <v>283</v>
      </c>
      <c r="C39" s="2" t="s">
        <v>283</v>
      </c>
      <c r="D39" s="2" t="s">
        <v>284</v>
      </c>
      <c r="E39" s="2" t="s">
        <v>210</v>
      </c>
      <c r="F39" s="2" t="s">
        <v>26</v>
      </c>
      <c r="G39" s="2" t="s">
        <v>73</v>
      </c>
      <c r="H39" s="2" t="s">
        <v>74</v>
      </c>
      <c r="I39" s="2" t="s">
        <v>75</v>
      </c>
      <c r="J39" s="2" t="s">
        <v>86</v>
      </c>
      <c r="K39" s="2" t="s">
        <v>94</v>
      </c>
      <c r="L39" s="2" t="s">
        <v>285</v>
      </c>
      <c r="M39" s="2" t="s">
        <v>286</v>
      </c>
      <c r="N39" s="2">
        <v>4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34</v>
      </c>
      <c r="U39" s="2" t="s">
        <v>35</v>
      </c>
      <c r="V39" s="2" t="str">
        <f t="shared" si="0"/>
        <v>ORD-2025-1003829-07-202529-07-2025CUST-4646Diya PatelConsumerWestMaharashtraMumbaiTechnologyCopiersPro Copiers 830STANDARD CLASS41327.540.24248.133321.09927.04PaidCompleted</v>
      </c>
      <c r="W39" s="2">
        <f t="shared" si="1"/>
        <v>1</v>
      </c>
      <c r="X39">
        <f t="shared" si="2"/>
        <v>1</v>
      </c>
    </row>
    <row r="40" spans="1:24">
      <c r="A40" s="2" t="s">
        <v>287</v>
      </c>
      <c r="B40" s="2" t="s">
        <v>288</v>
      </c>
      <c r="C40" s="2" t="s">
        <v>289</v>
      </c>
      <c r="D40" s="2" t="s">
        <v>290</v>
      </c>
      <c r="E40" s="2" t="s">
        <v>162</v>
      </c>
      <c r="F40" s="2" t="s">
        <v>108</v>
      </c>
      <c r="G40" s="2" t="s">
        <v>73</v>
      </c>
      <c r="H40" s="2" t="s">
        <v>235</v>
      </c>
      <c r="I40" s="2" t="s">
        <v>236</v>
      </c>
      <c r="J40" s="2" t="s">
        <v>86</v>
      </c>
      <c r="K40" s="2" t="s">
        <v>223</v>
      </c>
      <c r="L40" s="2" t="s">
        <v>291</v>
      </c>
      <c r="M40" s="2" t="s">
        <v>56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34</v>
      </c>
      <c r="U40" s="2" t="s">
        <v>35</v>
      </c>
      <c r="V40" s="2" t="str">
        <f t="shared" si="0"/>
        <v>ORD-2024-100392024-06-1722-06-2024CUST-8235Aarav SharmaCorporateWestGujaratAhmedabadTechnologyPhonesPrime Phones 507First Class72210.680.113927.2810504.873422.41PaidCompleted</v>
      </c>
      <c r="W40" s="2">
        <f t="shared" si="1"/>
        <v>1</v>
      </c>
      <c r="X40">
        <f t="shared" si="2"/>
        <v>1</v>
      </c>
    </row>
    <row r="41" spans="1:24">
      <c r="A41" s="2" t="s">
        <v>292</v>
      </c>
      <c r="B41" s="2" t="s">
        <v>293</v>
      </c>
      <c r="C41" s="2" t="s">
        <v>294</v>
      </c>
      <c r="D41" s="2" t="s">
        <v>295</v>
      </c>
      <c r="E41" s="2" t="s">
        <v>40</v>
      </c>
      <c r="F41" s="2" t="s">
        <v>41</v>
      </c>
      <c r="G41" s="2" t="s">
        <v>73</v>
      </c>
      <c r="H41" s="2" t="s">
        <v>84</v>
      </c>
      <c r="I41" s="2" t="s">
        <v>85</v>
      </c>
      <c r="J41" s="2" t="s">
        <v>86</v>
      </c>
      <c r="K41" s="2" t="s">
        <v>94</v>
      </c>
      <c r="L41" s="2" t="s">
        <v>296</v>
      </c>
      <c r="M41" s="2" t="s">
        <v>56</v>
      </c>
      <c r="N41" s="2">
        <v>4</v>
      </c>
      <c r="O41" s="2">
        <v>1370.92</v>
      </c>
      <c r="P41" s="2">
        <v>0.1</v>
      </c>
      <c r="Q41" s="2">
        <v>4935.3100000000004</v>
      </c>
      <c r="R41" s="2">
        <v>3374.77</v>
      </c>
      <c r="S41" s="2">
        <v>1560.54</v>
      </c>
      <c r="T41" s="2" t="s">
        <v>137</v>
      </c>
      <c r="U41" s="2" t="s">
        <v>125</v>
      </c>
      <c r="V41" s="2" t="str">
        <f t="shared" si="0"/>
        <v>ORD-2024-1004012/11/20242024-12-11CUST-5830Mira DasSmall BusinessWestMadhya PradeshIndoreTechnologyCopiersClassic Copiers 590First Class41370.920.14935.313374.771560.54PendingReturned</v>
      </c>
      <c r="W41" s="2">
        <f t="shared" si="1"/>
        <v>1</v>
      </c>
      <c r="X41">
        <f t="shared" si="2"/>
        <v>1</v>
      </c>
    </row>
    <row r="42" spans="1:24">
      <c r="A42" s="2" t="s">
        <v>297</v>
      </c>
      <c r="B42" s="2" t="s">
        <v>298</v>
      </c>
      <c r="C42" s="2" t="s">
        <v>299</v>
      </c>
      <c r="D42" s="2" t="s">
        <v>300</v>
      </c>
      <c r="E42" s="2" t="s">
        <v>53</v>
      </c>
      <c r="F42" s="2" t="s">
        <v>115</v>
      </c>
      <c r="G42" s="2" t="s">
        <v>73</v>
      </c>
      <c r="H42" s="2" t="s">
        <v>28</v>
      </c>
      <c r="I42" s="2" t="s">
        <v>135</v>
      </c>
      <c r="J42" s="2" t="s">
        <v>86</v>
      </c>
      <c r="K42" s="2" t="s">
        <v>94</v>
      </c>
      <c r="L42" s="2" t="s">
        <v>301</v>
      </c>
      <c r="M42" s="2" t="s">
        <v>67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34</v>
      </c>
      <c r="U42" s="2" t="s">
        <v>35</v>
      </c>
      <c r="V42" s="2" t="str">
        <f t="shared" si="0"/>
        <v>ORD-2024-1004110-10-202416 Oct 2024CUST-7178Isha NairHome OfficeWestRajasthanUdaipurTechnologyCopiersEco Copiers 865Standard Class72509.270.214051.9111990.372061.54PaidCompleted</v>
      </c>
      <c r="W42" s="2">
        <f t="shared" si="1"/>
        <v>1</v>
      </c>
      <c r="X42">
        <f t="shared" si="2"/>
        <v>1</v>
      </c>
    </row>
    <row r="43" spans="1:24">
      <c r="A43" s="2" t="s">
        <v>302</v>
      </c>
      <c r="B43" s="2" t="s">
        <v>303</v>
      </c>
      <c r="C43" s="2" t="s">
        <v>304</v>
      </c>
      <c r="D43" s="2" t="s">
        <v>305</v>
      </c>
      <c r="E43" s="2" t="s">
        <v>162</v>
      </c>
      <c r="F43" s="2" t="s">
        <v>41</v>
      </c>
      <c r="G43" s="2" t="s">
        <v>42</v>
      </c>
      <c r="H43" s="2" t="s">
        <v>43</v>
      </c>
      <c r="I43" s="2" t="s">
        <v>44</v>
      </c>
      <c r="J43" s="2" t="s">
        <v>45</v>
      </c>
      <c r="K43" s="2" t="s">
        <v>204</v>
      </c>
      <c r="L43" s="2" t="s">
        <v>306</v>
      </c>
      <c r="M43" s="2" t="s">
        <v>48</v>
      </c>
      <c r="N43" s="2">
        <v>8</v>
      </c>
      <c r="O43" s="2">
        <v>855.81</v>
      </c>
      <c r="P43" s="2">
        <v>0</v>
      </c>
      <c r="Q43" s="2">
        <v>6846.48</v>
      </c>
      <c r="R43" s="2">
        <v>4239.8900000000003</v>
      </c>
      <c r="S43" s="2">
        <v>2606.59</v>
      </c>
      <c r="T43" s="2" t="s">
        <v>137</v>
      </c>
      <c r="U43" s="2" t="s">
        <v>78</v>
      </c>
      <c r="V43" s="2" t="str">
        <f t="shared" si="0"/>
        <v>ORD-2024-1004203/12/202417-03-2024CUST-3829Aarav SharmaSmall BusinessEastOdishaBhubaneswarFurnitureBookcasesClassic Bookcases 835Same Day8855.8106846.484239.892606.59PendingCancelled</v>
      </c>
      <c r="W43" s="2">
        <f t="shared" si="1"/>
        <v>1</v>
      </c>
      <c r="X43">
        <f t="shared" si="2"/>
        <v>1</v>
      </c>
    </row>
    <row r="44" spans="1:24">
      <c r="A44" s="2" t="s">
        <v>307</v>
      </c>
      <c r="B44" s="2" t="s">
        <v>308</v>
      </c>
      <c r="C44" s="2" t="s">
        <v>309</v>
      </c>
      <c r="D44" s="2" t="s">
        <v>310</v>
      </c>
      <c r="E44" s="2" t="s">
        <v>61</v>
      </c>
      <c r="F44" s="2" t="s">
        <v>108</v>
      </c>
      <c r="G44" s="2" t="s">
        <v>42</v>
      </c>
      <c r="H44" s="2" t="s">
        <v>311</v>
      </c>
      <c r="I44" s="2" t="s">
        <v>312</v>
      </c>
      <c r="J44" s="2" t="s">
        <v>86</v>
      </c>
      <c r="K44" s="2" t="s">
        <v>223</v>
      </c>
      <c r="L44" s="2" t="s">
        <v>313</v>
      </c>
      <c r="M44" s="2" t="s">
        <v>67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34</v>
      </c>
      <c r="U44" s="2" t="s">
        <v>35</v>
      </c>
      <c r="V44" s="2" t="str">
        <f t="shared" si="0"/>
        <v>ORD-2025-100432025-10-1015 Oct 2025CUST-6708Arjun BoseCorporateEastJharkhandRanchiTechnologyPhonesEco Phones 702Standard Class8979.870.057447.014496.222950.79PaidCompleted</v>
      </c>
      <c r="W44" s="2">
        <f t="shared" si="1"/>
        <v>1</v>
      </c>
      <c r="X44">
        <f t="shared" si="2"/>
        <v>1</v>
      </c>
    </row>
    <row r="45" spans="1:24">
      <c r="A45" s="2" t="s">
        <v>314</v>
      </c>
      <c r="B45" s="2" t="s">
        <v>315</v>
      </c>
      <c r="C45" s="2" t="s">
        <v>316</v>
      </c>
      <c r="D45" s="2" t="s">
        <v>317</v>
      </c>
      <c r="E45" s="2" t="s">
        <v>142</v>
      </c>
      <c r="F45" s="2" t="s">
        <v>41</v>
      </c>
      <c r="G45" s="2" t="s">
        <v>42</v>
      </c>
      <c r="H45" s="2" t="s">
        <v>43</v>
      </c>
      <c r="I45" s="2" t="s">
        <v>44</v>
      </c>
      <c r="J45" s="2" t="s">
        <v>45</v>
      </c>
      <c r="K45" s="2" t="s">
        <v>65</v>
      </c>
      <c r="L45" s="2" t="s">
        <v>318</v>
      </c>
      <c r="M45" s="2" t="s">
        <v>48</v>
      </c>
      <c r="N45" s="2">
        <v>3</v>
      </c>
      <c r="O45" s="2">
        <v>1010.23</v>
      </c>
      <c r="P45" s="2">
        <v>0</v>
      </c>
      <c r="Q45" s="2">
        <v>3030.69</v>
      </c>
      <c r="R45" s="2">
        <v>1721.08</v>
      </c>
      <c r="S45" s="2">
        <v>1309.6099999999999</v>
      </c>
      <c r="T45" s="2" t="s">
        <v>34</v>
      </c>
      <c r="U45" s="2" t="s">
        <v>35</v>
      </c>
      <c r="V45" s="2" t="str">
        <f t="shared" si="0"/>
        <v>ORD-2024-1004407/08/202407/14/2024CUST-7119Priya MenonSmall BusinessEastOdishaBhubaneswarFurnitureFurnishingsSmart Furnishings 956Same Day31010.2303030.691721.081309.61PaidCompleted</v>
      </c>
      <c r="W45" s="2">
        <f t="shared" si="1"/>
        <v>1</v>
      </c>
      <c r="X45">
        <f t="shared" si="2"/>
        <v>1</v>
      </c>
    </row>
    <row r="46" spans="1:24">
      <c r="A46" s="2" t="s">
        <v>319</v>
      </c>
      <c r="B46" s="2" t="s">
        <v>320</v>
      </c>
      <c r="C46" s="2" t="s">
        <v>321</v>
      </c>
      <c r="D46" s="2" t="s">
        <v>322</v>
      </c>
      <c r="E46" s="2" t="s">
        <v>180</v>
      </c>
      <c r="F46" s="2" t="s">
        <v>41</v>
      </c>
      <c r="G46" s="2" t="s">
        <v>27</v>
      </c>
      <c r="H46" s="2" t="s">
        <v>323</v>
      </c>
      <c r="I46" s="2" t="s">
        <v>324</v>
      </c>
      <c r="J46" s="2" t="s">
        <v>45</v>
      </c>
      <c r="K46" s="2" t="s">
        <v>76</v>
      </c>
      <c r="L46" s="2" t="s">
        <v>325</v>
      </c>
      <c r="M46" s="2" t="s">
        <v>67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34</v>
      </c>
      <c r="U46" s="2" t="s">
        <v>35</v>
      </c>
      <c r="V46" s="2" t="str">
        <f t="shared" si="0"/>
        <v>ORD-2024-1004506/22/202425-06-2024CUST-3373Rohan MehtaSmall BusinessNorthHaryanaGurugramFurnitureChairsMax Chairs 393Standard Class93329.770.126971.1417376.29594.94PaidCompleted</v>
      </c>
      <c r="W46" s="2">
        <f t="shared" si="1"/>
        <v>1</v>
      </c>
      <c r="X46">
        <f t="shared" si="2"/>
        <v>1</v>
      </c>
    </row>
    <row r="47" spans="1:24">
      <c r="A47" s="2" t="s">
        <v>326</v>
      </c>
      <c r="B47" s="2" t="s">
        <v>327</v>
      </c>
      <c r="C47" s="2" t="s">
        <v>328</v>
      </c>
      <c r="D47" s="2" t="s">
        <v>329</v>
      </c>
      <c r="E47" s="2" t="s">
        <v>53</v>
      </c>
      <c r="F47" s="2" t="s">
        <v>115</v>
      </c>
      <c r="G47" s="2" t="s">
        <v>42</v>
      </c>
      <c r="H47" s="2" t="s">
        <v>186</v>
      </c>
      <c r="I47" s="2" t="s">
        <v>187</v>
      </c>
      <c r="J47" s="2" t="s">
        <v>30</v>
      </c>
      <c r="K47" s="2" t="s">
        <v>54</v>
      </c>
      <c r="L47" s="2" t="s">
        <v>330</v>
      </c>
      <c r="M47" s="2" t="s">
        <v>33</v>
      </c>
      <c r="N47" s="2">
        <v>8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137</v>
      </c>
      <c r="U47" s="2" t="s">
        <v>125</v>
      </c>
      <c r="V47" s="2" t="str">
        <f t="shared" si="0"/>
        <v>ORD-2024-1004618 Jan 202424-01-2024CUST-8896Isha NairHome OfficeEastBiharPatnaOffice SuppliesArtPrime Art 221Second Class83927.820.0529851.4317487.4812363.95PendingReturned</v>
      </c>
      <c r="W47" s="2">
        <f t="shared" si="1"/>
        <v>1</v>
      </c>
      <c r="X47">
        <f t="shared" si="2"/>
        <v>1</v>
      </c>
    </row>
    <row r="48" spans="1:24">
      <c r="A48" s="2" t="s">
        <v>331</v>
      </c>
      <c r="B48" s="2" t="s">
        <v>332</v>
      </c>
      <c r="C48" s="2" t="s">
        <v>332</v>
      </c>
      <c r="D48" s="2" t="s">
        <v>333</v>
      </c>
      <c r="E48" s="2" t="s">
        <v>72</v>
      </c>
      <c r="F48" s="2" t="s">
        <v>41</v>
      </c>
      <c r="G48" s="2" t="s">
        <v>62</v>
      </c>
      <c r="H48" s="2" t="s">
        <v>242</v>
      </c>
      <c r="I48" s="2" t="s">
        <v>243</v>
      </c>
      <c r="J48" s="2" t="s">
        <v>45</v>
      </c>
      <c r="K48" s="2" t="s">
        <v>204</v>
      </c>
      <c r="L48" s="2" t="s">
        <v>334</v>
      </c>
      <c r="M48" s="2" t="s">
        <v>67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124</v>
      </c>
      <c r="U48" s="2" t="s">
        <v>125</v>
      </c>
      <c r="V48" s="2" t="str">
        <f t="shared" si="0"/>
        <v>ORD-2024-1004719-07-202419-07-2024CUST-8517Ananya RaoSmall BusinessSouthKeralaKochiFurnitureBookcasesElite Bookcases 671Standard Class92386.790.2516110.8310680.035430.8RefundedReturned</v>
      </c>
      <c r="W48" s="2">
        <f t="shared" si="1"/>
        <v>1</v>
      </c>
      <c r="X48">
        <f t="shared" si="2"/>
        <v>1</v>
      </c>
    </row>
    <row r="49" spans="1:24">
      <c r="A49" s="2" t="s">
        <v>335</v>
      </c>
      <c r="B49" s="2" t="s">
        <v>336</v>
      </c>
      <c r="C49" s="2" t="s">
        <v>337</v>
      </c>
      <c r="D49" s="2" t="s">
        <v>338</v>
      </c>
      <c r="E49" s="2" t="s">
        <v>148</v>
      </c>
      <c r="F49" s="2" t="s">
        <v>108</v>
      </c>
      <c r="G49" s="2" t="s">
        <v>62</v>
      </c>
      <c r="H49" s="2" t="s">
        <v>339</v>
      </c>
      <c r="I49" s="2" t="s">
        <v>340</v>
      </c>
      <c r="J49" s="2" t="s">
        <v>30</v>
      </c>
      <c r="K49" s="2" t="s">
        <v>156</v>
      </c>
      <c r="L49" s="2" t="s">
        <v>341</v>
      </c>
      <c r="M49" s="2" t="s">
        <v>67</v>
      </c>
      <c r="N49" s="2">
        <v>8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5167.2700000000004</v>
      </c>
      <c r="T49" s="2" t="s">
        <v>34</v>
      </c>
      <c r="U49" s="2" t="s">
        <v>35</v>
      </c>
      <c r="V49" s="2" t="str">
        <f t="shared" si="0"/>
        <v>ORD-2024-1004812-08-20242024-08-12CUST-1987Rahul VermaCorporateSouthTamil NaduChennaiOffice SuppliesStorageMax Storage 432Standard Class82445.310.117606.2312438.965167.27PaidCompleted</v>
      </c>
      <c r="W49" s="2">
        <f t="shared" si="1"/>
        <v>1</v>
      </c>
      <c r="X49">
        <f t="shared" si="2"/>
        <v>1</v>
      </c>
    </row>
    <row r="50" spans="1:24">
      <c r="A50" s="2" t="s">
        <v>342</v>
      </c>
      <c r="B50" s="2" t="s">
        <v>343</v>
      </c>
      <c r="C50" s="2" t="s">
        <v>344</v>
      </c>
      <c r="D50" s="2" t="s">
        <v>345</v>
      </c>
      <c r="E50" s="2" t="s">
        <v>93</v>
      </c>
      <c r="F50" s="2" t="s">
        <v>108</v>
      </c>
      <c r="G50" s="2" t="s">
        <v>73</v>
      </c>
      <c r="H50" s="2" t="s">
        <v>74</v>
      </c>
      <c r="I50" s="2" t="s">
        <v>75</v>
      </c>
      <c r="J50" s="2" t="s">
        <v>45</v>
      </c>
      <c r="K50" s="2" t="s">
        <v>76</v>
      </c>
      <c r="L50" s="2" t="s">
        <v>346</v>
      </c>
      <c r="M50" s="2" t="s">
        <v>33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34</v>
      </c>
      <c r="U50" s="2" t="s">
        <v>35</v>
      </c>
      <c r="V50" s="2" t="str">
        <f t="shared" si="0"/>
        <v>ORD-2025-1004930 Jan 202505 Feb 2025CUST-8183Neha GuptaCorporateWestMaharashtraMumbaiFurnitureChairsBasic Chairs 837Second Class74063.66028445.6220938.597507.03PaidCompleted</v>
      </c>
      <c r="W50" s="2">
        <f t="shared" si="1"/>
        <v>1</v>
      </c>
      <c r="X50">
        <f t="shared" si="2"/>
        <v>1</v>
      </c>
    </row>
    <row r="51" spans="1:24">
      <c r="A51" s="2" t="s">
        <v>347</v>
      </c>
      <c r="B51" s="2" t="s">
        <v>348</v>
      </c>
      <c r="C51" s="2" t="s">
        <v>349</v>
      </c>
      <c r="D51" s="2" t="s">
        <v>350</v>
      </c>
      <c r="E51" s="2" t="s">
        <v>162</v>
      </c>
      <c r="F51" s="2" t="s">
        <v>115</v>
      </c>
      <c r="G51" s="2" t="s">
        <v>27</v>
      </c>
      <c r="H51" s="2" t="s">
        <v>174</v>
      </c>
      <c r="I51" s="2" t="s">
        <v>175</v>
      </c>
      <c r="J51" s="2" t="s">
        <v>86</v>
      </c>
      <c r="K51" s="2" t="s">
        <v>94</v>
      </c>
      <c r="L51" s="2" t="s">
        <v>351</v>
      </c>
      <c r="M51" s="2" t="s">
        <v>33</v>
      </c>
      <c r="N51" s="2">
        <v>9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34</v>
      </c>
      <c r="U51" s="2" t="s">
        <v>35</v>
      </c>
      <c r="V51" s="2" t="str">
        <f t="shared" si="0"/>
        <v>ORD-2024-100502024-04-0613 Apr 2024CUST-2380Aarav SharmaHome OfficeNorthUttar PradeshNoidaTechnologyCopiersClassic Copiers 295Second Class9792.110.056772.545755.461017.08PaidCompleted</v>
      </c>
      <c r="W51" s="2">
        <f t="shared" si="1"/>
        <v>1</v>
      </c>
      <c r="X51">
        <f t="shared" si="2"/>
        <v>1</v>
      </c>
    </row>
    <row r="52" spans="1:24">
      <c r="A52" s="2" t="s">
        <v>352</v>
      </c>
      <c r="B52" s="2" t="s">
        <v>353</v>
      </c>
      <c r="C52" s="2" t="s">
        <v>354</v>
      </c>
      <c r="D52" s="2" t="s">
        <v>355</v>
      </c>
      <c r="E52" s="2" t="s">
        <v>168</v>
      </c>
      <c r="F52" s="2" t="s">
        <v>26</v>
      </c>
      <c r="G52" s="2" t="s">
        <v>42</v>
      </c>
      <c r="H52" s="2" t="s">
        <v>121</v>
      </c>
      <c r="I52" s="2" t="s">
        <v>122</v>
      </c>
      <c r="J52" s="2" t="s">
        <v>86</v>
      </c>
      <c r="K52" s="2" t="s">
        <v>94</v>
      </c>
      <c r="L52" s="2" t="s">
        <v>356</v>
      </c>
      <c r="M52" s="2" t="s">
        <v>67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34</v>
      </c>
      <c r="U52" s="2" t="s">
        <v>35</v>
      </c>
      <c r="V52" s="2" t="str">
        <f t="shared" si="0"/>
        <v>ORD-2025-1005105/11/202519 May 2025CUST-8787Sneha KapoorConsumerEastWest BengalKolkataTechnologyCopiersPro Copiers 963Standard Class12382.80.152025.381140.65884.73PaidCompleted</v>
      </c>
      <c r="W52" s="2">
        <f t="shared" si="1"/>
        <v>1</v>
      </c>
      <c r="X52">
        <f t="shared" si="2"/>
        <v>1</v>
      </c>
    </row>
    <row r="53" spans="1:24">
      <c r="A53" s="2" t="s">
        <v>357</v>
      </c>
      <c r="B53" s="2" t="s">
        <v>358</v>
      </c>
      <c r="C53" s="2" t="s">
        <v>359</v>
      </c>
      <c r="D53" s="2" t="s">
        <v>360</v>
      </c>
      <c r="E53" s="2" t="s">
        <v>72</v>
      </c>
      <c r="F53" s="2" t="s">
        <v>108</v>
      </c>
      <c r="G53" s="2" t="s">
        <v>62</v>
      </c>
      <c r="H53" s="2" t="s">
        <v>63</v>
      </c>
      <c r="I53" s="2" t="s">
        <v>64</v>
      </c>
      <c r="J53" s="2" t="s">
        <v>30</v>
      </c>
      <c r="K53" s="2" t="s">
        <v>54</v>
      </c>
      <c r="L53" s="2" t="s">
        <v>361</v>
      </c>
      <c r="M53" s="2" t="s">
        <v>67</v>
      </c>
      <c r="N53" s="2">
        <v>6</v>
      </c>
      <c r="O53" s="2">
        <v>1528.08</v>
      </c>
      <c r="P53" s="2">
        <v>0</v>
      </c>
      <c r="Q53" s="2">
        <v>9168.48</v>
      </c>
      <c r="R53" s="2">
        <v>7439.77</v>
      </c>
      <c r="S53" s="2">
        <v>1728.71</v>
      </c>
      <c r="T53" s="2" t="s">
        <v>34</v>
      </c>
      <c r="U53" s="2" t="s">
        <v>35</v>
      </c>
      <c r="V53" s="2" t="str">
        <f t="shared" si="0"/>
        <v>ORD-2024-1005224 Apr 202429 Apr 2024CUST-3557Ananya RaoCorporateSouthTelanganaHyderabadOffice SuppliesArtPro Art 907Standard Class61528.0809168.487439.771728.71PaidCompleted</v>
      </c>
      <c r="W53" s="2">
        <f t="shared" si="1"/>
        <v>1</v>
      </c>
      <c r="X53">
        <f t="shared" si="2"/>
        <v>1</v>
      </c>
    </row>
    <row r="54" spans="1:24">
      <c r="A54" s="2" t="s">
        <v>362</v>
      </c>
      <c r="B54" s="2" t="s">
        <v>363</v>
      </c>
      <c r="C54" s="2" t="s">
        <v>364</v>
      </c>
      <c r="D54" s="2" t="s">
        <v>365</v>
      </c>
      <c r="E54" s="2" t="s">
        <v>366</v>
      </c>
      <c r="F54" s="2" t="s">
        <v>41</v>
      </c>
      <c r="G54" s="2" t="s">
        <v>27</v>
      </c>
      <c r="H54" s="2" t="s">
        <v>28</v>
      </c>
      <c r="I54" s="2" t="s">
        <v>29</v>
      </c>
      <c r="J54" s="2" t="s">
        <v>45</v>
      </c>
      <c r="K54" s="2" t="s">
        <v>76</v>
      </c>
      <c r="L54" s="2" t="s">
        <v>367</v>
      </c>
      <c r="M54" s="2" t="s">
        <v>56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200</v>
      </c>
      <c r="U54" s="2" t="s">
        <v>78</v>
      </c>
      <c r="V54" s="2" t="str">
        <f t="shared" si="0"/>
        <v>ORD-2024-1005326-10-20242024-10-28CUST-2778Kabir SinghSmall BusinessNorthRajasthanJaipurFurnitureChairsPro Chairs 526First Class91399.63012596.6710603.291993.38FailedCancelled</v>
      </c>
      <c r="W54" s="2">
        <f t="shared" si="1"/>
        <v>1</v>
      </c>
      <c r="X54">
        <f t="shared" si="2"/>
        <v>1</v>
      </c>
    </row>
    <row r="55" spans="1:24">
      <c r="A55" s="2" t="s">
        <v>368</v>
      </c>
      <c r="B55" s="2" t="s">
        <v>369</v>
      </c>
      <c r="C55" s="2" t="s">
        <v>370</v>
      </c>
      <c r="D55" s="2" t="s">
        <v>371</v>
      </c>
      <c r="E55" s="2" t="s">
        <v>366</v>
      </c>
      <c r="F55" s="2" t="s">
        <v>115</v>
      </c>
      <c r="G55" s="2" t="s">
        <v>73</v>
      </c>
      <c r="H55" s="2" t="s">
        <v>235</v>
      </c>
      <c r="I55" s="2" t="s">
        <v>236</v>
      </c>
      <c r="J55" s="2" t="s">
        <v>30</v>
      </c>
      <c r="K55" s="2" t="s">
        <v>156</v>
      </c>
      <c r="L55" s="2" t="s">
        <v>372</v>
      </c>
      <c r="M55" s="2" t="s">
        <v>56</v>
      </c>
      <c r="N55" s="2">
        <v>5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2293.0700000000002</v>
      </c>
      <c r="T55" s="2" t="s">
        <v>34</v>
      </c>
      <c r="U55" s="2" t="s">
        <v>35</v>
      </c>
      <c r="V55" s="2" t="str">
        <f t="shared" si="0"/>
        <v>ORD-2025-1005431 Mar 20252025-03-31CUST-7195Kabir SinghHome OfficeWestGujaratAhmedabadOffice SuppliesStorageElite Storage 924First Class51207.470.155131.752838.682293.07PaidCompleted</v>
      </c>
      <c r="W55" s="2">
        <f t="shared" si="1"/>
        <v>1</v>
      </c>
      <c r="X55">
        <f t="shared" si="2"/>
        <v>1</v>
      </c>
    </row>
    <row r="56" spans="1:24">
      <c r="A56" s="2" t="s">
        <v>373</v>
      </c>
      <c r="B56" s="2" t="s">
        <v>374</v>
      </c>
      <c r="C56" s="2" t="s">
        <v>375</v>
      </c>
      <c r="D56" s="2" t="s">
        <v>376</v>
      </c>
      <c r="E56" s="2" t="s">
        <v>61</v>
      </c>
      <c r="F56" s="2" t="s">
        <v>108</v>
      </c>
      <c r="G56" s="2" t="s">
        <v>62</v>
      </c>
      <c r="H56" s="2" t="s">
        <v>339</v>
      </c>
      <c r="I56" s="2" t="s">
        <v>340</v>
      </c>
      <c r="J56" s="2" t="s">
        <v>30</v>
      </c>
      <c r="K56" s="2" t="s">
        <v>109</v>
      </c>
      <c r="L56" s="2" t="s">
        <v>377</v>
      </c>
      <c r="M56" s="2" t="s">
        <v>48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200</v>
      </c>
      <c r="U56" s="2" t="s">
        <v>78</v>
      </c>
      <c r="V56" s="2" t="str">
        <f t="shared" si="0"/>
        <v>ORD-2025-1005530 May 20252025-06-02CUST-9039Arjun BoseCorporateSouthTamil NaduChennaiOffice SuppliesLabelsPro Labels 957Same Day8474.370.13415.461993.231422.23FailedCancelled</v>
      </c>
      <c r="W56" s="2">
        <f t="shared" si="1"/>
        <v>1</v>
      </c>
      <c r="X56">
        <f t="shared" si="2"/>
        <v>1</v>
      </c>
    </row>
    <row r="57" spans="1:24">
      <c r="A57" s="2" t="s">
        <v>378</v>
      </c>
      <c r="B57" s="2" t="s">
        <v>379</v>
      </c>
      <c r="C57" s="2" t="s">
        <v>380</v>
      </c>
      <c r="D57" s="2" t="s">
        <v>381</v>
      </c>
      <c r="E57" s="2" t="s">
        <v>40</v>
      </c>
      <c r="F57" s="2" t="s">
        <v>41</v>
      </c>
      <c r="G57" s="2" t="s">
        <v>62</v>
      </c>
      <c r="H57" s="2" t="s">
        <v>100</v>
      </c>
      <c r="I57" s="2" t="s">
        <v>101</v>
      </c>
      <c r="J57" s="2" t="s">
        <v>86</v>
      </c>
      <c r="K57" s="2" t="s">
        <v>382</v>
      </c>
      <c r="L57" s="2" t="s">
        <v>383</v>
      </c>
      <c r="M57" s="2" t="s">
        <v>48</v>
      </c>
      <c r="N57" s="2">
        <v>3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34</v>
      </c>
      <c r="U57" s="2" t="s">
        <v>35</v>
      </c>
      <c r="V57" s="2" t="str">
        <f t="shared" si="0"/>
        <v>ORD-2025-1005601-07-202503-07-2025CUST-9821Mira DasSmall BusinessSouthAndhra PradeshVijayawadaTechnologyMachinesClassic Machines 310Same Day31516.240.253411.542803.13608.41PaidCompleted</v>
      </c>
      <c r="W57" s="2">
        <f t="shared" si="1"/>
        <v>1</v>
      </c>
      <c r="X57">
        <f t="shared" si="2"/>
        <v>1</v>
      </c>
    </row>
    <row r="58" spans="1:24">
      <c r="A58" s="2" t="s">
        <v>384</v>
      </c>
      <c r="B58" s="2" t="s">
        <v>385</v>
      </c>
      <c r="C58" s="2" t="s">
        <v>386</v>
      </c>
      <c r="D58" s="2" t="s">
        <v>387</v>
      </c>
      <c r="E58" s="2" t="s">
        <v>25</v>
      </c>
      <c r="F58" s="2" t="s">
        <v>26</v>
      </c>
      <c r="G58" s="2" t="s">
        <v>62</v>
      </c>
      <c r="H58" s="2" t="s">
        <v>229</v>
      </c>
      <c r="I58" s="2" t="s">
        <v>230</v>
      </c>
      <c r="J58" s="2" t="s">
        <v>30</v>
      </c>
      <c r="K58" s="2" t="s">
        <v>198</v>
      </c>
      <c r="L58" s="2" t="s">
        <v>388</v>
      </c>
      <c r="M58" s="2" t="s">
        <v>33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124</v>
      </c>
      <c r="U58" s="2" t="s">
        <v>78</v>
      </c>
      <c r="V58" s="2" t="str">
        <f t="shared" si="0"/>
        <v>ORD-2025-100572025-01-0506-01-2025CUST-8701Karan MalhotraConsumerSouthKarnatakaBengaluruOffice SuppliesBindersSmart Binders 393Second Class33155.6109466.836557.832909RefundedCancelled</v>
      </c>
      <c r="W58" s="2">
        <f t="shared" si="1"/>
        <v>1</v>
      </c>
      <c r="X58">
        <f t="shared" si="2"/>
        <v>1</v>
      </c>
    </row>
    <row r="59" spans="1:24">
      <c r="A59" s="2" t="s">
        <v>389</v>
      </c>
      <c r="B59" s="2" t="s">
        <v>390</v>
      </c>
      <c r="C59" s="2" t="s">
        <v>391</v>
      </c>
      <c r="D59" s="2" t="s">
        <v>392</v>
      </c>
      <c r="E59" s="2" t="s">
        <v>142</v>
      </c>
      <c r="F59" s="2" t="s">
        <v>26</v>
      </c>
      <c r="G59" s="2" t="s">
        <v>73</v>
      </c>
      <c r="H59" s="2" t="s">
        <v>249</v>
      </c>
      <c r="I59" s="2" t="s">
        <v>250</v>
      </c>
      <c r="J59" s="2" t="s">
        <v>45</v>
      </c>
      <c r="K59" s="2" t="s">
        <v>76</v>
      </c>
      <c r="L59" s="2" t="s">
        <v>393</v>
      </c>
      <c r="M59" s="2" t="s">
        <v>48</v>
      </c>
      <c r="N59" s="2">
        <v>5</v>
      </c>
      <c r="O59" s="2">
        <v>255.87</v>
      </c>
      <c r="P59" s="2">
        <v>0</v>
      </c>
      <c r="Q59" s="2">
        <v>1279.3499999999999</v>
      </c>
      <c r="R59" s="2">
        <v>1091.54</v>
      </c>
      <c r="S59" s="2">
        <v>187.81</v>
      </c>
      <c r="T59" s="2" t="s">
        <v>34</v>
      </c>
      <c r="U59" s="2" t="s">
        <v>35</v>
      </c>
      <c r="V59" s="2" t="str">
        <f t="shared" si="0"/>
        <v>ORD-2024-100582024-02-0715 Feb 2024CUST-9941Priya MenonConsumerWestGoaPanajiFurnitureChairsMax Chairs 813Same Day5255.8701279.351091.54187.81PaidCompleted</v>
      </c>
      <c r="W59" s="2">
        <f t="shared" si="1"/>
        <v>1</v>
      </c>
      <c r="X59">
        <f t="shared" si="2"/>
        <v>1</v>
      </c>
    </row>
    <row r="60" spans="1:24">
      <c r="A60" s="2" t="s">
        <v>394</v>
      </c>
      <c r="B60" s="2" t="s">
        <v>395</v>
      </c>
      <c r="C60" s="2" t="s">
        <v>396</v>
      </c>
      <c r="D60" s="2" t="s">
        <v>397</v>
      </c>
      <c r="E60" s="2" t="s">
        <v>53</v>
      </c>
      <c r="F60" s="2" t="s">
        <v>115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156</v>
      </c>
      <c r="L60" s="2" t="s">
        <v>398</v>
      </c>
      <c r="N60" s="2">
        <v>9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4676.7299999999996</v>
      </c>
      <c r="T60" s="2" t="s">
        <v>137</v>
      </c>
      <c r="U60" s="2" t="s">
        <v>125</v>
      </c>
      <c r="V60" s="2" t="str">
        <f t="shared" si="0"/>
        <v>ORD-2024-100592024-09-012024-09-07CUST-3983Isha NairHome OfficeNorthRajasthanJaipurOffice SuppliesStorageBasic Storage 87291389.480.111254.796578.064676.73PendingReturned</v>
      </c>
      <c r="W60" s="2">
        <f t="shared" si="1"/>
        <v>1</v>
      </c>
      <c r="X60">
        <f t="shared" si="2"/>
        <v>1</v>
      </c>
    </row>
    <row r="61" spans="1:24">
      <c r="A61" s="2" t="s">
        <v>399</v>
      </c>
      <c r="B61" s="2" t="s">
        <v>400</v>
      </c>
      <c r="C61" s="2" t="s">
        <v>401</v>
      </c>
      <c r="D61" s="2" t="s">
        <v>402</v>
      </c>
      <c r="E61" s="2" t="s">
        <v>142</v>
      </c>
      <c r="F61" s="2" t="s">
        <v>108</v>
      </c>
      <c r="G61" s="2" t="s">
        <v>42</v>
      </c>
      <c r="H61" s="2" t="s">
        <v>216</v>
      </c>
      <c r="I61" s="2" t="s">
        <v>217</v>
      </c>
      <c r="J61" s="2" t="s">
        <v>30</v>
      </c>
      <c r="K61" s="2" t="s">
        <v>109</v>
      </c>
      <c r="L61" s="2" t="s">
        <v>403</v>
      </c>
      <c r="M61" s="2" t="s">
        <v>48</v>
      </c>
      <c r="N61" s="2">
        <v>5</v>
      </c>
      <c r="O61" s="2">
        <v>4133.8500000000004</v>
      </c>
      <c r="P61" s="2">
        <v>0.2</v>
      </c>
      <c r="Q61" s="2">
        <v>16535.400000000001</v>
      </c>
      <c r="R61" s="2">
        <v>12990.21</v>
      </c>
      <c r="S61" s="2">
        <v>3545.19</v>
      </c>
      <c r="T61" s="2" t="s">
        <v>34</v>
      </c>
      <c r="U61" s="2" t="s">
        <v>78</v>
      </c>
      <c r="V61" s="2" t="str">
        <f t="shared" si="0"/>
        <v>ORD-2024-1006020-07-202425 Jul 2024CUST-2418Priya MenonCorporateEastAssamGuwahatiOffice SuppliesLabelsSmart Labels 655Same Day54133.850.216535.412990.213545.19PaidCancelled</v>
      </c>
      <c r="W61" s="2">
        <f t="shared" si="1"/>
        <v>1</v>
      </c>
      <c r="X61">
        <f t="shared" si="2"/>
        <v>1</v>
      </c>
    </row>
    <row r="62" spans="1:24">
      <c r="A62" s="2" t="s">
        <v>404</v>
      </c>
      <c r="B62" s="2" t="s">
        <v>405</v>
      </c>
      <c r="C62" s="2" t="s">
        <v>406</v>
      </c>
      <c r="D62" s="2" t="s">
        <v>407</v>
      </c>
      <c r="E62" s="2" t="s">
        <v>72</v>
      </c>
      <c r="F62" s="2" t="s">
        <v>108</v>
      </c>
      <c r="G62" s="2" t="s">
        <v>42</v>
      </c>
      <c r="H62" s="2" t="s">
        <v>216</v>
      </c>
      <c r="I62" s="2" t="s">
        <v>217</v>
      </c>
      <c r="J62" s="2" t="s">
        <v>30</v>
      </c>
      <c r="K62" s="2" t="s">
        <v>109</v>
      </c>
      <c r="L62" s="2" t="s">
        <v>408</v>
      </c>
      <c r="M62" s="2" t="s">
        <v>48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124</v>
      </c>
      <c r="U62" s="2" t="s">
        <v>78</v>
      </c>
      <c r="V62" s="2" t="str">
        <f t="shared" si="0"/>
        <v>ORD-2024-1006107/13/20242024-07-19CUST-2892Ananya RaoCorporateEastAssamGuwahatiOffice SuppliesLabelsEco Labels 210Same Day3275.760.2661.82481.47180.35RefundedCancelled</v>
      </c>
      <c r="W62" s="2">
        <f t="shared" si="1"/>
        <v>1</v>
      </c>
      <c r="X62">
        <f t="shared" si="2"/>
        <v>1</v>
      </c>
    </row>
    <row r="63" spans="1:24">
      <c r="A63" s="2" t="s">
        <v>409</v>
      </c>
      <c r="B63" s="2" t="s">
        <v>410</v>
      </c>
      <c r="C63" s="2" t="s">
        <v>411</v>
      </c>
      <c r="D63" s="2" t="s">
        <v>412</v>
      </c>
      <c r="E63" s="2" t="s">
        <v>83</v>
      </c>
      <c r="F63" s="2" t="s">
        <v>115</v>
      </c>
      <c r="G63" s="2" t="s">
        <v>42</v>
      </c>
      <c r="H63" s="2" t="s">
        <v>186</v>
      </c>
      <c r="I63" s="2" t="s">
        <v>187</v>
      </c>
      <c r="J63" s="2" t="s">
        <v>45</v>
      </c>
      <c r="K63" s="2" t="s">
        <v>204</v>
      </c>
      <c r="L63" s="2" t="s">
        <v>413</v>
      </c>
      <c r="M63" s="2" t="s">
        <v>67</v>
      </c>
      <c r="N63" s="2">
        <v>1</v>
      </c>
      <c r="O63" s="2">
        <v>949.59</v>
      </c>
      <c r="P63" s="2">
        <v>0</v>
      </c>
      <c r="Q63" s="2">
        <v>949.59</v>
      </c>
      <c r="R63" s="2">
        <v>751.25</v>
      </c>
      <c r="S63" s="2">
        <v>198.34</v>
      </c>
      <c r="T63" s="2" t="s">
        <v>34</v>
      </c>
      <c r="U63" s="2" t="s">
        <v>35</v>
      </c>
      <c r="V63" s="2" t="str">
        <f t="shared" si="0"/>
        <v>ORD-2024-1006216 Apr 202404/16/2024CUST-7008Vikram IyerHome OfficeEastBiharPatnaFurnitureBookcasesClassic Bookcases 296Standard Class1949.590949.59751.25198.34PaidCompleted</v>
      </c>
      <c r="W63" s="2">
        <f t="shared" si="1"/>
        <v>1</v>
      </c>
      <c r="X63">
        <f t="shared" si="2"/>
        <v>1</v>
      </c>
    </row>
    <row r="64" spans="1:24">
      <c r="A64" s="2" t="s">
        <v>414</v>
      </c>
      <c r="B64" s="2" t="s">
        <v>415</v>
      </c>
      <c r="C64" s="2" t="s">
        <v>416</v>
      </c>
      <c r="D64" s="2" t="s">
        <v>417</v>
      </c>
      <c r="E64" s="2" t="s">
        <v>168</v>
      </c>
      <c r="F64" s="2" t="s">
        <v>115</v>
      </c>
      <c r="G64" s="2" t="s">
        <v>27</v>
      </c>
      <c r="H64" s="2" t="s">
        <v>28</v>
      </c>
      <c r="I64" s="2" t="s">
        <v>29</v>
      </c>
      <c r="J64" s="2" t="s">
        <v>86</v>
      </c>
      <c r="K64" s="2" t="s">
        <v>223</v>
      </c>
      <c r="L64" s="2" t="s">
        <v>418</v>
      </c>
      <c r="M64" s="2" t="s">
        <v>67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34</v>
      </c>
      <c r="U64" s="2" t="s">
        <v>35</v>
      </c>
      <c r="V64" s="2" t="str">
        <f t="shared" si="0"/>
        <v>ORD-2024-1006330 Oct 202402-11-2024CUST-4900Sneha KapoorHome OfficeNorthRajasthanJaipurTechnologyPhonesBasic Phones 230Standard Class93042.290.221904.4913570.558333.94PaidCompleted</v>
      </c>
      <c r="W64" s="2">
        <f t="shared" si="1"/>
        <v>1</v>
      </c>
      <c r="X64">
        <f t="shared" si="2"/>
        <v>1</v>
      </c>
    </row>
    <row r="65" spans="1:24">
      <c r="A65" s="2" t="s">
        <v>419</v>
      </c>
      <c r="B65" s="2" t="s">
        <v>420</v>
      </c>
      <c r="C65" s="2" t="s">
        <v>421</v>
      </c>
      <c r="D65" s="2" t="s">
        <v>422</v>
      </c>
      <c r="E65" s="2" t="s">
        <v>168</v>
      </c>
      <c r="F65" s="2" t="s">
        <v>115</v>
      </c>
      <c r="G65" s="2" t="s">
        <v>27</v>
      </c>
      <c r="H65" s="2" t="s">
        <v>323</v>
      </c>
      <c r="I65" s="2" t="s">
        <v>324</v>
      </c>
      <c r="J65" s="2" t="s">
        <v>30</v>
      </c>
      <c r="K65" s="2" t="s">
        <v>198</v>
      </c>
      <c r="L65" s="2" t="s">
        <v>423</v>
      </c>
      <c r="M65" s="2" t="s">
        <v>48</v>
      </c>
      <c r="N65" s="2">
        <v>2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34</v>
      </c>
      <c r="U65" s="2" t="s">
        <v>35</v>
      </c>
      <c r="V65" s="2" t="str">
        <f t="shared" si="0"/>
        <v>ORD-2024-100642024-01-2501-02-2024CUST-5382Sneha KapoorHome OfficeNorthHaryanaGurugramOffice SuppliesBindersPro Binders 690Same Day22832.770.154815.713027.751917.47PaidCompleted</v>
      </c>
      <c r="W65" s="2">
        <f t="shared" si="1"/>
        <v>1</v>
      </c>
      <c r="X65">
        <f t="shared" si="2"/>
        <v>1</v>
      </c>
    </row>
    <row r="66" spans="1:24">
      <c r="A66" s="2" t="s">
        <v>424</v>
      </c>
      <c r="B66" s="2" t="s">
        <v>425</v>
      </c>
      <c r="C66" s="2" t="s">
        <v>426</v>
      </c>
      <c r="D66" s="2" t="s">
        <v>427</v>
      </c>
      <c r="E66" s="2" t="s">
        <v>162</v>
      </c>
      <c r="F66" s="2" t="s">
        <v>108</v>
      </c>
      <c r="G66" s="2" t="s">
        <v>42</v>
      </c>
      <c r="H66" s="2" t="s">
        <v>311</v>
      </c>
      <c r="I66" s="2" t="s">
        <v>312</v>
      </c>
      <c r="J66" s="2" t="s">
        <v>30</v>
      </c>
      <c r="K66" s="2" t="s">
        <v>31</v>
      </c>
      <c r="L66" s="2" t="s">
        <v>428</v>
      </c>
      <c r="M66" s="2" t="s">
        <v>56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124</v>
      </c>
      <c r="U66" s="2" t="s">
        <v>125</v>
      </c>
      <c r="V66" s="2" t="str">
        <f t="shared" si="0"/>
        <v>ORD-2024-100652024-12-2312/29/2024CUST-2749Aarav SharmaCorporateEastJharkhandRanchiOffice SuppliesPaperClassic Paper 458First Class7447.8403134.882367.63767.25RefundedReturned</v>
      </c>
      <c r="W66" s="2">
        <f t="shared" si="1"/>
        <v>1</v>
      </c>
      <c r="X66">
        <f t="shared" si="2"/>
        <v>1</v>
      </c>
    </row>
    <row r="67" spans="1:24">
      <c r="A67" s="2" t="s">
        <v>429</v>
      </c>
      <c r="B67" s="2" t="s">
        <v>430</v>
      </c>
      <c r="C67" s="2" t="s">
        <v>431</v>
      </c>
      <c r="D67" s="2" t="s">
        <v>432</v>
      </c>
      <c r="E67" s="2" t="s">
        <v>40</v>
      </c>
      <c r="F67" s="2" t="s">
        <v>115</v>
      </c>
      <c r="G67" s="2" t="s">
        <v>73</v>
      </c>
      <c r="H67" s="2" t="s">
        <v>74</v>
      </c>
      <c r="I67" s="2" t="s">
        <v>75</v>
      </c>
      <c r="J67" s="2" t="s">
        <v>30</v>
      </c>
      <c r="K67" s="2" t="s">
        <v>31</v>
      </c>
      <c r="L67" s="2" t="s">
        <v>433</v>
      </c>
      <c r="M67" s="2" t="s">
        <v>33</v>
      </c>
      <c r="N67" s="2">
        <v>1</v>
      </c>
      <c r="O67" s="2">
        <v>4280.1899999999996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34</v>
      </c>
      <c r="U67" s="2" t="s">
        <v>35</v>
      </c>
      <c r="V67" s="2" t="str">
        <f t="shared" ref="V67:V130" si="3">_xlfn.CONCAT(A67:U67)</f>
        <v>ORD-2024-1006622 Apr 20242024-04-27CUST-2463Mira DasHome OfficeWestMaharashtraMumbaiOffice SuppliesPaperPro Paper 552Second Class14280.190.054066.182628.921437.26PaidCompleted</v>
      </c>
      <c r="W67" s="2">
        <f t="shared" ref="W67:W130" si="4">COUNTIF($V$2:$V$933,V67)</f>
        <v>1</v>
      </c>
      <c r="X67">
        <f t="shared" ref="X67:X130" si="5">COUNTIF($A$2:$A$933,A67)</f>
        <v>1</v>
      </c>
    </row>
    <row r="68" spans="1:24">
      <c r="A68" s="2" t="s">
        <v>434</v>
      </c>
      <c r="B68" s="2" t="s">
        <v>435</v>
      </c>
      <c r="C68" s="2" t="s">
        <v>436</v>
      </c>
      <c r="D68" s="2" t="s">
        <v>437</v>
      </c>
      <c r="E68" s="2" t="s">
        <v>25</v>
      </c>
      <c r="F68" s="2" t="s">
        <v>41</v>
      </c>
      <c r="G68" s="2" t="s">
        <v>62</v>
      </c>
      <c r="H68" s="2" t="s">
        <v>339</v>
      </c>
      <c r="I68" s="2" t="s">
        <v>340</v>
      </c>
      <c r="J68" s="2" t="s">
        <v>86</v>
      </c>
      <c r="K68" s="2" t="s">
        <v>87</v>
      </c>
      <c r="L68" s="2" t="s">
        <v>438</v>
      </c>
      <c r="M68" s="2" t="s">
        <v>48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34</v>
      </c>
      <c r="U68" s="2" t="s">
        <v>35</v>
      </c>
      <c r="V68" s="2" t="str">
        <f t="shared" si="3"/>
        <v>ORD-2025-1006708/28/202501 Sep 2025CUST-1504Karan MalhotraSmall BusinessSouthTamil NaduChennaiTechnologyAccessoriesElite Accessories 187Same Day71057.460.057032.114610.342421.77PaidCompleted</v>
      </c>
      <c r="W68" s="2">
        <f t="shared" si="4"/>
        <v>1</v>
      </c>
      <c r="X68">
        <f t="shared" si="5"/>
        <v>1</v>
      </c>
    </row>
    <row r="69" spans="1:24">
      <c r="A69" s="2" t="s">
        <v>439</v>
      </c>
      <c r="B69" s="2" t="s">
        <v>440</v>
      </c>
      <c r="C69" s="2" t="s">
        <v>441</v>
      </c>
      <c r="D69" s="2" t="s">
        <v>442</v>
      </c>
      <c r="E69" s="2" t="s">
        <v>366</v>
      </c>
      <c r="F69" s="2" t="s">
        <v>26</v>
      </c>
      <c r="G69" s="2" t="s">
        <v>27</v>
      </c>
      <c r="H69" s="2" t="s">
        <v>323</v>
      </c>
      <c r="I69" s="2" t="s">
        <v>324</v>
      </c>
      <c r="J69" s="2" t="s">
        <v>30</v>
      </c>
      <c r="K69" s="2" t="s">
        <v>31</v>
      </c>
      <c r="L69" s="2" t="s">
        <v>443</v>
      </c>
      <c r="M69" s="2" t="s">
        <v>56</v>
      </c>
      <c r="N69" s="2">
        <v>7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34</v>
      </c>
      <c r="U69" s="2" t="s">
        <v>35</v>
      </c>
      <c r="V69" s="2" t="str">
        <f t="shared" si="3"/>
        <v>ORD-2025-1006803 Feb 202507-02-2025CUST-8282Kabir SinghConsumerNorthHaryanaGurugramOffice SuppliesPaperEco Paper 922First Class73609.340.0524002.1118707.575294.54PaidCompleted</v>
      </c>
      <c r="W69" s="2">
        <f t="shared" si="4"/>
        <v>1</v>
      </c>
      <c r="X69">
        <f t="shared" si="5"/>
        <v>1</v>
      </c>
    </row>
    <row r="70" spans="1:24">
      <c r="A70" s="2" t="s">
        <v>444</v>
      </c>
      <c r="B70" s="2" t="s">
        <v>105</v>
      </c>
      <c r="C70" s="2" t="s">
        <v>445</v>
      </c>
      <c r="D70" s="2" t="s">
        <v>446</v>
      </c>
      <c r="E70" s="2" t="s">
        <v>53</v>
      </c>
      <c r="F70" s="2" t="s">
        <v>108</v>
      </c>
      <c r="G70" s="2" t="s">
        <v>42</v>
      </c>
      <c r="H70" s="2" t="s">
        <v>311</v>
      </c>
      <c r="I70" s="2" t="s">
        <v>312</v>
      </c>
      <c r="J70" s="2" t="s">
        <v>30</v>
      </c>
      <c r="K70" s="2" t="s">
        <v>156</v>
      </c>
      <c r="L70" s="2" t="s">
        <v>447</v>
      </c>
      <c r="M70" s="2" t="s">
        <v>33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200</v>
      </c>
      <c r="U70" s="2" t="s">
        <v>125</v>
      </c>
      <c r="V70" s="2" t="str">
        <f t="shared" si="3"/>
        <v>ORD-2024-1006911/10/202413 Nov 2024CUST-6054Isha NairCorporateEastJharkhandRanchiOffice SuppliesStoragePro Storage 975Second Class92211.12019900.0810962.668937.42FailedReturned</v>
      </c>
      <c r="W70" s="2">
        <f t="shared" si="4"/>
        <v>1</v>
      </c>
      <c r="X70">
        <f t="shared" si="5"/>
        <v>1</v>
      </c>
    </row>
    <row r="71" spans="1:24">
      <c r="A71" s="2" t="s">
        <v>448</v>
      </c>
      <c r="B71" s="2" t="s">
        <v>449</v>
      </c>
      <c r="C71" s="2" t="s">
        <v>450</v>
      </c>
      <c r="D71" s="2" t="s">
        <v>451</v>
      </c>
      <c r="E71" s="2" t="s">
        <v>93</v>
      </c>
      <c r="F71" s="2" t="s">
        <v>41</v>
      </c>
      <c r="G71" s="2" t="s">
        <v>73</v>
      </c>
      <c r="H71" s="2" t="s">
        <v>235</v>
      </c>
      <c r="I71" s="2" t="s">
        <v>236</v>
      </c>
      <c r="J71" s="2" t="s">
        <v>86</v>
      </c>
      <c r="K71" s="2" t="s">
        <v>382</v>
      </c>
      <c r="L71" s="2" t="s">
        <v>452</v>
      </c>
      <c r="M71" s="2" t="s">
        <v>48</v>
      </c>
      <c r="N71" s="2">
        <v>7</v>
      </c>
      <c r="O71" s="2">
        <v>3417.09</v>
      </c>
      <c r="P71" s="2">
        <v>0.1</v>
      </c>
      <c r="Q71" s="2">
        <v>21527.67</v>
      </c>
      <c r="R71" s="2">
        <v>18287.580000000002</v>
      </c>
      <c r="S71" s="2">
        <v>3240.09</v>
      </c>
      <c r="T71" s="2" t="s">
        <v>124</v>
      </c>
      <c r="U71" s="2" t="s">
        <v>125</v>
      </c>
      <c r="V71" s="2" t="str">
        <f t="shared" si="3"/>
        <v>ORD-2024-1007009 Apr 202404/14/2024CUST-5979Neha GuptaSmall BusinessWestGujaratAhmedabadTechnologyMachinesPrime Machines 782Same Day73417.090.121527.6718287.583240.09RefundedReturned</v>
      </c>
      <c r="W71" s="2">
        <f t="shared" si="4"/>
        <v>1</v>
      </c>
      <c r="X71">
        <f t="shared" si="5"/>
        <v>1</v>
      </c>
    </row>
    <row r="72" spans="1:24">
      <c r="A72" s="2" t="s">
        <v>453</v>
      </c>
      <c r="B72" s="2" t="s">
        <v>454</v>
      </c>
      <c r="C72" s="2" t="s">
        <v>455</v>
      </c>
      <c r="D72" s="2" t="s">
        <v>456</v>
      </c>
      <c r="E72" s="2" t="s">
        <v>25</v>
      </c>
      <c r="F72" s="2" t="s">
        <v>108</v>
      </c>
      <c r="G72" s="2" t="s">
        <v>62</v>
      </c>
      <c r="H72" s="2" t="s">
        <v>100</v>
      </c>
      <c r="I72" s="2" t="s">
        <v>101</v>
      </c>
      <c r="J72" s="2" t="s">
        <v>86</v>
      </c>
      <c r="K72" s="2" t="s">
        <v>223</v>
      </c>
      <c r="L72" s="2" t="s">
        <v>457</v>
      </c>
      <c r="M72" s="2" t="s">
        <v>56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34</v>
      </c>
      <c r="U72" s="2" t="s">
        <v>35</v>
      </c>
      <c r="V72" s="2" t="str">
        <f t="shared" si="3"/>
        <v>ORD-2025-100712025-08-2227 Aug 2025CUST-5582Karan MalhotraCorporateSouthAndhra PradeshVijayawadaTechnologyPhonesMax Phones 661First Class2905.870.151539.981070.2469.78PaidCompleted</v>
      </c>
      <c r="W72" s="2">
        <f t="shared" si="4"/>
        <v>1</v>
      </c>
      <c r="X72">
        <f t="shared" si="5"/>
        <v>1</v>
      </c>
    </row>
    <row r="73" spans="1:24">
      <c r="A73" s="2" t="s">
        <v>458</v>
      </c>
      <c r="B73" s="2" t="s">
        <v>91</v>
      </c>
      <c r="C73" s="2" t="s">
        <v>459</v>
      </c>
      <c r="D73" s="2" t="s">
        <v>460</v>
      </c>
      <c r="E73" s="2" t="s">
        <v>40</v>
      </c>
      <c r="F73" s="2" t="s">
        <v>41</v>
      </c>
      <c r="G73" s="2" t="s">
        <v>73</v>
      </c>
      <c r="H73" s="2" t="s">
        <v>249</v>
      </c>
      <c r="I73" s="2" t="s">
        <v>250</v>
      </c>
      <c r="J73" s="2" t="s">
        <v>86</v>
      </c>
      <c r="K73" s="2" t="s">
        <v>382</v>
      </c>
      <c r="L73" s="2" t="s">
        <v>461</v>
      </c>
      <c r="M73" s="2" t="s">
        <v>67</v>
      </c>
      <c r="N73" s="2">
        <v>6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34</v>
      </c>
      <c r="U73" s="2" t="s">
        <v>35</v>
      </c>
      <c r="V73" s="2" t="str">
        <f t="shared" si="3"/>
        <v>ORD-2025-1007204/16/20252025-04-23CUST-3308Mira DasSmall BusinessWestGoaPanajiTechnologyMachinesElite Machines 836Standard Class62027.320.110947.536447.364500.17PaidCompleted</v>
      </c>
      <c r="W73" s="2">
        <f t="shared" si="4"/>
        <v>1</v>
      </c>
      <c r="X73">
        <f t="shared" si="5"/>
        <v>1</v>
      </c>
    </row>
    <row r="74" spans="1:24">
      <c r="A74" s="2" t="s">
        <v>462</v>
      </c>
      <c r="B74" s="2" t="s">
        <v>463</v>
      </c>
      <c r="C74" s="2" t="s">
        <v>464</v>
      </c>
      <c r="D74" s="2" t="s">
        <v>465</v>
      </c>
      <c r="E74" s="2" t="s">
        <v>25</v>
      </c>
      <c r="F74" s="2" t="s">
        <v>115</v>
      </c>
      <c r="G74" s="2" t="s">
        <v>62</v>
      </c>
      <c r="H74" s="2" t="s">
        <v>339</v>
      </c>
      <c r="I74" s="2" t="s">
        <v>340</v>
      </c>
      <c r="J74" s="2" t="s">
        <v>45</v>
      </c>
      <c r="K74" s="2" t="s">
        <v>46</v>
      </c>
      <c r="L74" s="2" t="s">
        <v>466</v>
      </c>
      <c r="M74" s="2" t="s">
        <v>56</v>
      </c>
      <c r="N74" s="2">
        <v>7</v>
      </c>
      <c r="O74" s="2">
        <v>2287.4699999999998</v>
      </c>
      <c r="P74" s="2">
        <v>0.15</v>
      </c>
      <c r="Q74" s="2">
        <v>13610.45</v>
      </c>
      <c r="R74" s="2">
        <v>10039.049999999999</v>
      </c>
      <c r="S74" s="2">
        <v>3571.4</v>
      </c>
      <c r="T74" s="2" t="s">
        <v>34</v>
      </c>
      <c r="U74" s="2" t="s">
        <v>35</v>
      </c>
      <c r="V74" s="2" t="str">
        <f t="shared" si="3"/>
        <v>ORD-2024-100732024-02-1107 Feb 2024CUST-5018Karan MalhotraHome OfficeSouthTamil NaduChennaiFurnitureTablesPrime Tables 902First Class72287.470.1513610.4510039.053571.4PaidCompleted</v>
      </c>
      <c r="W74" s="2">
        <f t="shared" si="4"/>
        <v>1</v>
      </c>
      <c r="X74">
        <f t="shared" si="5"/>
        <v>1</v>
      </c>
    </row>
    <row r="75" spans="1:24">
      <c r="A75" s="2" t="s">
        <v>467</v>
      </c>
      <c r="B75" s="2" t="s">
        <v>468</v>
      </c>
      <c r="C75" s="2" t="s">
        <v>469</v>
      </c>
      <c r="D75" s="2" t="s">
        <v>470</v>
      </c>
      <c r="E75" s="2" t="s">
        <v>168</v>
      </c>
      <c r="F75" s="2" t="s">
        <v>108</v>
      </c>
      <c r="G75" s="2" t="s">
        <v>42</v>
      </c>
      <c r="H75" s="2" t="s">
        <v>121</v>
      </c>
      <c r="I75" s="2" t="s">
        <v>122</v>
      </c>
      <c r="J75" s="2" t="s">
        <v>45</v>
      </c>
      <c r="K75" s="2" t="s">
        <v>204</v>
      </c>
      <c r="L75" s="2" t="s">
        <v>471</v>
      </c>
      <c r="M75" s="2" t="s">
        <v>56</v>
      </c>
      <c r="N75" s="2">
        <v>5</v>
      </c>
      <c r="O75" s="2">
        <v>1425.74</v>
      </c>
      <c r="P75" s="2">
        <v>0</v>
      </c>
      <c r="Q75" s="2">
        <v>7128.7</v>
      </c>
      <c r="R75" s="2">
        <v>4382.1499999999996</v>
      </c>
      <c r="S75" s="2">
        <v>2746.55</v>
      </c>
      <c r="T75" s="2" t="s">
        <v>34</v>
      </c>
      <c r="U75" s="2" t="s">
        <v>35</v>
      </c>
      <c r="V75" s="2" t="str">
        <f t="shared" si="3"/>
        <v>ORD-2025-1007429-03-202504/03/2025CUST-2342Sneha KapoorCorporateEastWest BengalKolkataFurnitureBookcasesSmart Bookcases 167First Class51425.7407128.74382.152746.55PaidCompleted</v>
      </c>
      <c r="W75" s="2">
        <f t="shared" si="4"/>
        <v>1</v>
      </c>
      <c r="X75">
        <f t="shared" si="5"/>
        <v>1</v>
      </c>
    </row>
    <row r="76" spans="1:24">
      <c r="A76" s="2" t="s">
        <v>472</v>
      </c>
      <c r="B76" s="2" t="s">
        <v>473</v>
      </c>
      <c r="C76" s="2" t="s">
        <v>474</v>
      </c>
      <c r="D76" s="2" t="s">
        <v>475</v>
      </c>
      <c r="E76" s="2" t="s">
        <v>83</v>
      </c>
      <c r="F76" s="2" t="s">
        <v>41</v>
      </c>
      <c r="G76" s="2" t="s">
        <v>42</v>
      </c>
      <c r="H76" s="2" t="s">
        <v>121</v>
      </c>
      <c r="I76" s="2" t="s">
        <v>122</v>
      </c>
      <c r="J76" s="2" t="s">
        <v>45</v>
      </c>
      <c r="K76" s="2" t="s">
        <v>76</v>
      </c>
      <c r="L76" s="2" t="s">
        <v>476</v>
      </c>
      <c r="M76" s="2" t="s">
        <v>67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34</v>
      </c>
      <c r="U76" s="2" t="s">
        <v>35</v>
      </c>
      <c r="V76" s="2" t="str">
        <f t="shared" si="3"/>
        <v>ORD-2025-1007502/27/20252025-03-01CUST-6201Vikram IyerSmall BusinessEastWest BengalKolkataFurnitureChairsMax Chairs 244Standard Class6551.6403309.842671.08638.76PaidCompleted</v>
      </c>
      <c r="W76" s="2">
        <f t="shared" si="4"/>
        <v>1</v>
      </c>
      <c r="X76">
        <f t="shared" si="5"/>
        <v>1</v>
      </c>
    </row>
    <row r="77" spans="1:24">
      <c r="A77" s="2" t="s">
        <v>477</v>
      </c>
      <c r="B77" s="2" t="s">
        <v>478</v>
      </c>
      <c r="C77" s="2" t="s">
        <v>479</v>
      </c>
      <c r="D77" s="2" t="s">
        <v>480</v>
      </c>
      <c r="E77" s="2" t="s">
        <v>142</v>
      </c>
      <c r="F77" s="2" t="s">
        <v>41</v>
      </c>
      <c r="G77" s="2" t="s">
        <v>42</v>
      </c>
      <c r="H77" s="2" t="s">
        <v>43</v>
      </c>
      <c r="I77" s="2" t="s">
        <v>44</v>
      </c>
      <c r="J77" s="2" t="s">
        <v>30</v>
      </c>
      <c r="K77" s="2" t="s">
        <v>109</v>
      </c>
      <c r="L77" s="2" t="s">
        <v>481</v>
      </c>
      <c r="M77" s="2" t="s">
        <v>56</v>
      </c>
      <c r="N77" s="2">
        <v>3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34</v>
      </c>
      <c r="U77" s="2" t="s">
        <v>35</v>
      </c>
      <c r="V77" s="2" t="str">
        <f t="shared" si="3"/>
        <v>ORD-2025-1007622-08-202508/27/2025CUST-5808Priya MenonSmall BusinessEastOdishaBhubaneswarOffice SuppliesLabelsEco Labels 653First Class33294.820.27907.575391.182516.39PaidCompleted</v>
      </c>
      <c r="W77" s="2">
        <f t="shared" si="4"/>
        <v>1</v>
      </c>
      <c r="X77">
        <f t="shared" si="5"/>
        <v>1</v>
      </c>
    </row>
    <row r="78" spans="1:24">
      <c r="A78" s="2" t="s">
        <v>482</v>
      </c>
      <c r="B78" s="2" t="s">
        <v>483</v>
      </c>
      <c r="C78" s="2" t="s">
        <v>484</v>
      </c>
      <c r="D78" s="2" t="s">
        <v>485</v>
      </c>
      <c r="E78" s="2" t="s">
        <v>72</v>
      </c>
      <c r="F78" s="2" t="s">
        <v>108</v>
      </c>
      <c r="G78" s="2" t="s">
        <v>42</v>
      </c>
      <c r="H78" s="2" t="s">
        <v>311</v>
      </c>
      <c r="I78" s="2" t="s">
        <v>312</v>
      </c>
      <c r="J78" s="2" t="s">
        <v>30</v>
      </c>
      <c r="K78" s="2" t="s">
        <v>109</v>
      </c>
      <c r="L78" s="2" t="s">
        <v>486</v>
      </c>
      <c r="M78" s="2" t="s">
        <v>33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34</v>
      </c>
      <c r="U78" s="2" t="s">
        <v>35</v>
      </c>
      <c r="V78" s="2" t="str">
        <f t="shared" si="3"/>
        <v>ORD-2024-1007703 Nov 202411-11-2024CUST-2642Ananya RaoCorporateEastJharkhandRanchiOffice SuppliesLabelsMax Labels 617Second Class33406.27010218.817616.972601.84PaidCompleted</v>
      </c>
      <c r="W78" s="2">
        <f t="shared" si="4"/>
        <v>1</v>
      </c>
      <c r="X78">
        <f t="shared" si="5"/>
        <v>1</v>
      </c>
    </row>
    <row r="79" spans="1:24">
      <c r="A79" s="2" t="s">
        <v>487</v>
      </c>
      <c r="B79" s="2" t="s">
        <v>488</v>
      </c>
      <c r="C79" s="2" t="s">
        <v>489</v>
      </c>
      <c r="D79" s="2" t="s">
        <v>490</v>
      </c>
      <c r="E79" s="2" t="s">
        <v>180</v>
      </c>
      <c r="F79" s="2" t="s">
        <v>115</v>
      </c>
      <c r="G79" s="2" t="s">
        <v>27</v>
      </c>
      <c r="H79" s="2" t="s">
        <v>174</v>
      </c>
      <c r="I79" s="2" t="s">
        <v>175</v>
      </c>
      <c r="J79" s="2" t="s">
        <v>45</v>
      </c>
      <c r="K79" s="2" t="s">
        <v>65</v>
      </c>
      <c r="L79" s="2" t="s">
        <v>491</v>
      </c>
      <c r="M79" s="2" t="s">
        <v>67</v>
      </c>
      <c r="N79" s="2">
        <v>1</v>
      </c>
      <c r="O79" s="2">
        <v>2582.1999999999998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124</v>
      </c>
      <c r="U79" s="2" t="s">
        <v>78</v>
      </c>
      <c r="V79" s="2" t="str">
        <f t="shared" si="3"/>
        <v>ORD-2025-1007807/08/202512-07-2025CUST-4385Rohan MehtaHome OfficeNorthUttar PradeshNoidaFurnitureFurnishingsPro Furnishings 529Standard Class12582.20.152194.871223.17971.7RefundedCancelled</v>
      </c>
      <c r="W79" s="2">
        <f t="shared" si="4"/>
        <v>1</v>
      </c>
      <c r="X79">
        <f t="shared" si="5"/>
        <v>1</v>
      </c>
    </row>
    <row r="80" spans="1:24">
      <c r="A80" s="2" t="s">
        <v>492</v>
      </c>
      <c r="B80" s="2" t="s">
        <v>493</v>
      </c>
      <c r="C80" s="2" t="s">
        <v>494</v>
      </c>
      <c r="D80" s="2" t="s">
        <v>495</v>
      </c>
      <c r="E80" s="2" t="s">
        <v>168</v>
      </c>
      <c r="F80" s="2" t="s">
        <v>108</v>
      </c>
      <c r="G80" s="2" t="s">
        <v>42</v>
      </c>
      <c r="H80" s="2" t="s">
        <v>121</v>
      </c>
      <c r="I80" s="2" t="s">
        <v>122</v>
      </c>
      <c r="J80" s="2" t="s">
        <v>45</v>
      </c>
      <c r="K80" s="2" t="s">
        <v>46</v>
      </c>
      <c r="L80" s="2" t="s">
        <v>496</v>
      </c>
      <c r="M80" s="2" t="s">
        <v>56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34</v>
      </c>
      <c r="U80" s="2" t="s">
        <v>35</v>
      </c>
      <c r="V80" s="2" t="str">
        <f t="shared" si="3"/>
        <v>ORD-2025-1007907/16/202521-07-2025CUST-8043Sneha KapoorCorporateEastWest BengalKolkataFurnitureTablesSmart Tables 561First Class52129.510.159050.426778.852271.57PaidCompleted</v>
      </c>
      <c r="W80" s="2">
        <f t="shared" si="4"/>
        <v>1</v>
      </c>
      <c r="X80">
        <f t="shared" si="5"/>
        <v>1</v>
      </c>
    </row>
    <row r="81" spans="1:25">
      <c r="A81" s="2" t="s">
        <v>497</v>
      </c>
      <c r="B81" s="2" t="s">
        <v>498</v>
      </c>
      <c r="C81" s="2" t="s">
        <v>499</v>
      </c>
      <c r="D81" s="2" t="s">
        <v>500</v>
      </c>
      <c r="E81" s="2" t="s">
        <v>210</v>
      </c>
      <c r="F81" s="2" t="s">
        <v>115</v>
      </c>
      <c r="G81" s="2" t="s">
        <v>62</v>
      </c>
      <c r="H81" s="2" t="s">
        <v>339</v>
      </c>
      <c r="I81" s="2" t="s">
        <v>340</v>
      </c>
      <c r="J81" s="2" t="s">
        <v>45</v>
      </c>
      <c r="K81" s="2" t="s">
        <v>76</v>
      </c>
      <c r="L81" s="2" t="s">
        <v>501</v>
      </c>
      <c r="M81" s="2" t="s">
        <v>48</v>
      </c>
      <c r="N81" s="2">
        <v>9</v>
      </c>
      <c r="O81" s="2">
        <v>4131.5200000000004</v>
      </c>
      <c r="P81" s="2">
        <v>0.1</v>
      </c>
      <c r="Q81" s="2">
        <v>33465.31</v>
      </c>
      <c r="R81" s="2">
        <v>24781.26</v>
      </c>
      <c r="S81" s="2">
        <v>8684.0499999999993</v>
      </c>
      <c r="T81" s="2" t="s">
        <v>34</v>
      </c>
      <c r="U81" s="2" t="s">
        <v>35</v>
      </c>
      <c r="V81" s="2" t="str">
        <f t="shared" si="3"/>
        <v>ORD-2025-100802025-09-272025-10-03CUST-9978Diya PatelHome OfficeSouthTamil NaduChennaiFurnitureChairsPrime Chairs 838Same Day94131.520.133465.3124781.268684.05PaidCompleted</v>
      </c>
      <c r="W81" s="2">
        <f t="shared" si="4"/>
        <v>1</v>
      </c>
      <c r="X81">
        <f t="shared" si="5"/>
        <v>1</v>
      </c>
    </row>
    <row r="82" spans="1:25">
      <c r="A82" s="2" t="s">
        <v>502</v>
      </c>
      <c r="B82" s="2" t="s">
        <v>503</v>
      </c>
      <c r="C82" s="2" t="s">
        <v>504</v>
      </c>
      <c r="D82" s="2" t="s">
        <v>505</v>
      </c>
      <c r="E82" s="2" t="s">
        <v>162</v>
      </c>
      <c r="F82" s="2" t="s">
        <v>41</v>
      </c>
      <c r="G82" s="2" t="s">
        <v>27</v>
      </c>
      <c r="H82" s="2" t="s">
        <v>506</v>
      </c>
      <c r="I82" s="2" t="s">
        <v>507</v>
      </c>
      <c r="J82" s="2" t="s">
        <v>30</v>
      </c>
      <c r="K82" s="2" t="s">
        <v>156</v>
      </c>
      <c r="L82" s="2" t="s">
        <v>508</v>
      </c>
      <c r="M82" s="2" t="s">
        <v>33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137</v>
      </c>
      <c r="U82" s="2" t="s">
        <v>125</v>
      </c>
      <c r="V82" s="2" t="str">
        <f t="shared" si="3"/>
        <v>ORD-2024-100812024-08-102024-08-14CUST-2094Aarav SharmaSmall BusinessNorthDelhiNew DelhiOffice SuppliesStorageElite Storage 371Second Class41182.320.14256.352495.331761.02PendingReturned</v>
      </c>
      <c r="W82" s="2">
        <f t="shared" si="4"/>
        <v>1</v>
      </c>
      <c r="X82">
        <f t="shared" si="5"/>
        <v>1</v>
      </c>
    </row>
    <row r="83" spans="1:25">
      <c r="A83" s="2" t="s">
        <v>509</v>
      </c>
      <c r="B83" s="2" t="s">
        <v>510</v>
      </c>
      <c r="C83" s="2" t="s">
        <v>511</v>
      </c>
      <c r="D83" s="2" t="s">
        <v>512</v>
      </c>
      <c r="E83" s="2" t="s">
        <v>25</v>
      </c>
      <c r="F83" s="2" t="s">
        <v>115</v>
      </c>
      <c r="G83" s="2" t="s">
        <v>73</v>
      </c>
      <c r="H83" s="2" t="s">
        <v>249</v>
      </c>
      <c r="I83" s="2" t="s">
        <v>250</v>
      </c>
      <c r="J83" s="2" t="s">
        <v>30</v>
      </c>
      <c r="K83" s="2" t="s">
        <v>109</v>
      </c>
      <c r="L83" s="2" t="s">
        <v>513</v>
      </c>
      <c r="M83" s="2" t="s">
        <v>48</v>
      </c>
      <c r="N83" s="2">
        <v>3</v>
      </c>
      <c r="O83" s="2">
        <v>1841.91</v>
      </c>
      <c r="P83" s="2">
        <v>0</v>
      </c>
      <c r="Q83" s="2">
        <v>5525.73</v>
      </c>
      <c r="R83" s="2">
        <v>3093.42</v>
      </c>
      <c r="S83" s="2">
        <v>2432.31</v>
      </c>
      <c r="T83" s="2" t="s">
        <v>34</v>
      </c>
      <c r="U83" s="2" t="s">
        <v>35</v>
      </c>
      <c r="V83" s="2" t="str">
        <f t="shared" si="3"/>
        <v>ORD-2025-100822025-03-1617-03-2025CUST-7907Karan MalhotraHome OfficeWestGoaPanajiOffice SuppliesLabelsEco Labels 662Same Day31841.9105525.733093.422432.31PaidCompleted</v>
      </c>
      <c r="W83" s="2">
        <f t="shared" si="4"/>
        <v>1</v>
      </c>
      <c r="X83">
        <f t="shared" si="5"/>
        <v>1</v>
      </c>
    </row>
    <row r="84" spans="1:25">
      <c r="A84" s="2" t="s">
        <v>514</v>
      </c>
      <c r="B84" s="2" t="s">
        <v>515</v>
      </c>
      <c r="C84" s="2" t="s">
        <v>516</v>
      </c>
      <c r="D84" s="2" t="s">
        <v>517</v>
      </c>
      <c r="E84" s="2" t="s">
        <v>61</v>
      </c>
      <c r="F84" s="2" t="s">
        <v>26</v>
      </c>
      <c r="G84" s="2" t="s">
        <v>27</v>
      </c>
      <c r="H84" s="2" t="s">
        <v>174</v>
      </c>
      <c r="I84" s="2" t="s">
        <v>175</v>
      </c>
      <c r="J84" s="2" t="s">
        <v>86</v>
      </c>
      <c r="K84" s="2" t="s">
        <v>94</v>
      </c>
      <c r="L84" s="2" t="s">
        <v>518</v>
      </c>
      <c r="M84" s="2" t="s">
        <v>33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200</v>
      </c>
      <c r="U84" s="2" t="s">
        <v>125</v>
      </c>
      <c r="V84" s="2" t="str">
        <f t="shared" si="3"/>
        <v>ORD-2024-100832024-08-0304-08-2024CUST-6516Arjun BoseConsumerNorthUttar PradeshNoidaTechnologyCopiersSmart Copiers 702Second Class61001.7306010.383762.852247.53FailedReturned</v>
      </c>
      <c r="W84" s="2">
        <f t="shared" si="4"/>
        <v>1</v>
      </c>
      <c r="X84">
        <f t="shared" si="5"/>
        <v>1</v>
      </c>
    </row>
    <row r="85" spans="1:25">
      <c r="A85" s="2" t="s">
        <v>519</v>
      </c>
      <c r="B85" s="2" t="s">
        <v>363</v>
      </c>
      <c r="C85" s="2" t="s">
        <v>520</v>
      </c>
      <c r="D85" s="2" t="s">
        <v>521</v>
      </c>
      <c r="E85" s="2" t="s">
        <v>107</v>
      </c>
      <c r="F85" s="2" t="s">
        <v>115</v>
      </c>
      <c r="G85" s="2" t="s">
        <v>73</v>
      </c>
      <c r="H85" s="2" t="s">
        <v>74</v>
      </c>
      <c r="I85" s="2" t="s">
        <v>75</v>
      </c>
      <c r="J85" s="2" t="s">
        <v>45</v>
      </c>
      <c r="K85" s="2" t="s">
        <v>46</v>
      </c>
      <c r="L85" s="2" t="s">
        <v>522</v>
      </c>
      <c r="M85" s="2" t="s">
        <v>33</v>
      </c>
      <c r="N85" s="2">
        <v>9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273.91000000000003</v>
      </c>
      <c r="T85" s="2" t="s">
        <v>34</v>
      </c>
      <c r="U85" s="2" t="s">
        <v>35</v>
      </c>
      <c r="V85" s="2" t="str">
        <f t="shared" si="3"/>
        <v>ORD-2024-1008426-10-202429-10-2024CUST-4989Aditi SenHome OfficeWestMaharashtraMumbaiFurnitureTablesElite Tables 362Second Class9131.740.2948.53674.62273.91PaidCompleted</v>
      </c>
      <c r="W85" s="2">
        <f t="shared" si="4"/>
        <v>1</v>
      </c>
      <c r="X85">
        <f t="shared" si="5"/>
        <v>1</v>
      </c>
    </row>
    <row r="86" spans="1:25">
      <c r="A86" s="2" t="s">
        <v>523</v>
      </c>
      <c r="B86" s="2" t="s">
        <v>524</v>
      </c>
      <c r="C86" s="2" t="s">
        <v>525</v>
      </c>
      <c r="D86" s="2" t="s">
        <v>526</v>
      </c>
      <c r="E86" s="2" t="s">
        <v>180</v>
      </c>
      <c r="F86" s="2" t="s">
        <v>108</v>
      </c>
      <c r="G86" s="2" t="s">
        <v>62</v>
      </c>
      <c r="H86" s="2" t="s">
        <v>339</v>
      </c>
      <c r="I86" s="2" t="s">
        <v>340</v>
      </c>
      <c r="J86" s="2" t="s">
        <v>86</v>
      </c>
      <c r="K86" s="2" t="s">
        <v>223</v>
      </c>
      <c r="L86" s="2" t="s">
        <v>527</v>
      </c>
      <c r="M86" s="2" t="s">
        <v>33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34</v>
      </c>
      <c r="U86" s="2" t="s">
        <v>35</v>
      </c>
      <c r="V86" s="2" t="str">
        <f t="shared" si="3"/>
        <v>ORD-2024-1008501 Oct 20242024-10-03CUST-3758Rohan MehtaCorporateSouthTamil NaduChennaiTechnologyPhonesElite Phones 781Second Class6570.280.22737.342085.44651.9PaidCompleted</v>
      </c>
      <c r="W86" s="2">
        <f t="shared" si="4"/>
        <v>1</v>
      </c>
      <c r="X86">
        <f t="shared" si="5"/>
        <v>1</v>
      </c>
    </row>
    <row r="87" spans="1:25">
      <c r="A87" s="2" t="s">
        <v>528</v>
      </c>
      <c r="B87" s="2" t="s">
        <v>529</v>
      </c>
      <c r="C87" s="2" t="s">
        <v>530</v>
      </c>
      <c r="D87" s="2" t="s">
        <v>531</v>
      </c>
      <c r="E87" s="2" t="s">
        <v>366</v>
      </c>
      <c r="F87" s="2" t="s">
        <v>108</v>
      </c>
      <c r="G87" s="2" t="s">
        <v>27</v>
      </c>
      <c r="H87" s="2" t="s">
        <v>506</v>
      </c>
      <c r="I87" s="2" t="s">
        <v>507</v>
      </c>
      <c r="J87" s="2" t="s">
        <v>30</v>
      </c>
      <c r="K87" s="2" t="s">
        <v>198</v>
      </c>
      <c r="L87" s="2" t="s">
        <v>532</v>
      </c>
      <c r="M87" s="2" t="s">
        <v>67</v>
      </c>
      <c r="N87" s="2">
        <v>1</v>
      </c>
      <c r="O87" s="2">
        <v>608.64</v>
      </c>
      <c r="P87" s="2">
        <v>0</v>
      </c>
      <c r="Q87" s="2">
        <v>608.64</v>
      </c>
      <c r="R87" s="2">
        <v>343.99</v>
      </c>
      <c r="S87" s="2">
        <v>264.64999999999998</v>
      </c>
      <c r="T87" s="2" t="s">
        <v>34</v>
      </c>
      <c r="U87" s="2" t="s">
        <v>78</v>
      </c>
      <c r="V87" s="2" t="str">
        <f t="shared" si="3"/>
        <v>ORD-2024-100862024-07-3008/05/2024CUST-6702Kabir SinghCorporateNorthDelhiNew DelhiOffice SuppliesBindersEco Binders 456Standard Class1608.640608.64343.99264.65PaidCancelled</v>
      </c>
      <c r="W87" s="2">
        <f t="shared" si="4"/>
        <v>1</v>
      </c>
      <c r="X87">
        <f t="shared" si="5"/>
        <v>1</v>
      </c>
    </row>
    <row r="88" spans="1:25">
      <c r="A88" s="2" t="s">
        <v>533</v>
      </c>
      <c r="B88" s="2" t="s">
        <v>534</v>
      </c>
      <c r="C88" s="2" t="s">
        <v>534</v>
      </c>
      <c r="D88" s="2" t="s">
        <v>535</v>
      </c>
      <c r="E88" s="2" t="s">
        <v>72</v>
      </c>
      <c r="F88" s="2" t="s">
        <v>41</v>
      </c>
      <c r="G88" s="2" t="s">
        <v>27</v>
      </c>
      <c r="H88" s="2" t="s">
        <v>506</v>
      </c>
      <c r="I88" s="2" t="s">
        <v>507</v>
      </c>
      <c r="J88" s="2" t="s">
        <v>86</v>
      </c>
      <c r="K88" s="2" t="s">
        <v>94</v>
      </c>
      <c r="L88" s="2" t="s">
        <v>536</v>
      </c>
      <c r="M88" s="2" t="s">
        <v>33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124</v>
      </c>
      <c r="U88" s="2" t="s">
        <v>78</v>
      </c>
      <c r="V88" s="2" t="str">
        <f t="shared" si="3"/>
        <v>ORD-2024-1008701 Jul 202401 Jul 2024CUST-9148Ananya RaoSmall BusinessNorthDelhiNew DelhiTechnologyCopiersBasic Copiers 525Second Class3885.280.12390.261495.94894.32RefundedCancelled</v>
      </c>
      <c r="W88" s="2">
        <f t="shared" si="4"/>
        <v>1</v>
      </c>
      <c r="X88">
        <f t="shared" si="5"/>
        <v>1</v>
      </c>
    </row>
    <row r="89" spans="1:25">
      <c r="A89" s="2" t="s">
        <v>537</v>
      </c>
      <c r="B89" s="2" t="s">
        <v>538</v>
      </c>
      <c r="C89" s="2" t="s">
        <v>515</v>
      </c>
      <c r="D89" s="2" t="s">
        <v>539</v>
      </c>
      <c r="E89" s="2" t="s">
        <v>83</v>
      </c>
      <c r="F89" s="2" t="s">
        <v>26</v>
      </c>
      <c r="G89" s="2" t="s">
        <v>42</v>
      </c>
      <c r="H89" s="2" t="s">
        <v>216</v>
      </c>
      <c r="I89" s="2" t="s">
        <v>217</v>
      </c>
      <c r="J89" s="2" t="s">
        <v>30</v>
      </c>
      <c r="K89" s="2" t="s">
        <v>198</v>
      </c>
      <c r="L89" s="2" t="s">
        <v>540</v>
      </c>
      <c r="M89" s="2" t="s">
        <v>67</v>
      </c>
      <c r="N89" s="2">
        <v>7</v>
      </c>
      <c r="O89" s="2">
        <v>3345.22</v>
      </c>
      <c r="P89" s="2">
        <v>0</v>
      </c>
      <c r="Q89" s="2">
        <v>23416.54</v>
      </c>
      <c r="R89" s="2">
        <v>15490.89</v>
      </c>
      <c r="S89" s="2">
        <v>7925.65</v>
      </c>
      <c r="T89" s="2" t="s">
        <v>34</v>
      </c>
      <c r="U89" s="2" t="s">
        <v>35</v>
      </c>
      <c r="V89" s="2" t="str">
        <f t="shared" si="3"/>
        <v>ORD-2024-1008802-08-20242024-08-03CUST-5829Vikram IyerConsumerEastAssamGuwahatiOffice SuppliesBindersEco Binders 258Standard Class73345.22023416.5415490.897925.65PaidCompleted</v>
      </c>
      <c r="W89" s="2">
        <f t="shared" si="4"/>
        <v>1</v>
      </c>
      <c r="X89">
        <f t="shared" si="5"/>
        <v>1</v>
      </c>
    </row>
    <row r="90" spans="1:25">
      <c r="A90" s="2" t="s">
        <v>541</v>
      </c>
      <c r="B90" s="2" t="s">
        <v>542</v>
      </c>
      <c r="C90" s="2" t="s">
        <v>543</v>
      </c>
      <c r="D90" s="2" t="s">
        <v>544</v>
      </c>
      <c r="E90" s="2" t="s">
        <v>180</v>
      </c>
      <c r="F90" s="2" t="s">
        <v>41</v>
      </c>
      <c r="G90" s="2" t="s">
        <v>73</v>
      </c>
      <c r="H90" s="2" t="s">
        <v>74</v>
      </c>
      <c r="I90" s="2" t="s">
        <v>75</v>
      </c>
      <c r="J90" s="2" t="s">
        <v>45</v>
      </c>
      <c r="K90" s="2" t="s">
        <v>204</v>
      </c>
      <c r="L90" s="2" t="s">
        <v>545</v>
      </c>
      <c r="M90" s="2" t="s">
        <v>67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34</v>
      </c>
      <c r="U90" s="2" t="s">
        <v>35</v>
      </c>
      <c r="V90" s="2" t="str">
        <f t="shared" si="3"/>
        <v>ORD-2024-1008903/24/202427 Mar 2024CUST-6059Rohan MehtaSmall BusinessWestMaharashtraMumbaiFurnitureBookcasesMax Bookcases 398Standard Class23284.750.056241.025345.88895.14PaidCompleted</v>
      </c>
      <c r="W90" s="2">
        <f t="shared" si="4"/>
        <v>1</v>
      </c>
      <c r="X90">
        <f t="shared" si="5"/>
        <v>1</v>
      </c>
    </row>
    <row r="91" spans="1:25">
      <c r="A91" s="2" t="s">
        <v>546</v>
      </c>
      <c r="B91" s="2" t="s">
        <v>38</v>
      </c>
      <c r="C91" s="2" t="s">
        <v>38</v>
      </c>
      <c r="D91" s="2" t="s">
        <v>547</v>
      </c>
      <c r="E91" s="2" t="s">
        <v>366</v>
      </c>
      <c r="F91" s="2" t="s">
        <v>26</v>
      </c>
      <c r="G91" s="2" t="s">
        <v>62</v>
      </c>
      <c r="H91" s="2" t="s">
        <v>100</v>
      </c>
      <c r="I91" s="2" t="s">
        <v>101</v>
      </c>
      <c r="J91" s="2" t="s">
        <v>45</v>
      </c>
      <c r="K91" s="2" t="s">
        <v>204</v>
      </c>
      <c r="L91" s="2" t="s">
        <v>548</v>
      </c>
      <c r="M91" s="2" t="s">
        <v>67</v>
      </c>
      <c r="N91" s="2">
        <v>7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9004.9699999999993</v>
      </c>
      <c r="T91" s="2" t="s">
        <v>137</v>
      </c>
      <c r="U91" s="2" t="s">
        <v>78</v>
      </c>
      <c r="V91" s="2" t="str">
        <f t="shared" si="3"/>
        <v>ORD-2024-1009005 Sep 202405 Sep 2024CUST-7744Kabir SinghConsumerSouthAndhra PradeshVijayawadaFurnitureBookcasesSmart Bookcases 857Standard Class73761.090.221062.112057.139004.97PendingCancelled</v>
      </c>
      <c r="W91" s="2">
        <f t="shared" si="4"/>
        <v>1</v>
      </c>
      <c r="X91">
        <f t="shared" si="5"/>
        <v>1</v>
      </c>
    </row>
    <row r="92" spans="1:25">
      <c r="A92" s="2" t="s">
        <v>549</v>
      </c>
      <c r="B92" s="2" t="s">
        <v>550</v>
      </c>
      <c r="C92" s="2" t="s">
        <v>69</v>
      </c>
      <c r="D92" s="2" t="s">
        <v>551</v>
      </c>
      <c r="E92" s="2" t="s">
        <v>162</v>
      </c>
      <c r="F92" s="2" t="s">
        <v>41</v>
      </c>
      <c r="G92" s="2" t="s">
        <v>42</v>
      </c>
      <c r="H92" s="2" t="s">
        <v>186</v>
      </c>
      <c r="I92" s="2" t="s">
        <v>187</v>
      </c>
      <c r="J92" s="2" t="s">
        <v>86</v>
      </c>
      <c r="K92" s="2" t="s">
        <v>94</v>
      </c>
      <c r="L92" s="2" t="s">
        <v>552</v>
      </c>
      <c r="M92" s="2" t="s">
        <v>56</v>
      </c>
      <c r="N92" s="2">
        <v>3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34</v>
      </c>
      <c r="U92" s="2" t="s">
        <v>35</v>
      </c>
      <c r="V92" s="2" t="str">
        <f t="shared" si="3"/>
        <v>ORD-2025-1009108/24/202529 Aug 2025CUST-5909Aarav SharmaSmall BusinessEastBiharPatnaTechnologyCopiersSmart Copiers 556First Class33703.960.159445.15586.283858.82PaidCompleted</v>
      </c>
      <c r="W92" s="2">
        <f t="shared" si="4"/>
        <v>1</v>
      </c>
      <c r="X92">
        <f t="shared" si="5"/>
        <v>2</v>
      </c>
      <c r="Y92" s="2" t="s">
        <v>4097</v>
      </c>
    </row>
    <row r="93" spans="1:25">
      <c r="A93" s="2" t="s">
        <v>553</v>
      </c>
      <c r="B93" s="2" t="s">
        <v>554</v>
      </c>
      <c r="C93" s="2" t="s">
        <v>555</v>
      </c>
      <c r="D93" s="2" t="s">
        <v>556</v>
      </c>
      <c r="E93" s="2" t="s">
        <v>168</v>
      </c>
      <c r="F93" s="2" t="s">
        <v>108</v>
      </c>
      <c r="G93" s="2" t="s">
        <v>73</v>
      </c>
      <c r="H93" s="2" t="s">
        <v>84</v>
      </c>
      <c r="I93" s="2" t="s">
        <v>85</v>
      </c>
      <c r="J93" s="2" t="s">
        <v>86</v>
      </c>
      <c r="K93" s="2" t="s">
        <v>94</v>
      </c>
      <c r="L93" s="2" t="s">
        <v>557</v>
      </c>
      <c r="M93" s="2" t="s">
        <v>33</v>
      </c>
      <c r="N93" s="2">
        <v>9</v>
      </c>
      <c r="O93" s="2">
        <v>269.68</v>
      </c>
      <c r="P93" s="2">
        <v>0</v>
      </c>
      <c r="Q93" s="2">
        <v>2427.12</v>
      </c>
      <c r="R93" s="2">
        <v>1538.35</v>
      </c>
      <c r="S93" s="2">
        <v>804.53</v>
      </c>
      <c r="T93" s="2" t="s">
        <v>34</v>
      </c>
      <c r="U93" s="2" t="s">
        <v>35</v>
      </c>
      <c r="V93" s="2" t="str">
        <f t="shared" si="3"/>
        <v>ORD-2025-1009202-03-202503/08/2025CUST-6409Sneha KapoorCorporateWestMadhya PradeshIndoreTechnologyCopiersPrime Copiers 575Second Class9269.6802427.121538.35804.53PaidCompleted</v>
      </c>
      <c r="W93" s="2">
        <f t="shared" si="4"/>
        <v>1</v>
      </c>
      <c r="X93">
        <f t="shared" si="5"/>
        <v>1</v>
      </c>
    </row>
    <row r="94" spans="1:25">
      <c r="A94" s="2" t="s">
        <v>558</v>
      </c>
      <c r="B94" s="2" t="s">
        <v>184</v>
      </c>
      <c r="C94" s="2" t="s">
        <v>559</v>
      </c>
      <c r="D94" s="2" t="s">
        <v>560</v>
      </c>
      <c r="E94" s="2" t="s">
        <v>162</v>
      </c>
      <c r="F94" s="2" t="s">
        <v>26</v>
      </c>
      <c r="G94" s="2" t="s">
        <v>73</v>
      </c>
      <c r="H94" s="2" t="s">
        <v>84</v>
      </c>
      <c r="I94" s="2" t="s">
        <v>85</v>
      </c>
      <c r="J94" s="2" t="s">
        <v>30</v>
      </c>
      <c r="K94" s="2" t="s">
        <v>31</v>
      </c>
      <c r="L94" s="2" t="s">
        <v>561</v>
      </c>
      <c r="M94" s="2" t="s">
        <v>67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34</v>
      </c>
      <c r="U94" s="2" t="s">
        <v>35</v>
      </c>
      <c r="V94" s="2" t="str">
        <f t="shared" si="3"/>
        <v>ORD-2025-1009323 Jan 202501/26/2025CUST-3014Aarav SharmaConsumerWestMadhya PradeshIndoreOffice SuppliesPaperElite Paper 669Standard Class94458.260.136111.9129194.56917.41PaidCompleted</v>
      </c>
      <c r="W94" s="2">
        <f t="shared" si="4"/>
        <v>1</v>
      </c>
      <c r="X94">
        <f t="shared" si="5"/>
        <v>1</v>
      </c>
    </row>
    <row r="95" spans="1:25">
      <c r="A95" s="2" t="s">
        <v>562</v>
      </c>
      <c r="B95" s="2" t="s">
        <v>165</v>
      </c>
      <c r="C95" s="2" t="s">
        <v>563</v>
      </c>
      <c r="D95" s="2" t="s">
        <v>564</v>
      </c>
      <c r="E95" s="2" t="s">
        <v>180</v>
      </c>
      <c r="F95" s="2" t="s">
        <v>108</v>
      </c>
      <c r="G95" s="2" t="s">
        <v>27</v>
      </c>
      <c r="H95" s="2" t="s">
        <v>174</v>
      </c>
      <c r="I95" s="2" t="s">
        <v>175</v>
      </c>
      <c r="J95" s="2" t="s">
        <v>30</v>
      </c>
      <c r="K95" s="2" t="s">
        <v>198</v>
      </c>
      <c r="L95" s="2" t="s">
        <v>565</v>
      </c>
      <c r="M95" s="2" t="s">
        <v>67</v>
      </c>
      <c r="N95" s="2">
        <v>7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34</v>
      </c>
      <c r="U95" s="2" t="s">
        <v>35</v>
      </c>
      <c r="V95" s="2" t="str">
        <f t="shared" si="3"/>
        <v>ORD-2024-1009401/07/202413-01-2024CUST-6106Rohan MehtaCorporateNorthUttar PradeshNoidaOffice SuppliesBindersEco Binders 780Standard Class72788.97-0.0919522.7912455.787067.01PaidCompleted</v>
      </c>
      <c r="W95" s="2">
        <f t="shared" si="4"/>
        <v>1</v>
      </c>
      <c r="X95">
        <f t="shared" si="5"/>
        <v>1</v>
      </c>
    </row>
    <row r="96" spans="1:25">
      <c r="A96" s="2" t="s">
        <v>566</v>
      </c>
      <c r="B96" s="2" t="s">
        <v>567</v>
      </c>
      <c r="C96" s="2" t="s">
        <v>568</v>
      </c>
      <c r="D96" s="2" t="s">
        <v>569</v>
      </c>
      <c r="E96" s="2" t="s">
        <v>210</v>
      </c>
      <c r="F96" s="2" t="s">
        <v>26</v>
      </c>
      <c r="G96" s="2" t="s">
        <v>27</v>
      </c>
      <c r="H96" s="2" t="s">
        <v>323</v>
      </c>
      <c r="I96" s="2" t="s">
        <v>324</v>
      </c>
      <c r="J96" s="2" t="s">
        <v>86</v>
      </c>
      <c r="K96" s="2" t="s">
        <v>223</v>
      </c>
      <c r="L96" s="2" t="s">
        <v>570</v>
      </c>
      <c r="M96" s="2" t="s">
        <v>33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137</v>
      </c>
      <c r="U96" s="2" t="s">
        <v>78</v>
      </c>
      <c r="V96" s="2" t="str">
        <f t="shared" si="3"/>
        <v>ORD-2024-1009509/06/202409 Sep 2024CUST-1926Diya PatelConsumerNorthHaryanaGurugramTechnologyPhonesElite Phones 723Second Class73781.53026470.7121367.65103.11PendingCancelled</v>
      </c>
      <c r="W96" s="2">
        <f t="shared" si="4"/>
        <v>1</v>
      </c>
      <c r="X96">
        <f t="shared" si="5"/>
        <v>1</v>
      </c>
    </row>
    <row r="97" spans="1:24">
      <c r="A97" s="2" t="s">
        <v>571</v>
      </c>
      <c r="B97" s="2" t="s">
        <v>572</v>
      </c>
      <c r="C97" s="2" t="s">
        <v>573</v>
      </c>
      <c r="D97" s="2" t="s">
        <v>574</v>
      </c>
      <c r="E97" s="2" t="s">
        <v>168</v>
      </c>
      <c r="F97" s="2" t="s">
        <v>108</v>
      </c>
      <c r="G97" s="2" t="s">
        <v>73</v>
      </c>
      <c r="H97" s="2" t="s">
        <v>249</v>
      </c>
      <c r="I97" s="2" t="s">
        <v>250</v>
      </c>
      <c r="J97" s="2" t="s">
        <v>45</v>
      </c>
      <c r="K97" s="2" t="s">
        <v>204</v>
      </c>
      <c r="L97" s="2" t="s">
        <v>575</v>
      </c>
      <c r="M97" s="2" t="s">
        <v>48</v>
      </c>
      <c r="N97" s="2">
        <v>6</v>
      </c>
      <c r="O97" s="2">
        <v>1754.13</v>
      </c>
      <c r="P97" s="2">
        <v>0</v>
      </c>
      <c r="Q97" s="2">
        <v>10524.78</v>
      </c>
      <c r="R97" s="2">
        <v>8841.0499999999993</v>
      </c>
      <c r="S97" s="2">
        <v>1683.73</v>
      </c>
      <c r="T97" s="2" t="s">
        <v>34</v>
      </c>
      <c r="U97" s="2" t="s">
        <v>35</v>
      </c>
      <c r="V97" s="2" t="str">
        <f t="shared" si="3"/>
        <v>ORD-2025-1009605-09-202509/10/2025CUST-2687Sneha KapoorCorporateWestGoaPanajiFurnitureBookcasesClassic Bookcases 988Same Day61754.13010524.788841.051683.73PaidCompleted</v>
      </c>
      <c r="W97" s="2">
        <f t="shared" si="4"/>
        <v>1</v>
      </c>
      <c r="X97">
        <f t="shared" si="5"/>
        <v>1</v>
      </c>
    </row>
    <row r="98" spans="1:24">
      <c r="A98" s="2" t="s">
        <v>576</v>
      </c>
      <c r="B98" s="2" t="s">
        <v>577</v>
      </c>
      <c r="C98" s="2" t="s">
        <v>578</v>
      </c>
      <c r="D98" s="2" t="s">
        <v>579</v>
      </c>
      <c r="E98" s="2" t="s">
        <v>148</v>
      </c>
      <c r="F98" s="2" t="s">
        <v>115</v>
      </c>
      <c r="G98" s="2" t="s">
        <v>42</v>
      </c>
      <c r="H98" s="2" t="s">
        <v>43</v>
      </c>
      <c r="I98" s="2" t="s">
        <v>44</v>
      </c>
      <c r="J98" s="2" t="s">
        <v>86</v>
      </c>
      <c r="K98" s="2" t="s">
        <v>94</v>
      </c>
      <c r="L98" s="2" t="s">
        <v>580</v>
      </c>
      <c r="M98" s="2" t="s">
        <v>33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34</v>
      </c>
      <c r="U98" s="2" t="s">
        <v>35</v>
      </c>
      <c r="V98" s="2" t="str">
        <f t="shared" si="3"/>
        <v>ORD-2024-1009705 Jun 202407-06-2024CUST-7283Rahul VermaHome OfficeEastOdishaBhubaneswarTechnologyCopiersSmart Copiers 547Second Class22259.240.153840.712516.291324.42PaidCompleted</v>
      </c>
      <c r="W98" s="2">
        <f t="shared" si="4"/>
        <v>1</v>
      </c>
      <c r="X98">
        <f t="shared" si="5"/>
        <v>1</v>
      </c>
    </row>
    <row r="99" spans="1:24">
      <c r="A99" s="2" t="s">
        <v>581</v>
      </c>
      <c r="B99" s="2" t="s">
        <v>582</v>
      </c>
      <c r="C99" s="2" t="s">
        <v>583</v>
      </c>
      <c r="D99" s="2" t="s">
        <v>584</v>
      </c>
      <c r="E99" s="2" t="s">
        <v>210</v>
      </c>
      <c r="F99" s="2" t="s">
        <v>41</v>
      </c>
      <c r="G99" s="2" t="s">
        <v>73</v>
      </c>
      <c r="H99" s="2" t="s">
        <v>235</v>
      </c>
      <c r="I99" s="2" t="s">
        <v>236</v>
      </c>
      <c r="J99" s="2" t="s">
        <v>30</v>
      </c>
      <c r="K99" s="2" t="s">
        <v>156</v>
      </c>
      <c r="L99" s="2" t="s">
        <v>585</v>
      </c>
      <c r="M99" s="2" t="s">
        <v>48</v>
      </c>
      <c r="N99" s="2">
        <v>5</v>
      </c>
      <c r="O99" s="2">
        <v>3602.36</v>
      </c>
      <c r="P99" s="2">
        <v>0.2</v>
      </c>
      <c r="Q99" s="2">
        <v>14409.44</v>
      </c>
      <c r="R99" s="2">
        <v>8809.9699999999993</v>
      </c>
      <c r="S99" s="2">
        <v>5599.47</v>
      </c>
      <c r="T99" s="2" t="s">
        <v>137</v>
      </c>
      <c r="U99" s="2" t="s">
        <v>125</v>
      </c>
      <c r="V99" s="2" t="str">
        <f t="shared" si="3"/>
        <v>ORD-2025-1009808 Aug 20252025-08-11CUST-8111Diya PatelSmall BusinessWestGujaratAhmedabadOffice SuppliesStorageBasic Storage 656Same Day53602.360.214409.448809.975599.47PendingReturned</v>
      </c>
      <c r="W99" s="2">
        <f t="shared" si="4"/>
        <v>1</v>
      </c>
      <c r="X99">
        <f t="shared" si="5"/>
        <v>1</v>
      </c>
    </row>
    <row r="100" spans="1:24">
      <c r="A100" s="2" t="s">
        <v>586</v>
      </c>
      <c r="B100" s="2" t="s">
        <v>587</v>
      </c>
      <c r="C100" s="2" t="s">
        <v>588</v>
      </c>
      <c r="D100" s="2" t="s">
        <v>589</v>
      </c>
      <c r="E100" s="2" t="s">
        <v>180</v>
      </c>
      <c r="F100" s="2" t="s">
        <v>115</v>
      </c>
      <c r="G100" s="2" t="s">
        <v>62</v>
      </c>
      <c r="H100" s="2" t="s">
        <v>242</v>
      </c>
      <c r="I100" s="2" t="s">
        <v>243</v>
      </c>
      <c r="J100" s="2" t="s">
        <v>86</v>
      </c>
      <c r="K100" s="2" t="s">
        <v>94</v>
      </c>
      <c r="L100" s="2" t="s">
        <v>590</v>
      </c>
      <c r="N100" s="2">
        <v>8</v>
      </c>
      <c r="O100" s="2">
        <v>2108.9299999999998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34</v>
      </c>
      <c r="U100" s="2" t="s">
        <v>35</v>
      </c>
      <c r="V100" s="2" t="str">
        <f t="shared" si="3"/>
        <v>ORD-2024-100992024-01-2602/01/2024CUST-5434Rohan MehtaHome OfficeSouthKeralaKochiTechnologyCopiersElite Copiers 78582108.930.115184.311270.743913.56PaidCompleted</v>
      </c>
      <c r="W100" s="2">
        <f t="shared" si="4"/>
        <v>1</v>
      </c>
      <c r="X100">
        <f t="shared" si="5"/>
        <v>1</v>
      </c>
    </row>
    <row r="101" spans="1:24">
      <c r="A101" s="2" t="s">
        <v>591</v>
      </c>
      <c r="B101" s="2" t="s">
        <v>592</v>
      </c>
      <c r="C101" s="2" t="s">
        <v>592</v>
      </c>
      <c r="D101" s="2" t="s">
        <v>593</v>
      </c>
      <c r="E101" s="2" t="s">
        <v>107</v>
      </c>
      <c r="F101" s="2" t="s">
        <v>41</v>
      </c>
      <c r="G101" s="2" t="s">
        <v>73</v>
      </c>
      <c r="H101" s="2" t="s">
        <v>28</v>
      </c>
      <c r="I101" s="2" t="s">
        <v>135</v>
      </c>
      <c r="J101" s="2" t="s">
        <v>86</v>
      </c>
      <c r="K101" s="2" t="s">
        <v>87</v>
      </c>
      <c r="L101" s="2" t="s">
        <v>594</v>
      </c>
      <c r="M101" s="2" t="s">
        <v>48</v>
      </c>
      <c r="N101" s="2">
        <v>3</v>
      </c>
      <c r="O101" s="2">
        <v>2165.29</v>
      </c>
      <c r="P101" s="2">
        <v>0</v>
      </c>
      <c r="Q101" s="2">
        <v>6495.87</v>
      </c>
      <c r="R101" s="2">
        <v>4700.8900000000003</v>
      </c>
      <c r="S101" s="2">
        <v>1794.98</v>
      </c>
      <c r="T101" s="2" t="s">
        <v>34</v>
      </c>
      <c r="U101" s="2" t="s">
        <v>35</v>
      </c>
      <c r="V101" s="2" t="str">
        <f t="shared" si="3"/>
        <v>ORD-2025-1010011-01-202511-01-2025CUST-3865Aditi SenSmall BusinessWestRajasthanUdaipurTechnologyAccessoriesSmart Accessories 542Same Day32165.2906495.874700.891794.98PaidCompleted</v>
      </c>
      <c r="W101" s="2">
        <f t="shared" si="4"/>
        <v>1</v>
      </c>
      <c r="X101">
        <f t="shared" si="5"/>
        <v>1</v>
      </c>
    </row>
    <row r="102" spans="1:24">
      <c r="A102" s="2" t="s">
        <v>595</v>
      </c>
      <c r="B102" s="2" t="s">
        <v>596</v>
      </c>
      <c r="C102" s="2" t="s">
        <v>597</v>
      </c>
      <c r="D102" s="2" t="s">
        <v>598</v>
      </c>
      <c r="E102" s="2" t="s">
        <v>162</v>
      </c>
      <c r="F102" s="2" t="s">
        <v>115</v>
      </c>
      <c r="G102" s="2" t="s">
        <v>62</v>
      </c>
      <c r="H102" s="2" t="s">
        <v>242</v>
      </c>
      <c r="I102" s="2" t="s">
        <v>243</v>
      </c>
      <c r="J102" s="2" t="s">
        <v>30</v>
      </c>
      <c r="K102" s="2" t="s">
        <v>156</v>
      </c>
      <c r="L102" s="2" t="s">
        <v>599</v>
      </c>
      <c r="M102" s="2" t="s">
        <v>67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34</v>
      </c>
      <c r="U102" s="2" t="s">
        <v>35</v>
      </c>
      <c r="V102" s="2" t="str">
        <f t="shared" si="3"/>
        <v>ORD-2025-1010112 Sep 202518 Sep 2025CUST-6015Aarav SharmaHome OfficeSouthKeralaKochiOffice SuppliesStorageEco Storage 936Standard Class61673.80.059540.665561.493979.17PaidCompleted</v>
      </c>
      <c r="W102" s="2">
        <f t="shared" si="4"/>
        <v>1</v>
      </c>
      <c r="X102">
        <f t="shared" si="5"/>
        <v>1</v>
      </c>
    </row>
    <row r="103" spans="1:24">
      <c r="A103" s="2" t="s">
        <v>600</v>
      </c>
      <c r="B103" s="2" t="s">
        <v>320</v>
      </c>
      <c r="C103" s="2" t="s">
        <v>601</v>
      </c>
      <c r="D103" s="2" t="s">
        <v>602</v>
      </c>
      <c r="E103" s="2" t="s">
        <v>180</v>
      </c>
      <c r="F103" s="2" t="s">
        <v>115</v>
      </c>
      <c r="G103" s="2" t="s">
        <v>42</v>
      </c>
      <c r="H103" s="2" t="s">
        <v>186</v>
      </c>
      <c r="I103" s="2" t="s">
        <v>187</v>
      </c>
      <c r="J103" s="2" t="s">
        <v>45</v>
      </c>
      <c r="K103" s="2" t="s">
        <v>65</v>
      </c>
      <c r="L103" s="2" t="s">
        <v>603</v>
      </c>
      <c r="M103" s="2" t="s">
        <v>56</v>
      </c>
      <c r="N103" s="2">
        <v>5</v>
      </c>
      <c r="O103" s="2">
        <v>4396.5200000000004</v>
      </c>
      <c r="P103" s="2">
        <v>0.25</v>
      </c>
      <c r="Q103" s="2">
        <v>16486.95</v>
      </c>
      <c r="R103" s="2">
        <v>12054.14</v>
      </c>
      <c r="S103" s="2">
        <v>4432.8100000000004</v>
      </c>
      <c r="T103" s="2" t="s">
        <v>34</v>
      </c>
      <c r="U103" s="2" t="s">
        <v>35</v>
      </c>
      <c r="V103" s="2" t="str">
        <f t="shared" si="3"/>
        <v>ORD-2024-1010206/22/202426-06-2024CUST-7909Rohan MehtaHome OfficeEastBiharPatnaFurnitureFurnishingsClassic Furnishings 682First Class54396.520.2516486.9512054.144432.81PaidCompleted</v>
      </c>
      <c r="W103" s="2">
        <f t="shared" si="4"/>
        <v>1</v>
      </c>
      <c r="X103">
        <f t="shared" si="5"/>
        <v>1</v>
      </c>
    </row>
    <row r="104" spans="1:24">
      <c r="A104" s="2" t="s">
        <v>604</v>
      </c>
      <c r="B104" s="2" t="s">
        <v>605</v>
      </c>
      <c r="C104" s="2" t="s">
        <v>606</v>
      </c>
      <c r="D104" s="2" t="s">
        <v>607</v>
      </c>
      <c r="E104" s="2" t="s">
        <v>83</v>
      </c>
      <c r="F104" s="2" t="s">
        <v>26</v>
      </c>
      <c r="G104" s="2" t="s">
        <v>62</v>
      </c>
      <c r="H104" s="2" t="s">
        <v>229</v>
      </c>
      <c r="I104" s="2" t="s">
        <v>230</v>
      </c>
      <c r="J104" s="2" t="s">
        <v>45</v>
      </c>
      <c r="K104" s="2" t="s">
        <v>76</v>
      </c>
      <c r="L104" s="2" t="s">
        <v>608</v>
      </c>
      <c r="M104" s="2" t="s">
        <v>56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124</v>
      </c>
      <c r="U104" s="2" t="s">
        <v>78</v>
      </c>
      <c r="V104" s="2" t="str">
        <f t="shared" si="3"/>
        <v>ORD-2025-1010312 Jul 20252025-07-16CUST-9603Vikram IyerConsumerSouthKarnatakaBengaluruFurnitureChairsClassic Chairs 604First Class42865.71011462.848979.782483.06RefundedCancelled</v>
      </c>
      <c r="W104" s="2">
        <f t="shared" si="4"/>
        <v>1</v>
      </c>
      <c r="X104">
        <f t="shared" si="5"/>
        <v>1</v>
      </c>
    </row>
    <row r="105" spans="1:24">
      <c r="A105" s="2" t="s">
        <v>609</v>
      </c>
      <c r="B105" s="2" t="s">
        <v>610</v>
      </c>
      <c r="C105" s="2" t="s">
        <v>611</v>
      </c>
      <c r="D105" s="2" t="s">
        <v>612</v>
      </c>
      <c r="E105" s="2" t="s">
        <v>366</v>
      </c>
      <c r="F105" s="2" t="s">
        <v>108</v>
      </c>
      <c r="G105" s="2" t="s">
        <v>73</v>
      </c>
      <c r="H105" s="2" t="s">
        <v>74</v>
      </c>
      <c r="I105" s="2" t="s">
        <v>75</v>
      </c>
      <c r="J105" s="2" t="s">
        <v>45</v>
      </c>
      <c r="K105" s="2" t="s">
        <v>46</v>
      </c>
      <c r="L105" s="2" t="s">
        <v>613</v>
      </c>
      <c r="M105" s="2" t="s">
        <v>56</v>
      </c>
      <c r="N105" s="2">
        <v>4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1151.3399999999999</v>
      </c>
      <c r="T105" s="2" t="s">
        <v>34</v>
      </c>
      <c r="U105" s="2" t="s">
        <v>35</v>
      </c>
      <c r="V105" s="2" t="str">
        <f t="shared" si="3"/>
        <v>ORD-2025-1010405/02/202505/10/2025CUST-6263Kabir SinghCorporateWestMaharashtraMumbaiFurnitureTablesPrime Tables 377First Class42440.340.27809.096657.751151.34PaidCompleted</v>
      </c>
      <c r="W105" s="2">
        <f t="shared" si="4"/>
        <v>1</v>
      </c>
      <c r="X105">
        <f t="shared" si="5"/>
        <v>1</v>
      </c>
    </row>
    <row r="106" spans="1:24">
      <c r="A106" s="2" t="s">
        <v>614</v>
      </c>
      <c r="B106" s="2" t="s">
        <v>615</v>
      </c>
      <c r="C106" s="2" t="s">
        <v>616</v>
      </c>
      <c r="D106" s="2" t="s">
        <v>617</v>
      </c>
      <c r="E106" s="2" t="s">
        <v>72</v>
      </c>
      <c r="F106" s="2" t="s">
        <v>26</v>
      </c>
      <c r="G106" s="2" t="s">
        <v>62</v>
      </c>
      <c r="H106" s="2" t="s">
        <v>229</v>
      </c>
      <c r="I106" s="2" t="s">
        <v>230</v>
      </c>
      <c r="J106" s="2" t="s">
        <v>30</v>
      </c>
      <c r="K106" s="2" t="s">
        <v>109</v>
      </c>
      <c r="L106" s="2" t="s">
        <v>618</v>
      </c>
      <c r="M106" s="2" t="s">
        <v>48</v>
      </c>
      <c r="N106" s="2">
        <v>5</v>
      </c>
      <c r="O106" s="2">
        <v>2112.54</v>
      </c>
      <c r="P106" s="2">
        <v>0.25</v>
      </c>
      <c r="Q106" s="2">
        <v>8260.4599999999991</v>
      </c>
      <c r="R106" s="2">
        <v>5619.95</v>
      </c>
      <c r="S106" s="2">
        <v>2302.08</v>
      </c>
      <c r="T106" s="2" t="s">
        <v>34</v>
      </c>
      <c r="U106" s="2" t="s">
        <v>78</v>
      </c>
      <c r="V106" s="2" t="str">
        <f t="shared" si="3"/>
        <v>ORD-2025-101052025-02-0102/08/2025CUST-1576Ananya RaoConsumerSouthKarnatakaBengaluruOffice SuppliesLabelsPrime Labels 807Same Day52112.540.258260.465619.952302.08PaidCancelled</v>
      </c>
      <c r="W106" s="2">
        <f t="shared" si="4"/>
        <v>1</v>
      </c>
      <c r="X106">
        <f t="shared" si="5"/>
        <v>1</v>
      </c>
    </row>
    <row r="107" spans="1:24">
      <c r="A107" s="2" t="s">
        <v>619</v>
      </c>
      <c r="B107" s="2" t="s">
        <v>620</v>
      </c>
      <c r="C107" s="2" t="s">
        <v>621</v>
      </c>
      <c r="D107" s="2" t="s">
        <v>622</v>
      </c>
      <c r="E107" s="2" t="s">
        <v>40</v>
      </c>
      <c r="F107" s="2" t="s">
        <v>115</v>
      </c>
      <c r="G107" s="2" t="s">
        <v>42</v>
      </c>
      <c r="H107" s="2" t="s">
        <v>121</v>
      </c>
      <c r="I107" s="2" t="s">
        <v>122</v>
      </c>
      <c r="J107" s="2" t="s">
        <v>45</v>
      </c>
      <c r="K107" s="2" t="s">
        <v>46</v>
      </c>
      <c r="L107" s="2" t="s">
        <v>623</v>
      </c>
      <c r="M107" s="2" t="s">
        <v>33</v>
      </c>
      <c r="N107" s="2">
        <v>2</v>
      </c>
      <c r="O107" s="2">
        <v>685</v>
      </c>
      <c r="P107" s="2">
        <v>0.1</v>
      </c>
      <c r="Q107" s="2">
        <v>1233</v>
      </c>
      <c r="R107" s="2">
        <v>1006.9</v>
      </c>
      <c r="S107" s="2">
        <v>226.1</v>
      </c>
      <c r="T107" s="2" t="s">
        <v>34</v>
      </c>
      <c r="U107" s="2" t="s">
        <v>35</v>
      </c>
      <c r="V107" s="2" t="str">
        <f t="shared" si="3"/>
        <v>ORD-2024-1010606/24/202429-06-2024CUST-6540Mira DasHome OfficeEastWest BengalKolkataFurnitureTablesEco Tables 575Second Class26850.112331006.9226.1PaidCompleted</v>
      </c>
      <c r="W107" s="2">
        <f t="shared" si="4"/>
        <v>1</v>
      </c>
      <c r="X107">
        <f t="shared" si="5"/>
        <v>1</v>
      </c>
    </row>
    <row r="108" spans="1:24">
      <c r="A108" s="2" t="s">
        <v>624</v>
      </c>
      <c r="B108" s="2" t="s">
        <v>625</v>
      </c>
      <c r="C108" s="2" t="s">
        <v>626</v>
      </c>
      <c r="D108" s="2" t="s">
        <v>627</v>
      </c>
      <c r="E108" s="2" t="s">
        <v>61</v>
      </c>
      <c r="F108" s="2" t="s">
        <v>115</v>
      </c>
      <c r="G108" s="2" t="s">
        <v>42</v>
      </c>
      <c r="H108" s="2" t="s">
        <v>121</v>
      </c>
      <c r="I108" s="2" t="s">
        <v>122</v>
      </c>
      <c r="J108" s="2" t="s">
        <v>30</v>
      </c>
      <c r="K108" s="2" t="s">
        <v>31</v>
      </c>
      <c r="L108" s="2" t="s">
        <v>628</v>
      </c>
      <c r="M108" s="2" t="s">
        <v>67</v>
      </c>
      <c r="N108" s="2">
        <v>2</v>
      </c>
      <c r="O108" s="2">
        <v>4004.04</v>
      </c>
      <c r="Q108" s="2">
        <v>7207.27</v>
      </c>
      <c r="R108" s="2">
        <v>5709.39</v>
      </c>
      <c r="S108" s="2">
        <v>1497.88</v>
      </c>
      <c r="T108" s="2" t="s">
        <v>34</v>
      </c>
      <c r="U108" s="2" t="s">
        <v>78</v>
      </c>
      <c r="V108" s="2" t="str">
        <f t="shared" si="3"/>
        <v>ORD-2024-1010720-02-202428 Feb 2024CUST-4008Arjun BoseHome OfficeEastWest BengalKolkataOffice SuppliesPaperEco Paper 918Standard Class24004.047207.275709.391497.88PaidCancelled</v>
      </c>
      <c r="W108" s="2">
        <f t="shared" si="4"/>
        <v>1</v>
      </c>
      <c r="X108">
        <f t="shared" si="5"/>
        <v>1</v>
      </c>
    </row>
    <row r="109" spans="1:24">
      <c r="A109" s="2" t="s">
        <v>629</v>
      </c>
      <c r="B109" s="2" t="s">
        <v>630</v>
      </c>
      <c r="C109" s="2" t="s">
        <v>631</v>
      </c>
      <c r="D109" s="2" t="s">
        <v>632</v>
      </c>
      <c r="E109" s="2" t="s">
        <v>180</v>
      </c>
      <c r="F109" s="2" t="s">
        <v>115</v>
      </c>
      <c r="G109" s="2" t="s">
        <v>42</v>
      </c>
      <c r="H109" s="2" t="s">
        <v>121</v>
      </c>
      <c r="I109" s="2" t="s">
        <v>122</v>
      </c>
      <c r="J109" s="2" t="s">
        <v>45</v>
      </c>
      <c r="K109" s="2" t="s">
        <v>65</v>
      </c>
      <c r="L109" s="2" t="s">
        <v>633</v>
      </c>
      <c r="M109" s="2" t="s">
        <v>56</v>
      </c>
      <c r="N109" s="2">
        <v>3</v>
      </c>
      <c r="O109" s="2">
        <v>4302.8900000000003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34</v>
      </c>
      <c r="U109" s="2" t="s">
        <v>35</v>
      </c>
      <c r="V109" s="2" t="str">
        <f t="shared" si="3"/>
        <v>ORD-2024-1010829 Oct 20242024-11-04CUST-6604Rohan MehtaHome OfficeEastWest BengalKolkataFurnitureFurnishingsPrime Furnishings 952First Class34302.890.0512263.248925.573337.67PaidCompleted</v>
      </c>
      <c r="W109" s="2">
        <f t="shared" si="4"/>
        <v>1</v>
      </c>
      <c r="X109">
        <f t="shared" si="5"/>
        <v>1</v>
      </c>
    </row>
    <row r="110" spans="1:24">
      <c r="A110" s="2" t="s">
        <v>634</v>
      </c>
      <c r="B110" s="2" t="s">
        <v>635</v>
      </c>
      <c r="C110" s="2" t="s">
        <v>636</v>
      </c>
      <c r="D110" s="2" t="s">
        <v>637</v>
      </c>
      <c r="E110" s="2" t="s">
        <v>107</v>
      </c>
      <c r="F110" s="2" t="s">
        <v>41</v>
      </c>
      <c r="G110" s="2" t="s">
        <v>42</v>
      </c>
      <c r="H110" s="2" t="s">
        <v>43</v>
      </c>
      <c r="I110" s="2" t="s">
        <v>44</v>
      </c>
      <c r="J110" s="2" t="s">
        <v>45</v>
      </c>
      <c r="K110" s="2" t="s">
        <v>204</v>
      </c>
      <c r="L110" s="2" t="s">
        <v>638</v>
      </c>
      <c r="M110" s="2" t="s">
        <v>48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34</v>
      </c>
      <c r="U110" s="2" t="s">
        <v>35</v>
      </c>
      <c r="V110" s="2" t="str">
        <f t="shared" si="3"/>
        <v>ORD-2024-1010915 Aug 202408/23/2024CUST-4337Aditi SenSmall BusinessEastOdishaBhubaneswarFurnitureBookcasesPrime Bookcases 631Same Day2537.540.25806.31498.5307.81PaidCompleted</v>
      </c>
      <c r="W110" s="2">
        <f t="shared" si="4"/>
        <v>1</v>
      </c>
      <c r="X110">
        <f t="shared" si="5"/>
        <v>1</v>
      </c>
    </row>
    <row r="111" spans="1:24">
      <c r="A111" s="2" t="s">
        <v>639</v>
      </c>
      <c r="B111" s="2" t="s">
        <v>640</v>
      </c>
      <c r="C111" s="2" t="s">
        <v>479</v>
      </c>
      <c r="D111" s="2" t="s">
        <v>641</v>
      </c>
      <c r="E111" s="2" t="s">
        <v>168</v>
      </c>
      <c r="F111" s="2" t="s">
        <v>26</v>
      </c>
      <c r="G111" s="2" t="s">
        <v>27</v>
      </c>
      <c r="H111" s="2" t="s">
        <v>506</v>
      </c>
      <c r="I111" s="2" t="s">
        <v>507</v>
      </c>
      <c r="J111" s="2" t="s">
        <v>30</v>
      </c>
      <c r="K111" s="2" t="s">
        <v>198</v>
      </c>
      <c r="L111" s="2" t="s">
        <v>642</v>
      </c>
      <c r="M111" s="2" t="s">
        <v>33</v>
      </c>
      <c r="N111" s="2">
        <v>1</v>
      </c>
      <c r="O111" s="2">
        <v>2788.62</v>
      </c>
      <c r="P111" s="2">
        <v>0.25</v>
      </c>
      <c r="Q111" s="2">
        <v>2091.4699999999998</v>
      </c>
      <c r="R111" s="2">
        <v>1317.22</v>
      </c>
      <c r="S111" s="2">
        <v>774.25</v>
      </c>
      <c r="T111" s="2" t="s">
        <v>34</v>
      </c>
      <c r="U111" s="2" t="s">
        <v>35</v>
      </c>
      <c r="V111" s="2" t="str">
        <f t="shared" si="3"/>
        <v>ORD-2025-1011023-08-202508/27/2025CUST-3740Sneha KapoorConsumerNorthDelhiNew DelhiOffice SuppliesBindersClassic Binders 660Second Class12788.620.252091.471317.22774.25PaidCompleted</v>
      </c>
      <c r="W111" s="2">
        <f t="shared" si="4"/>
        <v>1</v>
      </c>
      <c r="X111">
        <f t="shared" si="5"/>
        <v>1</v>
      </c>
    </row>
    <row r="112" spans="1:24">
      <c r="A112" s="2" t="s">
        <v>643</v>
      </c>
      <c r="B112" s="2" t="s">
        <v>644</v>
      </c>
      <c r="C112" s="2" t="s">
        <v>645</v>
      </c>
      <c r="D112" s="2" t="s">
        <v>646</v>
      </c>
      <c r="E112" s="2" t="s">
        <v>83</v>
      </c>
      <c r="F112" s="2" t="s">
        <v>108</v>
      </c>
      <c r="G112" s="2" t="s">
        <v>62</v>
      </c>
      <c r="H112" s="2" t="s">
        <v>242</v>
      </c>
      <c r="I112" s="2" t="s">
        <v>243</v>
      </c>
      <c r="J112" s="2" t="s">
        <v>30</v>
      </c>
      <c r="K112" s="2" t="s">
        <v>109</v>
      </c>
      <c r="L112" s="2" t="s">
        <v>647</v>
      </c>
      <c r="M112" s="2" t="s">
        <v>56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124</v>
      </c>
      <c r="U112" s="2" t="s">
        <v>78</v>
      </c>
      <c r="V112" s="2" t="str">
        <f t="shared" si="3"/>
        <v>ORD-2024-1011110/18/20242024-10-24CUST-7128Vikram IyerCorporateSouthKeralaKochiOffice SuppliesLabelsPro Labels 255First Class22250.4704500.942607.731893.21RefundedCancelled</v>
      </c>
      <c r="W112" s="2">
        <f t="shared" si="4"/>
        <v>1</v>
      </c>
      <c r="X112">
        <f t="shared" si="5"/>
        <v>1</v>
      </c>
    </row>
    <row r="113" spans="1:25">
      <c r="A113" s="2" t="s">
        <v>648</v>
      </c>
      <c r="B113" s="2" t="s">
        <v>649</v>
      </c>
      <c r="C113" s="2" t="s">
        <v>650</v>
      </c>
      <c r="D113" s="2" t="s">
        <v>651</v>
      </c>
      <c r="E113" s="2" t="s">
        <v>93</v>
      </c>
      <c r="F113" s="2" t="s">
        <v>108</v>
      </c>
      <c r="G113" s="2" t="s">
        <v>42</v>
      </c>
      <c r="H113" s="2" t="s">
        <v>186</v>
      </c>
      <c r="I113" s="2" t="s">
        <v>187</v>
      </c>
      <c r="J113" s="2" t="s">
        <v>86</v>
      </c>
      <c r="K113" s="2" t="s">
        <v>87</v>
      </c>
      <c r="L113" s="2" t="s">
        <v>652</v>
      </c>
      <c r="M113" s="2" t="s">
        <v>56</v>
      </c>
      <c r="N113" s="2">
        <v>1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545.55999999999995</v>
      </c>
      <c r="T113" s="2" t="s">
        <v>137</v>
      </c>
      <c r="U113" s="2" t="s">
        <v>78</v>
      </c>
      <c r="V113" s="2" t="str">
        <f t="shared" si="3"/>
        <v>ORD-2025-1011206/27/20252025-06-30CUST-4743Neha GuptaCorporateEastBiharPatnaTechnologyAccessoriesBasic Accessories 187First Class11708.440.051623.021077.46545.56PendingCancelled</v>
      </c>
      <c r="W113" s="2">
        <f t="shared" si="4"/>
        <v>1</v>
      </c>
      <c r="X113">
        <f t="shared" si="5"/>
        <v>1</v>
      </c>
    </row>
    <row r="114" spans="1:25">
      <c r="A114" s="2" t="s">
        <v>653</v>
      </c>
      <c r="B114" s="2" t="s">
        <v>654</v>
      </c>
      <c r="C114" s="2" t="s">
        <v>655</v>
      </c>
      <c r="D114" s="2" t="s">
        <v>656</v>
      </c>
      <c r="E114" s="2" t="s">
        <v>168</v>
      </c>
      <c r="F114" s="2" t="s">
        <v>26</v>
      </c>
      <c r="H114" s="2" t="s">
        <v>235</v>
      </c>
      <c r="I114" s="2" t="s">
        <v>236</v>
      </c>
      <c r="J114" s="2" t="s">
        <v>86</v>
      </c>
      <c r="K114" s="2" t="s">
        <v>87</v>
      </c>
      <c r="L114" s="2" t="s">
        <v>657</v>
      </c>
      <c r="M114" s="2" t="s">
        <v>67</v>
      </c>
      <c r="N114" s="2">
        <v>3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34</v>
      </c>
      <c r="U114" s="2" t="s">
        <v>35</v>
      </c>
      <c r="V114" s="2" t="str">
        <f t="shared" si="3"/>
        <v>ORD-2024-1011310 Jan 202414-01-2024CUST-5213Sneha KapoorConsumerGujaratAhmedabadTechnologyAccessoriesMax Accessories 451Standard Class33829.480.0510914.026548.744365.28PaidCompleted</v>
      </c>
      <c r="W114" s="2">
        <f t="shared" si="4"/>
        <v>1</v>
      </c>
      <c r="X114">
        <f t="shared" si="5"/>
        <v>1</v>
      </c>
    </row>
    <row r="115" spans="1:25">
      <c r="A115" s="2" t="s">
        <v>658</v>
      </c>
      <c r="B115" s="2" t="s">
        <v>659</v>
      </c>
      <c r="C115" s="2" t="s">
        <v>659</v>
      </c>
      <c r="D115" s="2" t="s">
        <v>521</v>
      </c>
      <c r="E115" s="2" t="s">
        <v>53</v>
      </c>
      <c r="F115" s="2" t="s">
        <v>115</v>
      </c>
      <c r="G115" s="2" t="s">
        <v>62</v>
      </c>
      <c r="H115" s="2" t="s">
        <v>339</v>
      </c>
      <c r="I115" s="2" t="s">
        <v>340</v>
      </c>
      <c r="J115" s="2" t="s">
        <v>45</v>
      </c>
      <c r="K115" s="2" t="s">
        <v>46</v>
      </c>
      <c r="L115" s="2" t="s">
        <v>660</v>
      </c>
      <c r="M115" s="2" t="s">
        <v>67</v>
      </c>
      <c r="N115" s="2">
        <v>3</v>
      </c>
      <c r="O115" s="2">
        <v>1089.1500000000001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34</v>
      </c>
      <c r="U115" s="2" t="s">
        <v>35</v>
      </c>
      <c r="V115" s="2" t="str">
        <f t="shared" si="3"/>
        <v>ORD-2024-1011412-02-202412-02-2024CUST-4989Isha NairHome OfficeSouthTamil NaduChennaiFurnitureTablesClassic Tables 752Standard Class31089.150.252450.591639.89810.7PaidCompleted</v>
      </c>
      <c r="W115" s="2">
        <f t="shared" si="4"/>
        <v>1</v>
      </c>
      <c r="X115">
        <f t="shared" si="5"/>
        <v>1</v>
      </c>
    </row>
    <row r="116" spans="1:25">
      <c r="A116" s="2" t="s">
        <v>661</v>
      </c>
      <c r="B116" s="2" t="s">
        <v>662</v>
      </c>
      <c r="C116" s="2" t="s">
        <v>663</v>
      </c>
      <c r="D116" s="2" t="s">
        <v>664</v>
      </c>
      <c r="E116" s="2" t="s">
        <v>93</v>
      </c>
      <c r="F116" s="2" t="s">
        <v>41</v>
      </c>
      <c r="G116" s="2" t="s">
        <v>27</v>
      </c>
      <c r="H116" s="2" t="s">
        <v>28</v>
      </c>
      <c r="I116" s="2" t="s">
        <v>29</v>
      </c>
      <c r="J116" s="2" t="s">
        <v>86</v>
      </c>
      <c r="K116" s="2" t="s">
        <v>87</v>
      </c>
      <c r="L116" s="2" t="s">
        <v>665</v>
      </c>
      <c r="M116" s="2" t="s">
        <v>33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137</v>
      </c>
      <c r="U116" s="2" t="s">
        <v>78</v>
      </c>
      <c r="V116" s="2" t="str">
        <f t="shared" si="3"/>
        <v>ORD-2024-101152024-09-2530 Sep 2024CUST-2927Neha GuptaSmall BusinessNorthRajasthanJaipurTechnologyAccessoriesEco Accessories 452Second Class14388.40.13949.563186.73762.83PendingCancelled</v>
      </c>
      <c r="W116" s="2">
        <f t="shared" si="4"/>
        <v>1</v>
      </c>
      <c r="X116">
        <f t="shared" si="5"/>
        <v>1</v>
      </c>
    </row>
    <row r="117" spans="1:25">
      <c r="A117" s="2" t="s">
        <v>666</v>
      </c>
      <c r="B117" s="2" t="s">
        <v>667</v>
      </c>
      <c r="C117" s="2" t="s">
        <v>668</v>
      </c>
      <c r="D117" s="2" t="s">
        <v>669</v>
      </c>
      <c r="E117" s="2" t="s">
        <v>366</v>
      </c>
      <c r="F117" s="2" t="s">
        <v>108</v>
      </c>
      <c r="G117" s="2" t="s">
        <v>62</v>
      </c>
      <c r="H117" s="2" t="s">
        <v>339</v>
      </c>
      <c r="I117" s="2" t="s">
        <v>340</v>
      </c>
      <c r="J117" s="2" t="s">
        <v>30</v>
      </c>
      <c r="K117" s="2" t="s">
        <v>198</v>
      </c>
      <c r="L117" s="2" t="s">
        <v>670</v>
      </c>
      <c r="M117" s="2" t="s">
        <v>48</v>
      </c>
      <c r="N117" s="2">
        <v>2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268.04000000000002</v>
      </c>
      <c r="T117" s="2" t="s">
        <v>34</v>
      </c>
      <c r="U117" s="2" t="s">
        <v>78</v>
      </c>
      <c r="V117" s="2" t="str">
        <f t="shared" si="3"/>
        <v>ORD-2024-101162024-12-2701-01-2025CUST-7764Kabir SinghCorporateSouthTamil NaduChennaiOffice SuppliesBindersClassic Binders 203Same Day2446.340.15758.78490.74268.04PaidCancelled</v>
      </c>
      <c r="W117" s="2">
        <f t="shared" si="4"/>
        <v>1</v>
      </c>
      <c r="X117">
        <f t="shared" si="5"/>
        <v>1</v>
      </c>
    </row>
    <row r="118" spans="1:25">
      <c r="A118" s="2" t="s">
        <v>671</v>
      </c>
      <c r="B118" s="2" t="s">
        <v>672</v>
      </c>
      <c r="C118" s="2" t="s">
        <v>673</v>
      </c>
      <c r="D118" s="2" t="s">
        <v>674</v>
      </c>
      <c r="E118" s="2" t="s">
        <v>72</v>
      </c>
      <c r="F118" s="2" t="s">
        <v>41</v>
      </c>
      <c r="H118" s="2" t="s">
        <v>84</v>
      </c>
      <c r="I118" s="2" t="s">
        <v>85</v>
      </c>
      <c r="J118" s="2" t="s">
        <v>30</v>
      </c>
      <c r="K118" s="2" t="s">
        <v>198</v>
      </c>
      <c r="L118" s="2" t="s">
        <v>675</v>
      </c>
      <c r="M118" s="2" t="s">
        <v>56</v>
      </c>
      <c r="N118" s="2">
        <v>9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200</v>
      </c>
      <c r="U118" s="2" t="s">
        <v>78</v>
      </c>
      <c r="V118" s="2" t="str">
        <f t="shared" si="3"/>
        <v>ORD-2025-101172025-02-1519 Feb 2025CUST-3632Ananya RaoSmall BusinessMadhya PradeshIndoreOffice SuppliesBindersBasic Binders 859First Class9531.990.253590.933061.39529.54FailedCancelled</v>
      </c>
      <c r="W118" s="2">
        <f t="shared" si="4"/>
        <v>1</v>
      </c>
      <c r="X118">
        <f t="shared" si="5"/>
        <v>1</v>
      </c>
    </row>
    <row r="119" spans="1:25">
      <c r="A119" s="2" t="s">
        <v>676</v>
      </c>
      <c r="B119" s="2" t="s">
        <v>677</v>
      </c>
      <c r="C119" s="2" t="s">
        <v>678</v>
      </c>
      <c r="D119" s="2" t="s">
        <v>679</v>
      </c>
      <c r="E119" s="2" t="s">
        <v>40</v>
      </c>
      <c r="F119" s="2" t="s">
        <v>115</v>
      </c>
      <c r="G119" s="2" t="s">
        <v>62</v>
      </c>
      <c r="H119" s="2" t="s">
        <v>339</v>
      </c>
      <c r="I119" s="2" t="s">
        <v>340</v>
      </c>
      <c r="J119" s="2" t="s">
        <v>86</v>
      </c>
      <c r="K119" s="2" t="s">
        <v>382</v>
      </c>
      <c r="L119" s="2" t="s">
        <v>680</v>
      </c>
      <c r="M119" s="2" t="s">
        <v>67</v>
      </c>
      <c r="N119" s="2">
        <v>9</v>
      </c>
      <c r="O119" s="2">
        <v>3324.55</v>
      </c>
      <c r="P119" s="2" t="s">
        <v>681</v>
      </c>
      <c r="Q119" s="2">
        <v>25432.81</v>
      </c>
      <c r="R119" s="2">
        <v>20370.16</v>
      </c>
      <c r="S119" s="2">
        <v>5062.6499999999996</v>
      </c>
      <c r="T119" s="2" t="s">
        <v>34</v>
      </c>
      <c r="U119" s="2" t="s">
        <v>35</v>
      </c>
      <c r="V119" s="2" t="str">
        <f t="shared" si="3"/>
        <v>ORD-2024-101182024-02-1517 Feb 2024CUST-9608Mira DasHome OfficeSouthTamil NaduChennaiTechnologyMachinesElite Machines 705Standard Class93324.5570%25432.8120370.165062.65PaidCompleted</v>
      </c>
      <c r="W119" s="2">
        <f t="shared" si="4"/>
        <v>1</v>
      </c>
      <c r="X119">
        <f t="shared" si="5"/>
        <v>1</v>
      </c>
    </row>
    <row r="120" spans="1:25">
      <c r="A120" s="2" t="s">
        <v>682</v>
      </c>
      <c r="B120" s="2" t="s">
        <v>683</v>
      </c>
      <c r="C120" s="2" t="s">
        <v>684</v>
      </c>
      <c r="D120" s="2" t="s">
        <v>685</v>
      </c>
      <c r="E120" s="2" t="s">
        <v>686</v>
      </c>
      <c r="F120" s="2" t="s">
        <v>115</v>
      </c>
      <c r="G120" s="2" t="s">
        <v>62</v>
      </c>
      <c r="H120" s="2" t="s">
        <v>100</v>
      </c>
      <c r="I120" s="2" t="s">
        <v>101</v>
      </c>
      <c r="J120" s="2" t="s">
        <v>86</v>
      </c>
      <c r="K120" s="2" t="s">
        <v>94</v>
      </c>
      <c r="L120" s="2" t="s">
        <v>687</v>
      </c>
      <c r="M120" s="2" t="s">
        <v>48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34</v>
      </c>
      <c r="U120" s="2" t="s">
        <v>35</v>
      </c>
      <c r="V120" s="2" t="str">
        <f t="shared" si="3"/>
        <v>ORD-2024-1011906/10/20242024-06-18CUST-9135Vikram  IyerHome OfficeSouthAndhra PradeshVijayawadaTechnologyCopiersPro Copiers 208Same Day51580.270.26321.084407.221913.86PaidCompleted</v>
      </c>
      <c r="W120" s="2">
        <f t="shared" si="4"/>
        <v>1</v>
      </c>
      <c r="X120">
        <f t="shared" si="5"/>
        <v>1</v>
      </c>
    </row>
    <row r="121" spans="1:25">
      <c r="A121" s="2" t="s">
        <v>688</v>
      </c>
      <c r="B121" s="2" t="s">
        <v>689</v>
      </c>
      <c r="C121" s="2" t="s">
        <v>690</v>
      </c>
      <c r="D121" s="2" t="s">
        <v>691</v>
      </c>
      <c r="E121" s="2" t="s">
        <v>107</v>
      </c>
      <c r="F121" s="2" t="s">
        <v>41</v>
      </c>
      <c r="G121" s="2" t="s">
        <v>62</v>
      </c>
      <c r="H121" s="2" t="s">
        <v>242</v>
      </c>
      <c r="I121" s="2" t="s">
        <v>243</v>
      </c>
      <c r="J121" s="2" t="s">
        <v>45</v>
      </c>
      <c r="K121" s="2" t="s">
        <v>76</v>
      </c>
      <c r="L121" s="2" t="s">
        <v>692</v>
      </c>
      <c r="M121" s="2" t="s">
        <v>67</v>
      </c>
      <c r="N121" s="2">
        <v>8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124</v>
      </c>
      <c r="U121" s="2" t="s">
        <v>125</v>
      </c>
      <c r="V121" s="2" t="str">
        <f t="shared" si="3"/>
        <v>ORD-2024-1012012 Jun 202419 Jun 2024CUST-7861Aditi SenSmall BusinessSouthKeralaKochiFurnitureChairsElite Chairs 921Standard Class8314.050.251884.31517.69366.61RefundedReturned</v>
      </c>
      <c r="W121" s="2">
        <f t="shared" si="4"/>
        <v>1</v>
      </c>
      <c r="X121">
        <f t="shared" si="5"/>
        <v>1</v>
      </c>
    </row>
    <row r="122" spans="1:25">
      <c r="A122" s="2" t="s">
        <v>693</v>
      </c>
      <c r="B122" s="2" t="s">
        <v>503</v>
      </c>
      <c r="C122" s="2" t="s">
        <v>694</v>
      </c>
      <c r="D122" s="2" t="s">
        <v>695</v>
      </c>
      <c r="E122" s="2" t="s">
        <v>168</v>
      </c>
      <c r="F122" s="2" t="s">
        <v>41</v>
      </c>
      <c r="G122" s="2" t="s">
        <v>42</v>
      </c>
      <c r="H122" s="2" t="s">
        <v>186</v>
      </c>
      <c r="I122" s="2" t="s">
        <v>187</v>
      </c>
      <c r="J122" s="2" t="s">
        <v>86</v>
      </c>
      <c r="K122" s="2" t="s">
        <v>223</v>
      </c>
      <c r="L122" s="2" t="s">
        <v>696</v>
      </c>
      <c r="M122" s="2" t="s">
        <v>67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34</v>
      </c>
      <c r="U122" s="2" t="s">
        <v>125</v>
      </c>
      <c r="V122" s="2" t="str">
        <f t="shared" si="3"/>
        <v>ORD-2024-101212024-08-102024-08-18CUST-6096Sneha KapoorSmall BusinessEastBiharPatnaTechnologyPhonesPrime Phones 540Standard Class11823.670.21458.94893.2565.74PaidReturned</v>
      </c>
      <c r="W122" s="2">
        <f t="shared" si="4"/>
        <v>1</v>
      </c>
      <c r="X122">
        <f t="shared" si="5"/>
        <v>1</v>
      </c>
    </row>
    <row r="123" spans="1:25">
      <c r="A123" s="2" t="s">
        <v>697</v>
      </c>
      <c r="B123" s="2" t="s">
        <v>698</v>
      </c>
      <c r="C123" s="2" t="s">
        <v>699</v>
      </c>
      <c r="D123" s="2" t="s">
        <v>700</v>
      </c>
      <c r="E123" s="2" t="s">
        <v>366</v>
      </c>
      <c r="F123" s="2" t="s">
        <v>701</v>
      </c>
      <c r="G123" s="2" t="s">
        <v>62</v>
      </c>
      <c r="H123" s="2" t="s">
        <v>100</v>
      </c>
      <c r="I123" s="2" t="s">
        <v>101</v>
      </c>
      <c r="J123" s="2" t="s">
        <v>86</v>
      </c>
      <c r="K123" s="2" t="s">
        <v>382</v>
      </c>
      <c r="L123" s="2" t="s">
        <v>702</v>
      </c>
      <c r="M123" s="2" t="s">
        <v>33</v>
      </c>
      <c r="N123" s="2">
        <v>5</v>
      </c>
      <c r="O123" s="2">
        <v>3482.92</v>
      </c>
      <c r="P123" s="2">
        <v>0</v>
      </c>
      <c r="Q123" s="2">
        <v>17414.599999999999</v>
      </c>
      <c r="R123" s="2">
        <v>11760.91</v>
      </c>
      <c r="S123" s="2">
        <v>5653.69</v>
      </c>
      <c r="T123" s="2" t="s">
        <v>124</v>
      </c>
      <c r="U123" s="2" t="s">
        <v>78</v>
      </c>
      <c r="V123" s="2" t="str">
        <f t="shared" si="3"/>
        <v>ORD-2025-1012208/22/202508/26/2025CUST-2044Kabir SinghSmall  BusinessSouthAndhra PradeshVijayawadaTechnologyMachinesMax Machines 948Second Class53482.92017414.611760.915653.69RefundedCancelled</v>
      </c>
      <c r="W123" s="2">
        <f t="shared" si="4"/>
        <v>1</v>
      </c>
      <c r="X123">
        <f t="shared" si="5"/>
        <v>1</v>
      </c>
    </row>
    <row r="124" spans="1:25">
      <c r="A124" s="2" t="s">
        <v>703</v>
      </c>
      <c r="B124" s="2" t="s">
        <v>704</v>
      </c>
      <c r="C124" s="2" t="s">
        <v>705</v>
      </c>
      <c r="D124" s="2" t="s">
        <v>706</v>
      </c>
      <c r="E124" s="2" t="s">
        <v>72</v>
      </c>
      <c r="F124" s="2" t="s">
        <v>41</v>
      </c>
      <c r="G124" s="2" t="s">
        <v>42</v>
      </c>
      <c r="H124" s="2" t="s">
        <v>216</v>
      </c>
      <c r="I124" s="2" t="s">
        <v>217</v>
      </c>
      <c r="J124" s="2" t="s">
        <v>45</v>
      </c>
      <c r="K124" s="2" t="s">
        <v>76</v>
      </c>
      <c r="L124" s="2" t="s">
        <v>707</v>
      </c>
      <c r="M124" s="2" t="s">
        <v>33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34</v>
      </c>
      <c r="U124" s="2" t="s">
        <v>35</v>
      </c>
      <c r="V124" s="2" t="str">
        <f t="shared" si="3"/>
        <v>ORD-2024-1012311/30/202404-12-2024CUST-1721Ananya RaoSmall BusinessEastAssamGuwahatiFurnitureChairsMax Chairs 786Second Class3170.350511.05367.18143.87PaidCompleted</v>
      </c>
      <c r="W124" s="2">
        <f t="shared" si="4"/>
        <v>1</v>
      </c>
      <c r="X124">
        <f t="shared" si="5"/>
        <v>1</v>
      </c>
    </row>
    <row r="125" spans="1:25">
      <c r="A125" s="2" t="s">
        <v>708</v>
      </c>
      <c r="B125" s="2" t="s">
        <v>709</v>
      </c>
      <c r="C125" s="2" t="s">
        <v>710</v>
      </c>
      <c r="D125" s="2" t="s">
        <v>711</v>
      </c>
      <c r="E125" s="2" t="s">
        <v>168</v>
      </c>
      <c r="F125" s="2" t="s">
        <v>41</v>
      </c>
      <c r="G125" s="2" t="s">
        <v>712</v>
      </c>
      <c r="H125" s="2" t="s">
        <v>154</v>
      </c>
      <c r="I125" s="2" t="s">
        <v>155</v>
      </c>
      <c r="J125" s="2" t="s">
        <v>86</v>
      </c>
      <c r="K125" s="2" t="s">
        <v>94</v>
      </c>
      <c r="L125" s="2" t="s">
        <v>713</v>
      </c>
      <c r="M125" s="2" t="s">
        <v>48</v>
      </c>
      <c r="N125" s="2">
        <v>1</v>
      </c>
      <c r="O125" s="2">
        <v>634.13</v>
      </c>
      <c r="P125" s="2">
        <v>0</v>
      </c>
      <c r="Q125" s="2">
        <v>634.13</v>
      </c>
      <c r="R125" s="2">
        <v>453.35</v>
      </c>
      <c r="S125" s="2">
        <v>180.78</v>
      </c>
      <c r="T125" s="2" t="s">
        <v>124</v>
      </c>
      <c r="U125" s="2" t="s">
        <v>78</v>
      </c>
      <c r="V125" s="2" t="str">
        <f t="shared" si="3"/>
        <v>ORD-2024-1012405/24/202425 May 2024CUST-1007Sneha KapoorSmall BusinessNORTHPunjabLudhianaTechnologyCopiersMax Copiers 970Same Day1634.130634.13453.35180.78RefundedCancelled</v>
      </c>
      <c r="W125" s="2">
        <f t="shared" si="4"/>
        <v>2</v>
      </c>
      <c r="X125">
        <f t="shared" si="5"/>
        <v>3</v>
      </c>
      <c r="Y125" s="2" t="s">
        <v>4096</v>
      </c>
    </row>
    <row r="126" spans="1:25">
      <c r="A126" s="2" t="s">
        <v>714</v>
      </c>
      <c r="B126" s="2" t="s">
        <v>22</v>
      </c>
      <c r="C126" s="2" t="s">
        <v>715</v>
      </c>
      <c r="D126" s="2" t="s">
        <v>716</v>
      </c>
      <c r="E126" s="2" t="s">
        <v>53</v>
      </c>
      <c r="F126" s="2" t="s">
        <v>108</v>
      </c>
      <c r="G126" s="2" t="s">
        <v>62</v>
      </c>
      <c r="H126" s="2" t="s">
        <v>229</v>
      </c>
      <c r="I126" s="2" t="s">
        <v>230</v>
      </c>
      <c r="J126" s="2" t="s">
        <v>86</v>
      </c>
      <c r="K126" s="2" t="s">
        <v>94</v>
      </c>
      <c r="L126" s="2" t="s">
        <v>717</v>
      </c>
      <c r="M126" s="2" t="s">
        <v>67</v>
      </c>
      <c r="N126" s="2">
        <v>9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34</v>
      </c>
      <c r="U126" s="2" t="s">
        <v>35</v>
      </c>
      <c r="V126" s="2" t="str">
        <f t="shared" si="3"/>
        <v>ORD-2024-1012521 Jul 202407/24/2024CUST-4450Isha NairCorporateSouthKarnatakaBengaluruTechnologyCopiersPro Copiers 769Standard Class9465.06-0.154185.543443.74741.8PaidCompleted</v>
      </c>
      <c r="W126" s="2">
        <f t="shared" si="4"/>
        <v>1</v>
      </c>
      <c r="X126">
        <f t="shared" si="5"/>
        <v>1</v>
      </c>
    </row>
    <row r="127" spans="1:25">
      <c r="A127" s="2" t="s">
        <v>718</v>
      </c>
      <c r="B127" s="2" t="s">
        <v>719</v>
      </c>
      <c r="C127" s="2" t="s">
        <v>720</v>
      </c>
      <c r="D127" s="2" t="s">
        <v>721</v>
      </c>
      <c r="E127" s="2" t="s">
        <v>93</v>
      </c>
      <c r="F127" s="2" t="s">
        <v>41</v>
      </c>
      <c r="G127" s="2" t="s">
        <v>73</v>
      </c>
      <c r="H127" s="2" t="s">
        <v>28</v>
      </c>
      <c r="I127" s="2" t="s">
        <v>135</v>
      </c>
      <c r="J127" s="2" t="s">
        <v>45</v>
      </c>
      <c r="K127" s="2" t="s">
        <v>46</v>
      </c>
      <c r="L127" s="2" t="s">
        <v>722</v>
      </c>
      <c r="M127" s="2" t="s">
        <v>48</v>
      </c>
      <c r="N127" s="2">
        <v>6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124</v>
      </c>
      <c r="U127" s="2" t="s">
        <v>125</v>
      </c>
      <c r="V127" s="2" t="str">
        <f t="shared" si="3"/>
        <v>ORD-2025-101262025-07-1718-07-2025CUST-7924Neha GuptaSmall BusinessWestRajasthanUdaipurFurnitureTablesBasic Tables 753Same Day63235.270.2514558.729591.484967.24RefundedReturned</v>
      </c>
      <c r="W127" s="2">
        <f t="shared" si="4"/>
        <v>1</v>
      </c>
      <c r="X127">
        <f t="shared" si="5"/>
        <v>1</v>
      </c>
    </row>
    <row r="128" spans="1:25">
      <c r="A128" s="2" t="s">
        <v>723</v>
      </c>
      <c r="B128" s="2" t="s">
        <v>724</v>
      </c>
      <c r="C128" s="2" t="s">
        <v>725</v>
      </c>
      <c r="D128" s="2" t="s">
        <v>726</v>
      </c>
      <c r="E128" s="2" t="s">
        <v>142</v>
      </c>
      <c r="F128" s="2" t="s">
        <v>108</v>
      </c>
      <c r="G128" s="2" t="s">
        <v>27</v>
      </c>
      <c r="H128" s="2" t="s">
        <v>506</v>
      </c>
      <c r="I128" s="2" t="s">
        <v>507</v>
      </c>
      <c r="J128" s="2" t="s">
        <v>86</v>
      </c>
      <c r="K128" s="2" t="s">
        <v>94</v>
      </c>
      <c r="L128" s="2" t="s">
        <v>727</v>
      </c>
      <c r="M128" s="2" t="s">
        <v>67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34</v>
      </c>
      <c r="U128" s="2" t="s">
        <v>35</v>
      </c>
      <c r="V128" s="2" t="str">
        <f t="shared" si="3"/>
        <v>ORD-2025-1012724-09-202526 Sep 2025CUST-1715Priya MenonCorporateNorthDelhiNew DelhiTechnologyCopiersPrime Copiers 651Standard Class31593.860.14303.422568.571734.85PaidCompleted</v>
      </c>
      <c r="W128" s="2">
        <f t="shared" si="4"/>
        <v>1</v>
      </c>
      <c r="X128">
        <f t="shared" si="5"/>
        <v>1</v>
      </c>
    </row>
    <row r="129" spans="1:25">
      <c r="A129" s="2" t="s">
        <v>728</v>
      </c>
      <c r="B129" s="2" t="s">
        <v>191</v>
      </c>
      <c r="C129" s="2" t="s">
        <v>729</v>
      </c>
      <c r="D129" s="2" t="s">
        <v>730</v>
      </c>
      <c r="E129" s="2" t="s">
        <v>142</v>
      </c>
      <c r="F129" s="2" t="s">
        <v>108</v>
      </c>
      <c r="G129" s="2" t="s">
        <v>73</v>
      </c>
      <c r="H129" s="2" t="s">
        <v>84</v>
      </c>
      <c r="I129" s="2" t="s">
        <v>85</v>
      </c>
      <c r="J129" s="2" t="s">
        <v>30</v>
      </c>
      <c r="K129" s="2" t="s">
        <v>156</v>
      </c>
      <c r="L129" s="2" t="s">
        <v>731</v>
      </c>
      <c r="M129" s="2" t="s">
        <v>33</v>
      </c>
      <c r="N129" s="2">
        <v>2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34</v>
      </c>
      <c r="U129" s="2" t="s">
        <v>35</v>
      </c>
      <c r="V129" s="2" t="str">
        <f t="shared" si="3"/>
        <v>ORD-2025-1012801/30/202526-01-2025CUST-6802Priya MenonCorporateWestMadhya PradeshIndoreOffice SuppliesStorageBasic Storage 321Second Class23039.30.055774.673518.362256.31PaidCompleted</v>
      </c>
      <c r="W129" s="2">
        <f t="shared" si="4"/>
        <v>2</v>
      </c>
      <c r="X129">
        <f t="shared" si="5"/>
        <v>2</v>
      </c>
      <c r="Y129" s="2" t="s">
        <v>4096</v>
      </c>
    </row>
    <row r="130" spans="1:25">
      <c r="A130" s="2" t="s">
        <v>732</v>
      </c>
      <c r="B130" s="2" t="s">
        <v>733</v>
      </c>
      <c r="C130" s="2" t="s">
        <v>734</v>
      </c>
      <c r="D130" s="2" t="s">
        <v>735</v>
      </c>
      <c r="E130" s="2" t="s">
        <v>93</v>
      </c>
      <c r="F130" s="2" t="s">
        <v>41</v>
      </c>
      <c r="G130" s="2" t="s">
        <v>42</v>
      </c>
      <c r="H130" s="2" t="s">
        <v>43</v>
      </c>
      <c r="I130" s="2" t="s">
        <v>44</v>
      </c>
      <c r="J130" s="2" t="s">
        <v>45</v>
      </c>
      <c r="K130" s="2" t="s">
        <v>65</v>
      </c>
      <c r="L130" s="2" t="s">
        <v>736</v>
      </c>
      <c r="M130" s="2" t="s">
        <v>67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34</v>
      </c>
      <c r="U130" s="2" t="s">
        <v>125</v>
      </c>
      <c r="V130" s="2" t="str">
        <f t="shared" si="3"/>
        <v>ORD-2024-1012913 Dec 202416 Dec 2024CUST-9328Neha GuptaSmall BusinessEastOdishaBhubaneswarFurnitureFurnishingsPrime Furnishings 710Standard Class5923.450.054386.393366.881019.51PaidReturned</v>
      </c>
      <c r="W130" s="2">
        <f t="shared" si="4"/>
        <v>1</v>
      </c>
      <c r="X130">
        <f t="shared" si="5"/>
        <v>1</v>
      </c>
    </row>
    <row r="131" spans="1:25">
      <c r="A131" s="2" t="s">
        <v>737</v>
      </c>
      <c r="B131" s="2" t="s">
        <v>406</v>
      </c>
      <c r="C131" s="2" t="s">
        <v>738</v>
      </c>
      <c r="D131" s="2" t="s">
        <v>739</v>
      </c>
      <c r="E131" s="2" t="s">
        <v>53</v>
      </c>
      <c r="F131" s="2" t="s">
        <v>41</v>
      </c>
      <c r="G131" s="2" t="s">
        <v>73</v>
      </c>
      <c r="H131" s="2" t="s">
        <v>249</v>
      </c>
      <c r="I131" s="2" t="s">
        <v>250</v>
      </c>
      <c r="J131" s="2" t="s">
        <v>30</v>
      </c>
      <c r="K131" s="2" t="s">
        <v>198</v>
      </c>
      <c r="L131" s="2" t="s">
        <v>740</v>
      </c>
      <c r="M131" s="2" t="s">
        <v>67</v>
      </c>
      <c r="N131" s="2">
        <v>7</v>
      </c>
      <c r="O131" s="2">
        <v>2741.29</v>
      </c>
      <c r="P131" s="2">
        <v>0.05</v>
      </c>
      <c r="Q131" s="2">
        <v>18229.580000000002</v>
      </c>
      <c r="R131" s="2">
        <v>15139.15</v>
      </c>
      <c r="S131" s="2">
        <v>3090.43</v>
      </c>
      <c r="T131" s="2" t="s">
        <v>34</v>
      </c>
      <c r="U131" s="2" t="s">
        <v>35</v>
      </c>
      <c r="V131" s="2" t="str">
        <f t="shared" ref="V131:V194" si="6">_xlfn.CONCAT(A131:U131)</f>
        <v>ORD-2024-101302024-07-1925-07-2024CUST-2588Isha NairSmall BusinessWestGoaPanajiOffice SuppliesBindersElite Binders 723Standard Class72741.290.0518229.5815139.153090.43PaidCompleted</v>
      </c>
      <c r="W131" s="2">
        <f t="shared" ref="W131:W194" si="7">COUNTIF($V$2:$V$933,V131)</f>
        <v>1</v>
      </c>
      <c r="X131">
        <f t="shared" ref="X131:X194" si="8">COUNTIF($A$2:$A$933,A131)</f>
        <v>1</v>
      </c>
    </row>
    <row r="132" spans="1:25">
      <c r="A132" s="2" t="s">
        <v>741</v>
      </c>
      <c r="B132" s="2" t="s">
        <v>742</v>
      </c>
      <c r="C132" s="2" t="s">
        <v>743</v>
      </c>
      <c r="D132" s="2" t="s">
        <v>744</v>
      </c>
      <c r="E132" s="2" t="s">
        <v>61</v>
      </c>
      <c r="F132" s="2" t="s">
        <v>26</v>
      </c>
      <c r="G132" s="2" t="s">
        <v>73</v>
      </c>
      <c r="H132" s="2" t="s">
        <v>235</v>
      </c>
      <c r="I132" s="2" t="s">
        <v>236</v>
      </c>
      <c r="J132" s="2" t="s">
        <v>30</v>
      </c>
      <c r="K132" s="2" t="s">
        <v>109</v>
      </c>
      <c r="L132" s="2" t="s">
        <v>745</v>
      </c>
      <c r="M132" s="2" t="s">
        <v>48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137</v>
      </c>
      <c r="U132" s="2" t="s">
        <v>78</v>
      </c>
      <c r="V132" s="2" t="str">
        <f t="shared" si="6"/>
        <v>ORD-2024-101312024-01-2702 Feb 2024CUST-5435Arjun BoseConsumerWestGujaratAhmedabadOffice SuppliesLabelsSmart Labels 878Same Day5218.420.2873.68661.72211.96PendingCancelled</v>
      </c>
      <c r="W132" s="2">
        <f t="shared" si="7"/>
        <v>1</v>
      </c>
      <c r="X132">
        <f t="shared" si="8"/>
        <v>1</v>
      </c>
    </row>
    <row r="133" spans="1:25">
      <c r="A133" s="2" t="s">
        <v>746</v>
      </c>
      <c r="B133" s="2" t="s">
        <v>747</v>
      </c>
      <c r="C133" s="2" t="s">
        <v>748</v>
      </c>
      <c r="D133" s="2" t="s">
        <v>749</v>
      </c>
      <c r="E133" s="2" t="s">
        <v>72</v>
      </c>
      <c r="F133" s="2" t="s">
        <v>115</v>
      </c>
      <c r="G133" s="2" t="s">
        <v>42</v>
      </c>
      <c r="H133" s="2" t="s">
        <v>311</v>
      </c>
      <c r="I133" s="2" t="s">
        <v>312</v>
      </c>
      <c r="J133" s="2" t="s">
        <v>30</v>
      </c>
      <c r="K133" s="2" t="s">
        <v>31</v>
      </c>
      <c r="L133" s="2" t="s">
        <v>750</v>
      </c>
      <c r="M133" s="2" t="s">
        <v>48</v>
      </c>
      <c r="N133" s="2">
        <v>9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34</v>
      </c>
      <c r="U133" s="2" t="s">
        <v>35</v>
      </c>
      <c r="V133" s="2" t="str">
        <f t="shared" si="6"/>
        <v>ORD-2025-1013209/29/20252025-10-04CUST-7637Ananya RaoHome OfficeEastJharkhandRanchiOffice SuppliesPaperPro Paper 934Same Day9373.910.22692.152044.49647.66PaidCompleted</v>
      </c>
      <c r="W133" s="2">
        <f t="shared" si="7"/>
        <v>1</v>
      </c>
      <c r="X133">
        <f t="shared" si="8"/>
        <v>1</v>
      </c>
    </row>
    <row r="134" spans="1:25">
      <c r="A134" s="2" t="s">
        <v>751</v>
      </c>
      <c r="B134" s="2" t="s">
        <v>752</v>
      </c>
      <c r="C134" s="2" t="s">
        <v>752</v>
      </c>
      <c r="D134" s="2" t="s">
        <v>753</v>
      </c>
      <c r="E134" s="2" t="s">
        <v>366</v>
      </c>
      <c r="F134" s="2" t="s">
        <v>108</v>
      </c>
      <c r="G134" s="2" t="s">
        <v>42</v>
      </c>
      <c r="H134" s="2" t="s">
        <v>216</v>
      </c>
      <c r="I134" s="2" t="s">
        <v>217</v>
      </c>
      <c r="J134" s="2" t="s">
        <v>86</v>
      </c>
      <c r="K134" s="2" t="s">
        <v>382</v>
      </c>
      <c r="L134" s="2" t="s">
        <v>754</v>
      </c>
      <c r="M134" s="2" t="s">
        <v>56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200</v>
      </c>
      <c r="U134" s="2" t="s">
        <v>78</v>
      </c>
      <c r="V134" s="2" t="str">
        <f t="shared" si="6"/>
        <v>ORD-2024-1013304 Nov 202404 Nov 2024CUST-3602Kabir SinghCorporateEastAssamGuwahatiTechnologyMachinesClassic Machines 886First Class2533.0801066.16656.3409.86FailedCancelled</v>
      </c>
      <c r="W134" s="2">
        <f t="shared" si="7"/>
        <v>1</v>
      </c>
      <c r="X134">
        <f t="shared" si="8"/>
        <v>1</v>
      </c>
    </row>
    <row r="135" spans="1:25">
      <c r="A135" s="2" t="s">
        <v>755</v>
      </c>
      <c r="B135" s="2" t="s">
        <v>756</v>
      </c>
      <c r="C135" s="2" t="s">
        <v>757</v>
      </c>
      <c r="D135" s="2" t="s">
        <v>758</v>
      </c>
      <c r="E135" s="2" t="s">
        <v>25</v>
      </c>
      <c r="F135" s="2" t="s">
        <v>26</v>
      </c>
      <c r="G135" s="2" t="s">
        <v>73</v>
      </c>
      <c r="H135" s="2" t="s">
        <v>249</v>
      </c>
      <c r="I135" s="2" t="s">
        <v>250</v>
      </c>
      <c r="J135" s="2" t="s">
        <v>86</v>
      </c>
      <c r="K135" s="2" t="s">
        <v>223</v>
      </c>
      <c r="L135" s="2" t="s">
        <v>759</v>
      </c>
      <c r="M135" s="2" t="s">
        <v>33</v>
      </c>
      <c r="N135" s="2">
        <v>8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34</v>
      </c>
      <c r="U135" s="2" t="s">
        <v>35</v>
      </c>
      <c r="V135" s="2" t="str">
        <f t="shared" si="6"/>
        <v>ORD-2024-101342024-12-1312/18/2024CUST-9441Karan MalhotraConsumerWestGoaPanajiTechnologyPhonesPrime Phones 419Second Class83372.150.1522930.6216875.556055.07PaidCompleted</v>
      </c>
      <c r="W135" s="2">
        <f t="shared" si="7"/>
        <v>2</v>
      </c>
      <c r="X135">
        <f t="shared" si="8"/>
        <v>2</v>
      </c>
      <c r="Y135" s="2" t="s">
        <v>4096</v>
      </c>
    </row>
    <row r="136" spans="1:25">
      <c r="A136" s="2" t="s">
        <v>760</v>
      </c>
      <c r="B136" s="2" t="s">
        <v>761</v>
      </c>
      <c r="C136" s="2" t="s">
        <v>762</v>
      </c>
      <c r="D136" s="2" t="s">
        <v>763</v>
      </c>
      <c r="E136" s="2" t="s">
        <v>83</v>
      </c>
      <c r="F136" s="2" t="s">
        <v>115</v>
      </c>
      <c r="G136" s="2" t="s">
        <v>42</v>
      </c>
      <c r="H136" s="2" t="s">
        <v>121</v>
      </c>
      <c r="I136" s="2" t="s">
        <v>122</v>
      </c>
      <c r="J136" s="2" t="s">
        <v>45</v>
      </c>
      <c r="K136" s="2" t="s">
        <v>204</v>
      </c>
      <c r="L136" s="2" t="s">
        <v>764</v>
      </c>
      <c r="N136" s="2">
        <v>5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137</v>
      </c>
      <c r="U136" s="2" t="s">
        <v>78</v>
      </c>
      <c r="V136" s="2" t="str">
        <f t="shared" si="6"/>
        <v>ORD-2025-1013507/14/20252025-07-14CUST-7361Vikram IyerHome OfficeEastWest BengalKolkataFurnitureBookcasesElite Bookcases 2665383.10.251436.62912.52524.1PendingCancelled</v>
      </c>
      <c r="W136" s="2">
        <f t="shared" si="7"/>
        <v>1</v>
      </c>
      <c r="X136">
        <f t="shared" si="8"/>
        <v>1</v>
      </c>
    </row>
    <row r="137" spans="1:25">
      <c r="A137" s="2" t="s">
        <v>765</v>
      </c>
      <c r="B137" s="2" t="s">
        <v>766</v>
      </c>
      <c r="C137" s="2" t="s">
        <v>766</v>
      </c>
      <c r="D137" s="2" t="s">
        <v>767</v>
      </c>
      <c r="E137" s="2" t="s">
        <v>210</v>
      </c>
      <c r="F137" s="2" t="s">
        <v>41</v>
      </c>
      <c r="G137" s="2" t="s">
        <v>62</v>
      </c>
      <c r="H137" s="2" t="s">
        <v>242</v>
      </c>
      <c r="I137" s="2" t="s">
        <v>243</v>
      </c>
      <c r="J137" s="2" t="s">
        <v>45</v>
      </c>
      <c r="K137" s="2" t="s">
        <v>204</v>
      </c>
      <c r="L137" s="2" t="s">
        <v>768</v>
      </c>
      <c r="M137" s="2" t="s">
        <v>67</v>
      </c>
      <c r="N137" s="2">
        <v>1</v>
      </c>
      <c r="O137" s="2">
        <v>3424.78</v>
      </c>
      <c r="P137" s="2">
        <v>0</v>
      </c>
      <c r="Q137" s="2">
        <v>3424.78</v>
      </c>
      <c r="R137" s="2">
        <v>1951.45</v>
      </c>
      <c r="S137" s="2">
        <v>1473.33</v>
      </c>
      <c r="T137" s="2" t="s">
        <v>34</v>
      </c>
      <c r="U137" s="2" t="s">
        <v>35</v>
      </c>
      <c r="V137" s="2" t="str">
        <f t="shared" si="6"/>
        <v>ORD-2025-101362025-08-242025-08-24CUST-1148Diya PatelSmall BusinessSouthKeralaKochiFurnitureBookcasesPrime Bookcases 954Standard Class13424.7803424.781951.451473.33PaidCompleted</v>
      </c>
      <c r="W137" s="2">
        <f t="shared" si="7"/>
        <v>1</v>
      </c>
      <c r="X137">
        <f t="shared" si="8"/>
        <v>1</v>
      </c>
    </row>
    <row r="138" spans="1:25">
      <c r="A138" s="2" t="s">
        <v>769</v>
      </c>
      <c r="B138" s="2" t="s">
        <v>770</v>
      </c>
      <c r="C138" s="2" t="s">
        <v>771</v>
      </c>
      <c r="D138" s="2" t="s">
        <v>772</v>
      </c>
      <c r="E138" s="2" t="s">
        <v>40</v>
      </c>
      <c r="F138" s="2" t="s">
        <v>115</v>
      </c>
      <c r="G138" s="2" t="s">
        <v>42</v>
      </c>
      <c r="H138" s="2" t="s">
        <v>311</v>
      </c>
      <c r="I138" s="2" t="s">
        <v>312</v>
      </c>
      <c r="J138" s="2" t="s">
        <v>30</v>
      </c>
      <c r="K138" s="2" t="s">
        <v>198</v>
      </c>
      <c r="L138" s="2" t="s">
        <v>773</v>
      </c>
      <c r="M138" s="2" t="s">
        <v>774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34</v>
      </c>
      <c r="U138" s="2" t="s">
        <v>35</v>
      </c>
      <c r="V138" s="2" t="str">
        <f t="shared" si="6"/>
        <v>ORD-2025-1013709-02-202515-02-2025CUST-3350Mira DasHome OfficeEastJharkhandRanchiOffice SuppliesBindersMax Binders 362Standard  Class94330.330.231178.3821421.099757.29PaidCompleted</v>
      </c>
      <c r="W138" s="2">
        <f t="shared" si="7"/>
        <v>1</v>
      </c>
      <c r="X138">
        <f t="shared" si="8"/>
        <v>1</v>
      </c>
    </row>
    <row r="139" spans="1:25">
      <c r="A139" s="2" t="s">
        <v>775</v>
      </c>
      <c r="B139" s="2" t="s">
        <v>776</v>
      </c>
      <c r="C139" s="2" t="s">
        <v>777</v>
      </c>
      <c r="D139" s="2" t="s">
        <v>778</v>
      </c>
      <c r="E139" s="2" t="s">
        <v>168</v>
      </c>
      <c r="F139" s="2" t="s">
        <v>41</v>
      </c>
      <c r="G139" s="2" t="s">
        <v>27</v>
      </c>
      <c r="H139" s="2" t="s">
        <v>28</v>
      </c>
      <c r="I139" s="2" t="s">
        <v>29</v>
      </c>
      <c r="J139" s="2" t="s">
        <v>45</v>
      </c>
      <c r="K139" s="2" t="s">
        <v>76</v>
      </c>
      <c r="L139" s="2" t="s">
        <v>779</v>
      </c>
      <c r="M139" s="2" t="s">
        <v>48</v>
      </c>
      <c r="N139" s="2">
        <v>8</v>
      </c>
      <c r="O139" s="2">
        <v>2667.07</v>
      </c>
      <c r="P139" s="2">
        <v>0.1</v>
      </c>
      <c r="Q139" s="2">
        <v>19202.900000000001</v>
      </c>
      <c r="R139" s="2">
        <v>15526.62</v>
      </c>
      <c r="S139" s="2">
        <v>3676.28</v>
      </c>
      <c r="T139" s="2" t="s">
        <v>34</v>
      </c>
      <c r="U139" s="2" t="s">
        <v>35</v>
      </c>
      <c r="V139" s="2" t="str">
        <f t="shared" si="6"/>
        <v>ORD-2025-1013801/09/20252025-01-09CUST-7932Sneha KapoorSmall BusinessNorthRajasthanJaipurFurnitureChairsPrime Chairs 261Same Day82667.070.119202.915526.623676.28PaidCompleted</v>
      </c>
      <c r="W139" s="2">
        <f t="shared" si="7"/>
        <v>1</v>
      </c>
      <c r="X139">
        <f t="shared" si="8"/>
        <v>1</v>
      </c>
    </row>
    <row r="140" spans="1:25">
      <c r="A140" s="2" t="s">
        <v>780</v>
      </c>
      <c r="B140" s="2" t="s">
        <v>781</v>
      </c>
      <c r="C140" s="2" t="s">
        <v>782</v>
      </c>
      <c r="D140" s="2" t="s">
        <v>783</v>
      </c>
      <c r="E140" s="2" t="s">
        <v>210</v>
      </c>
      <c r="F140" s="2" t="s">
        <v>115</v>
      </c>
      <c r="G140" s="2" t="s">
        <v>42</v>
      </c>
      <c r="H140" s="2" t="s">
        <v>311</v>
      </c>
      <c r="I140" s="2" t="s">
        <v>312</v>
      </c>
      <c r="J140" s="2" t="s">
        <v>86</v>
      </c>
      <c r="K140" s="2" t="s">
        <v>382</v>
      </c>
      <c r="L140" s="2" t="s">
        <v>784</v>
      </c>
      <c r="M140" s="2" t="s">
        <v>67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34</v>
      </c>
      <c r="U140" s="2" t="s">
        <v>35</v>
      </c>
      <c r="V140" s="2" t="str">
        <f t="shared" si="6"/>
        <v>ORD-2024-101392024-01-2026-01-2024CUST-7173Diya PatelHome OfficeEastJharkhandRanchiTechnologyMachinesBasic Machines 185Standard Class84003.050.2524018.314070.789947.52PaidCompleted</v>
      </c>
      <c r="W140" s="2">
        <f t="shared" si="7"/>
        <v>1</v>
      </c>
      <c r="X140">
        <f t="shared" si="8"/>
        <v>1</v>
      </c>
    </row>
    <row r="141" spans="1:25">
      <c r="A141" s="2" t="s">
        <v>785</v>
      </c>
      <c r="B141" s="2" t="s">
        <v>786</v>
      </c>
      <c r="C141" s="2" t="s">
        <v>787</v>
      </c>
      <c r="D141" s="2" t="s">
        <v>788</v>
      </c>
      <c r="E141" s="2" t="s">
        <v>93</v>
      </c>
      <c r="F141" s="2" t="s">
        <v>115</v>
      </c>
      <c r="G141" s="2" t="s">
        <v>62</v>
      </c>
      <c r="H141" s="2" t="s">
        <v>229</v>
      </c>
      <c r="I141" s="2" t="s">
        <v>230</v>
      </c>
      <c r="J141" s="2" t="s">
        <v>30</v>
      </c>
      <c r="K141" s="2" t="s">
        <v>109</v>
      </c>
      <c r="L141" s="2" t="s">
        <v>789</v>
      </c>
      <c r="M141" s="2" t="s">
        <v>67</v>
      </c>
      <c r="N141" s="2">
        <v>8</v>
      </c>
      <c r="O141" s="2">
        <v>1287.6300000000001</v>
      </c>
      <c r="P141" s="2">
        <v>0</v>
      </c>
      <c r="Q141" s="2">
        <v>10301.040000000001</v>
      </c>
      <c r="R141" s="2">
        <v>6564.06</v>
      </c>
      <c r="S141" s="2">
        <v>3736.98</v>
      </c>
      <c r="T141" s="2" t="s">
        <v>34</v>
      </c>
      <c r="U141" s="2" t="s">
        <v>35</v>
      </c>
      <c r="V141" s="2" t="str">
        <f t="shared" si="6"/>
        <v>ORD-2025-1014003/02/202507-03-2025CUST-4225Neha GuptaHome OfficeSouthKarnatakaBengaluruOffice SuppliesLabelsBasic Labels 509Standard Class81287.63010301.046564.063736.98PaidCompleted</v>
      </c>
      <c r="W141" s="2">
        <f t="shared" si="7"/>
        <v>1</v>
      </c>
      <c r="X141">
        <f t="shared" si="8"/>
        <v>1</v>
      </c>
    </row>
    <row r="142" spans="1:25">
      <c r="A142" s="2" t="s">
        <v>790</v>
      </c>
      <c r="B142" s="2" t="s">
        <v>791</v>
      </c>
      <c r="C142" s="2" t="s">
        <v>792</v>
      </c>
      <c r="D142" s="2" t="s">
        <v>793</v>
      </c>
      <c r="E142" s="2" t="s">
        <v>40</v>
      </c>
      <c r="F142" s="2" t="s">
        <v>108</v>
      </c>
      <c r="G142" s="2" t="s">
        <v>62</v>
      </c>
      <c r="H142" s="2" t="s">
        <v>229</v>
      </c>
      <c r="I142" s="2" t="s">
        <v>230</v>
      </c>
      <c r="J142" s="2" t="s">
        <v>45</v>
      </c>
      <c r="K142" s="2" t="s">
        <v>204</v>
      </c>
      <c r="L142" s="2" t="s">
        <v>794</v>
      </c>
      <c r="M142" s="2" t="s">
        <v>48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34</v>
      </c>
      <c r="U142" s="2" t="s">
        <v>35</v>
      </c>
      <c r="V142" s="2" t="str">
        <f t="shared" si="6"/>
        <v>ORD-2024-1014131-05-202401 Jun 2024CUST-2149Mira DasCorporateSouthKarnatakaBengaluruFurnitureBookcasesElite Bookcases 696Same Day32914.5508743.656603.762139.89PaidCompleted</v>
      </c>
      <c r="W142" s="2">
        <f t="shared" si="7"/>
        <v>1</v>
      </c>
      <c r="X142">
        <f t="shared" si="8"/>
        <v>1</v>
      </c>
    </row>
    <row r="143" spans="1:25">
      <c r="A143" s="2" t="s">
        <v>795</v>
      </c>
      <c r="B143" s="2" t="s">
        <v>796</v>
      </c>
      <c r="C143" s="2" t="s">
        <v>797</v>
      </c>
      <c r="D143" s="2" t="s">
        <v>798</v>
      </c>
      <c r="E143" s="2" t="s">
        <v>142</v>
      </c>
      <c r="F143" s="2" t="s">
        <v>108</v>
      </c>
      <c r="G143" s="2" t="s">
        <v>27</v>
      </c>
      <c r="H143" s="2" t="s">
        <v>506</v>
      </c>
      <c r="I143" s="2" t="s">
        <v>507</v>
      </c>
      <c r="J143" s="2" t="s">
        <v>45</v>
      </c>
      <c r="K143" s="2" t="s">
        <v>204</v>
      </c>
      <c r="L143" s="2" t="s">
        <v>799</v>
      </c>
      <c r="M143" s="2" t="s">
        <v>48</v>
      </c>
      <c r="N143" s="2">
        <v>7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34</v>
      </c>
      <c r="U143" s="2" t="s">
        <v>125</v>
      </c>
      <c r="V143" s="2" t="str">
        <f t="shared" si="6"/>
        <v>ORD-2024-1014203/23/20242024-03-29CUST-3314Priya MenonCorporateNorthDelhiNew DelhiFurnitureBookcasesElite Bookcases 772Same Day7634.290.13996.032859.511136.52PaidReturned</v>
      </c>
      <c r="W143" s="2">
        <f t="shared" si="7"/>
        <v>1</v>
      </c>
      <c r="X143">
        <f t="shared" si="8"/>
        <v>1</v>
      </c>
    </row>
    <row r="144" spans="1:25">
      <c r="A144" s="2" t="s">
        <v>800</v>
      </c>
      <c r="B144" s="2" t="s">
        <v>801</v>
      </c>
      <c r="C144" s="2" t="s">
        <v>802</v>
      </c>
      <c r="D144" s="2" t="s">
        <v>803</v>
      </c>
      <c r="E144" s="2" t="s">
        <v>107</v>
      </c>
      <c r="F144" s="2" t="s">
        <v>115</v>
      </c>
      <c r="G144" s="2" t="s">
        <v>27</v>
      </c>
      <c r="H144" s="2" t="s">
        <v>28</v>
      </c>
      <c r="I144" s="2" t="s">
        <v>29</v>
      </c>
      <c r="J144" s="2" t="s">
        <v>86</v>
      </c>
      <c r="K144" s="2" t="s">
        <v>223</v>
      </c>
      <c r="L144" s="2" t="s">
        <v>804</v>
      </c>
      <c r="M144" s="2" t="s">
        <v>33</v>
      </c>
      <c r="N144" s="2">
        <v>5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34</v>
      </c>
      <c r="U144" s="2" t="s">
        <v>35</v>
      </c>
      <c r="V144" s="2" t="str">
        <f t="shared" si="6"/>
        <v>ORD-2024-1014330 Mar 202426 Mar 2024CUST-8944Aditi SenHome OfficeNorthRajasthanJaipurTechnologyPhonesClassic Phones 142Second Class5907.540.153857.042769.261087.78PaidCompleted</v>
      </c>
      <c r="W144" s="2">
        <f t="shared" si="7"/>
        <v>1</v>
      </c>
      <c r="X144">
        <f t="shared" si="8"/>
        <v>2</v>
      </c>
      <c r="Y144" s="2" t="s">
        <v>4097</v>
      </c>
    </row>
    <row r="145" spans="1:24">
      <c r="A145" s="2" t="s">
        <v>805</v>
      </c>
      <c r="B145" s="2" t="s">
        <v>542</v>
      </c>
      <c r="C145" s="2" t="s">
        <v>806</v>
      </c>
      <c r="D145" s="2" t="s">
        <v>807</v>
      </c>
      <c r="E145" s="2" t="s">
        <v>142</v>
      </c>
      <c r="F145" s="2" t="s">
        <v>26</v>
      </c>
      <c r="G145" s="2" t="s">
        <v>73</v>
      </c>
      <c r="H145" s="2" t="s">
        <v>235</v>
      </c>
      <c r="I145" s="2" t="s">
        <v>236</v>
      </c>
      <c r="J145" s="2" t="s">
        <v>30</v>
      </c>
      <c r="K145" s="2" t="s">
        <v>31</v>
      </c>
      <c r="L145" s="2" t="s">
        <v>808</v>
      </c>
      <c r="M145" s="2" t="s">
        <v>33</v>
      </c>
      <c r="N145" s="2">
        <v>1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1152.3900000000001</v>
      </c>
      <c r="T145" s="2" t="s">
        <v>34</v>
      </c>
      <c r="U145" s="2" t="s">
        <v>125</v>
      </c>
      <c r="V145" s="2" t="str">
        <f t="shared" si="6"/>
        <v>ORD-2024-1014403/24/20242024-03-26CUST-3144Priya MenonConsumerWestGujaratAhmedabadOffice SuppliesPaperPro Paper 575Second Class13409.50.13068.551916.161152.39PaidReturned</v>
      </c>
      <c r="W145" s="2">
        <f t="shared" si="7"/>
        <v>1</v>
      </c>
      <c r="X145">
        <f t="shared" si="8"/>
        <v>1</v>
      </c>
    </row>
    <row r="146" spans="1:24">
      <c r="A146" s="2" t="s">
        <v>809</v>
      </c>
      <c r="B146" s="2" t="s">
        <v>578</v>
      </c>
      <c r="C146" s="2" t="s">
        <v>810</v>
      </c>
      <c r="D146" s="2" t="s">
        <v>811</v>
      </c>
      <c r="E146" s="2" t="s">
        <v>366</v>
      </c>
      <c r="F146" s="2" t="s">
        <v>41</v>
      </c>
      <c r="G146" s="2" t="s">
        <v>62</v>
      </c>
      <c r="H146" s="2" t="s">
        <v>63</v>
      </c>
      <c r="I146" s="2" t="s">
        <v>64</v>
      </c>
      <c r="J146" s="2" t="s">
        <v>86</v>
      </c>
      <c r="K146" s="2" t="s">
        <v>87</v>
      </c>
      <c r="L146" s="2" t="s">
        <v>812</v>
      </c>
      <c r="M146" s="2" t="s">
        <v>56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124</v>
      </c>
      <c r="U146" s="2" t="s">
        <v>125</v>
      </c>
      <c r="V146" s="2" t="str">
        <f t="shared" si="6"/>
        <v>ORD-2024-1014507-06-20242024-06-15CUST-6747Kabir SinghSmall BusinessSouthTelanganaHyderabadTechnologyAccessoriesElite Accessories 905First Class72147.990.2511276.956908.764368.19RefundedReturned</v>
      </c>
      <c r="W146" s="2">
        <f t="shared" si="7"/>
        <v>1</v>
      </c>
      <c r="X146">
        <f t="shared" si="8"/>
        <v>1</v>
      </c>
    </row>
    <row r="147" spans="1:24">
      <c r="A147" s="2" t="s">
        <v>813</v>
      </c>
      <c r="B147" s="2" t="s">
        <v>814</v>
      </c>
      <c r="C147" s="2" t="s">
        <v>815</v>
      </c>
      <c r="D147" s="2" t="s">
        <v>816</v>
      </c>
      <c r="E147" s="2" t="s">
        <v>40</v>
      </c>
      <c r="F147" s="2" t="s">
        <v>41</v>
      </c>
      <c r="G147" s="2" t="s">
        <v>73</v>
      </c>
      <c r="H147" s="2" t="s">
        <v>249</v>
      </c>
      <c r="I147" s="2" t="s">
        <v>250</v>
      </c>
      <c r="J147" s="2" t="s">
        <v>30</v>
      </c>
      <c r="K147" s="2" t="s">
        <v>31</v>
      </c>
      <c r="L147" s="2" t="s">
        <v>817</v>
      </c>
      <c r="M147" s="2" t="s">
        <v>67</v>
      </c>
      <c r="N147" s="2">
        <v>4</v>
      </c>
      <c r="O147" s="2">
        <v>4182.1499999999996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34</v>
      </c>
      <c r="U147" s="2" t="s">
        <v>35</v>
      </c>
      <c r="V147" s="2" t="str">
        <f t="shared" si="6"/>
        <v>ORD-2025-1014611-04-202504/13/2025CUST-6161Mira DasSmall BusinessWestGoaPanajiOffice SuppliesPaperSmart Paper 899Standard Class44182.150.115055.749808.835246.91PaidCompleted</v>
      </c>
      <c r="W147" s="2">
        <f t="shared" si="7"/>
        <v>1</v>
      </c>
      <c r="X147">
        <f t="shared" si="8"/>
        <v>1</v>
      </c>
    </row>
    <row r="148" spans="1:24">
      <c r="A148" s="2" t="s">
        <v>818</v>
      </c>
      <c r="B148" s="2" t="s">
        <v>819</v>
      </c>
      <c r="C148" s="2" t="s">
        <v>820</v>
      </c>
      <c r="D148" s="2" t="s">
        <v>821</v>
      </c>
      <c r="E148" s="2" t="s">
        <v>168</v>
      </c>
      <c r="F148" s="2" t="s">
        <v>41</v>
      </c>
      <c r="G148" s="2" t="s">
        <v>62</v>
      </c>
      <c r="H148" s="2" t="s">
        <v>339</v>
      </c>
      <c r="I148" s="2" t="s">
        <v>340</v>
      </c>
      <c r="J148" s="2" t="s">
        <v>30</v>
      </c>
      <c r="K148" s="2" t="s">
        <v>156</v>
      </c>
      <c r="L148" s="2" t="s">
        <v>822</v>
      </c>
      <c r="M148" s="2" t="s">
        <v>48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34</v>
      </c>
      <c r="U148" s="2" t="s">
        <v>35</v>
      </c>
      <c r="V148" s="2" t="str">
        <f t="shared" si="6"/>
        <v>ORD-2025-1014730 Jul 202508/01/2025CUST-1460Sneha KapoorSmall BusinessSouthTamil NaduChennaiOffice SuppliesStorageClassic Storage 423Same Day93165.430.125639.9821635.084004.9PaidCompleted</v>
      </c>
      <c r="W148" s="2">
        <f t="shared" si="7"/>
        <v>1</v>
      </c>
      <c r="X148">
        <f t="shared" si="8"/>
        <v>1</v>
      </c>
    </row>
    <row r="149" spans="1:24">
      <c r="A149" s="2" t="s">
        <v>823</v>
      </c>
      <c r="B149" s="2" t="s">
        <v>824</v>
      </c>
      <c r="C149" s="2" t="s">
        <v>825</v>
      </c>
      <c r="D149" s="2" t="s">
        <v>826</v>
      </c>
      <c r="E149" s="2" t="s">
        <v>142</v>
      </c>
      <c r="F149" s="2" t="s">
        <v>115</v>
      </c>
      <c r="G149" s="2" t="s">
        <v>73</v>
      </c>
      <c r="H149" s="2" t="s">
        <v>249</v>
      </c>
      <c r="I149" s="2" t="s">
        <v>250</v>
      </c>
      <c r="J149" s="2" t="s">
        <v>45</v>
      </c>
      <c r="K149" s="2" t="s">
        <v>65</v>
      </c>
      <c r="L149" s="2" t="s">
        <v>827</v>
      </c>
      <c r="M149" s="2" t="s">
        <v>56</v>
      </c>
      <c r="N149" s="2">
        <v>8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1035.8699999999999</v>
      </c>
      <c r="T149" s="2" t="s">
        <v>34</v>
      </c>
      <c r="U149" s="2" t="s">
        <v>35</v>
      </c>
      <c r="V149" s="2" t="str">
        <f t="shared" si="6"/>
        <v>ORD-2024-1014823-12-20242024-12-30CUST-2692Priya MenonHome OfficeWestGoaPanajiFurnitureFurnishingsClassic Furnishings 743First Class8386.10.12779.921744.051035.87PaidCompleted</v>
      </c>
      <c r="W149" s="2">
        <f t="shared" si="7"/>
        <v>1</v>
      </c>
      <c r="X149">
        <f t="shared" si="8"/>
        <v>1</v>
      </c>
    </row>
    <row r="150" spans="1:24">
      <c r="A150" s="2" t="s">
        <v>828</v>
      </c>
      <c r="B150" s="2" t="s">
        <v>829</v>
      </c>
      <c r="C150" s="2" t="s">
        <v>830</v>
      </c>
      <c r="D150" s="2" t="s">
        <v>831</v>
      </c>
      <c r="E150" s="2" t="s">
        <v>40</v>
      </c>
      <c r="F150" s="2" t="s">
        <v>115</v>
      </c>
      <c r="G150" s="2" t="s">
        <v>73</v>
      </c>
      <c r="H150" s="2" t="s">
        <v>84</v>
      </c>
      <c r="I150" s="2" t="s">
        <v>85</v>
      </c>
      <c r="J150" s="2" t="s">
        <v>86</v>
      </c>
      <c r="K150" s="2" t="s">
        <v>223</v>
      </c>
      <c r="L150" s="2" t="s">
        <v>832</v>
      </c>
      <c r="N150" s="2">
        <v>8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2571.9499999999998</v>
      </c>
      <c r="T150" s="2" t="s">
        <v>34</v>
      </c>
      <c r="U150" s="2" t="s">
        <v>35</v>
      </c>
      <c r="V150" s="2" t="str">
        <f t="shared" si="6"/>
        <v>ORD-2025-1014909 Feb 202513-02-2025CUST-2822Mira DasHome OfficeWestMadhya PradeshIndoreTechnologyPhonesSmart Phones 33681696.070.2510176.427604.472571.95PaidCompleted</v>
      </c>
      <c r="W150" s="2">
        <f t="shared" si="7"/>
        <v>1</v>
      </c>
      <c r="X150">
        <f t="shared" si="8"/>
        <v>1</v>
      </c>
    </row>
    <row r="151" spans="1:24">
      <c r="A151" s="2" t="s">
        <v>833</v>
      </c>
      <c r="B151" s="2" t="s">
        <v>834</v>
      </c>
      <c r="C151" s="2" t="s">
        <v>834</v>
      </c>
      <c r="D151" s="2" t="s">
        <v>835</v>
      </c>
      <c r="E151" s="2" t="s">
        <v>162</v>
      </c>
      <c r="F151" s="2" t="s">
        <v>41</v>
      </c>
      <c r="G151" s="2" t="s">
        <v>836</v>
      </c>
      <c r="H151" s="2" t="s">
        <v>28</v>
      </c>
      <c r="I151" s="2" t="s">
        <v>135</v>
      </c>
      <c r="J151" s="2" t="s">
        <v>86</v>
      </c>
      <c r="K151" s="2" t="s">
        <v>94</v>
      </c>
      <c r="L151" s="2" t="s">
        <v>837</v>
      </c>
      <c r="M151" s="2" t="s">
        <v>48</v>
      </c>
      <c r="N151" s="2">
        <v>7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4292.8500000000004</v>
      </c>
      <c r="T151" s="2" t="s">
        <v>34</v>
      </c>
      <c r="U151" s="2" t="s">
        <v>35</v>
      </c>
      <c r="V151" s="2" t="str">
        <f t="shared" si="6"/>
        <v>ORD-2024-1015030-01-202430-01-2024CUST-5876Aarav SharmaSmall BusinesswestRajasthanUdaipurTechnologyCopiersEco Copiers 381Same Day72527.610.2513269.958977.14292.85PaidCompleted</v>
      </c>
      <c r="W151" s="2">
        <f t="shared" si="7"/>
        <v>1</v>
      </c>
      <c r="X151">
        <f t="shared" si="8"/>
        <v>1</v>
      </c>
    </row>
    <row r="152" spans="1:24">
      <c r="A152" s="2" t="s">
        <v>838</v>
      </c>
      <c r="B152" s="2" t="s">
        <v>839</v>
      </c>
      <c r="C152" s="2" t="s">
        <v>840</v>
      </c>
      <c r="D152" s="2" t="s">
        <v>841</v>
      </c>
      <c r="E152" s="2" t="s">
        <v>61</v>
      </c>
      <c r="F152" s="2" t="s">
        <v>26</v>
      </c>
      <c r="H152" s="2" t="s">
        <v>235</v>
      </c>
      <c r="I152" s="2" t="s">
        <v>236</v>
      </c>
      <c r="J152" s="2" t="s">
        <v>45</v>
      </c>
      <c r="K152" s="2" t="s">
        <v>204</v>
      </c>
      <c r="L152" s="2" t="s">
        <v>842</v>
      </c>
      <c r="M152" s="2" t="s">
        <v>56</v>
      </c>
      <c r="N152" s="2">
        <v>1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34</v>
      </c>
      <c r="U152" s="2" t="s">
        <v>35</v>
      </c>
      <c r="V152" s="2" t="str">
        <f t="shared" si="6"/>
        <v>ORD-2024-1015104-03-20242024-03-12CUST-4661Arjun BoseConsumerGujaratAhmedabadFurnitureBookcasesMax Bookcases 595First Class11554.120.11398.711056.92341.79PaidCompleted</v>
      </c>
      <c r="W152" s="2">
        <f t="shared" si="7"/>
        <v>1</v>
      </c>
      <c r="X152">
        <f t="shared" si="8"/>
        <v>1</v>
      </c>
    </row>
    <row r="153" spans="1:24">
      <c r="A153" s="2" t="s">
        <v>843</v>
      </c>
      <c r="B153" s="2" t="s">
        <v>844</v>
      </c>
      <c r="C153" s="2" t="s">
        <v>845</v>
      </c>
      <c r="D153" s="2" t="s">
        <v>846</v>
      </c>
      <c r="E153" s="2" t="s">
        <v>93</v>
      </c>
      <c r="F153" s="2" t="s">
        <v>115</v>
      </c>
      <c r="H153" s="2" t="s">
        <v>84</v>
      </c>
      <c r="I153" s="2" t="s">
        <v>85</v>
      </c>
      <c r="J153" s="2" t="s">
        <v>86</v>
      </c>
      <c r="K153" s="2" t="s">
        <v>94</v>
      </c>
      <c r="L153" s="2" t="s">
        <v>847</v>
      </c>
      <c r="M153" s="2" t="s">
        <v>67</v>
      </c>
      <c r="N153" s="2">
        <v>2</v>
      </c>
      <c r="O153" s="2">
        <v>3859.11</v>
      </c>
      <c r="P153" s="2">
        <v>0</v>
      </c>
      <c r="Q153" s="2">
        <v>7718.22</v>
      </c>
      <c r="R153" s="2">
        <v>5355.93</v>
      </c>
      <c r="S153" s="2">
        <v>2362.29</v>
      </c>
      <c r="T153" s="2" t="s">
        <v>137</v>
      </c>
      <c r="U153" s="2" t="s">
        <v>125</v>
      </c>
      <c r="V153" s="2" t="str">
        <f t="shared" si="6"/>
        <v>ORD-2024-1015227 Jun 202406/27/2024CUST-6011Neha GuptaHome OfficeMadhya PradeshIndoreTechnologyCopiersMax Copiers 992Standard Class23859.1107718.225355.932362.29PendingReturned</v>
      </c>
      <c r="W153" s="2">
        <f t="shared" si="7"/>
        <v>1</v>
      </c>
      <c r="X153">
        <f t="shared" si="8"/>
        <v>1</v>
      </c>
    </row>
    <row r="154" spans="1:24">
      <c r="A154" s="2" t="s">
        <v>848</v>
      </c>
      <c r="B154" s="2" t="s">
        <v>849</v>
      </c>
      <c r="C154" s="2" t="s">
        <v>850</v>
      </c>
      <c r="D154" s="2" t="s">
        <v>851</v>
      </c>
      <c r="E154" s="2" t="s">
        <v>366</v>
      </c>
      <c r="F154" s="2" t="s">
        <v>41</v>
      </c>
      <c r="G154" s="2" t="s">
        <v>62</v>
      </c>
      <c r="H154" s="2" t="s">
        <v>242</v>
      </c>
      <c r="I154" s="2" t="s">
        <v>243</v>
      </c>
      <c r="J154" s="2" t="s">
        <v>45</v>
      </c>
      <c r="K154" s="2" t="s">
        <v>46</v>
      </c>
      <c r="L154" s="2" t="s">
        <v>852</v>
      </c>
      <c r="M154" s="2" t="s">
        <v>33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137</v>
      </c>
      <c r="U154" s="2" t="s">
        <v>125</v>
      </c>
      <c r="V154" s="2" t="str">
        <f t="shared" si="6"/>
        <v>ORD-2024-1015314 Jun 202406/17/2024CUST-6160Kabir SinghSmall BusinessSouthKeralaKochiFurnitureTablesPro Tables 407Second Class61088.040.15875.424380.551494.87PendingReturned</v>
      </c>
      <c r="W154" s="2">
        <f t="shared" si="7"/>
        <v>1</v>
      </c>
      <c r="X154">
        <f t="shared" si="8"/>
        <v>1</v>
      </c>
    </row>
    <row r="155" spans="1:24">
      <c r="A155" s="2" t="s">
        <v>853</v>
      </c>
      <c r="B155" s="2" t="s">
        <v>854</v>
      </c>
      <c r="C155" s="2" t="s">
        <v>855</v>
      </c>
      <c r="D155" s="2" t="s">
        <v>856</v>
      </c>
      <c r="E155" s="2" t="s">
        <v>107</v>
      </c>
      <c r="F155" s="2" t="s">
        <v>26</v>
      </c>
      <c r="G155" s="2" t="s">
        <v>42</v>
      </c>
      <c r="H155" s="2" t="s">
        <v>43</v>
      </c>
      <c r="I155" s="2" t="s">
        <v>44</v>
      </c>
      <c r="J155" s="2" t="s">
        <v>30</v>
      </c>
      <c r="K155" s="2" t="s">
        <v>109</v>
      </c>
      <c r="L155" s="2" t="s">
        <v>857</v>
      </c>
      <c r="M155" s="2" t="s">
        <v>67</v>
      </c>
      <c r="N155" s="2">
        <v>7</v>
      </c>
      <c r="O155" s="2">
        <v>3280.31</v>
      </c>
      <c r="P155" s="2">
        <v>0</v>
      </c>
      <c r="Q155" s="2">
        <v>22962.17</v>
      </c>
      <c r="R155" s="2">
        <v>15716.5</v>
      </c>
      <c r="S155" s="2">
        <v>7245.67</v>
      </c>
      <c r="T155" s="2" t="s">
        <v>124</v>
      </c>
      <c r="U155" s="2" t="s">
        <v>125</v>
      </c>
      <c r="V155" s="2" t="str">
        <f t="shared" si="6"/>
        <v>ORD-2025-1015423 Sep 20252025-09-25CUST-6971Aditi SenConsumerEastOdishaBhubaneswarOffice SuppliesLabelsPrime Labels 559Standard Class73280.31022962.1715716.57245.67RefundedReturned</v>
      </c>
      <c r="W155" s="2">
        <f t="shared" si="7"/>
        <v>1</v>
      </c>
      <c r="X155">
        <f t="shared" si="8"/>
        <v>1</v>
      </c>
    </row>
    <row r="156" spans="1:24">
      <c r="A156" s="2" t="s">
        <v>858</v>
      </c>
      <c r="B156" s="2" t="s">
        <v>859</v>
      </c>
      <c r="C156" s="2" t="s">
        <v>860</v>
      </c>
      <c r="D156" s="2" t="s">
        <v>669</v>
      </c>
      <c r="E156" s="2" t="s">
        <v>142</v>
      </c>
      <c r="F156" s="2" t="s">
        <v>26</v>
      </c>
      <c r="G156" s="2" t="s">
        <v>62</v>
      </c>
      <c r="H156" s="2" t="s">
        <v>339</v>
      </c>
      <c r="I156" s="2" t="s">
        <v>340</v>
      </c>
      <c r="J156" s="2" t="s">
        <v>45</v>
      </c>
      <c r="K156" s="2" t="s">
        <v>204</v>
      </c>
      <c r="L156" s="2" t="s">
        <v>861</v>
      </c>
      <c r="M156" s="2" t="s">
        <v>48</v>
      </c>
      <c r="N156" s="2">
        <v>1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34</v>
      </c>
      <c r="U156" s="2" t="s">
        <v>35</v>
      </c>
      <c r="V156" s="2" t="str">
        <f t="shared" si="6"/>
        <v>ORD-2024-1015512 Feb 202402/11/2024CUST-7764Priya MenonConsumerSouthTamil NaduChennaiFurnitureBookcasesClassic Bookcases 847Same Day12599.120.152209.251523.78685.47PaidCompleted</v>
      </c>
      <c r="W156" s="2">
        <f t="shared" si="7"/>
        <v>1</v>
      </c>
      <c r="X156">
        <f t="shared" si="8"/>
        <v>1</v>
      </c>
    </row>
    <row r="157" spans="1:24">
      <c r="A157" s="2" t="s">
        <v>862</v>
      </c>
      <c r="B157" s="2" t="s">
        <v>559</v>
      </c>
      <c r="C157" s="2" t="s">
        <v>440</v>
      </c>
      <c r="D157" s="2" t="s">
        <v>863</v>
      </c>
      <c r="E157" s="2" t="s">
        <v>25</v>
      </c>
      <c r="F157" s="2" t="s">
        <v>108</v>
      </c>
      <c r="G157" s="2" t="s">
        <v>73</v>
      </c>
      <c r="H157" s="2" t="s">
        <v>28</v>
      </c>
      <c r="I157" s="2" t="s">
        <v>135</v>
      </c>
      <c r="J157" s="2" t="s">
        <v>45</v>
      </c>
      <c r="K157" s="2" t="s">
        <v>65</v>
      </c>
      <c r="L157" s="2" t="s">
        <v>864</v>
      </c>
      <c r="M157" s="2" t="s">
        <v>48</v>
      </c>
      <c r="N157" s="2">
        <v>3</v>
      </c>
      <c r="O157" s="2">
        <v>2859.32</v>
      </c>
      <c r="P157" s="2">
        <v>0.1</v>
      </c>
      <c r="Q157" s="2">
        <v>7720.16</v>
      </c>
      <c r="R157" s="2">
        <v>5881</v>
      </c>
      <c r="S157" s="2">
        <v>1839.16</v>
      </c>
      <c r="T157" s="2" t="s">
        <v>124</v>
      </c>
      <c r="U157" s="2" t="s">
        <v>125</v>
      </c>
      <c r="V157" s="2" t="str">
        <f t="shared" si="6"/>
        <v>ORD-2025-1015601/26/202503 Feb 2025CUST-8327Karan MalhotraCorporateWestRajasthanUdaipurFurnitureFurnishingsClassic Furnishings 655Same Day32859.320.17720.1658811839.16RefundedReturned</v>
      </c>
      <c r="W157" s="2">
        <f t="shared" si="7"/>
        <v>1</v>
      </c>
      <c r="X157">
        <f t="shared" si="8"/>
        <v>1</v>
      </c>
    </row>
    <row r="158" spans="1:24">
      <c r="A158" s="2" t="s">
        <v>865</v>
      </c>
      <c r="B158" s="2" t="s">
        <v>866</v>
      </c>
      <c r="C158" s="2" t="s">
        <v>867</v>
      </c>
      <c r="D158" s="2" t="s">
        <v>868</v>
      </c>
      <c r="E158" s="2" t="s">
        <v>83</v>
      </c>
      <c r="F158" s="2" t="s">
        <v>41</v>
      </c>
      <c r="G158" s="2" t="s">
        <v>42</v>
      </c>
      <c r="H158" s="2" t="s">
        <v>186</v>
      </c>
      <c r="I158" s="2" t="s">
        <v>187</v>
      </c>
      <c r="J158" s="2" t="s">
        <v>86</v>
      </c>
      <c r="K158" s="2" t="s">
        <v>382</v>
      </c>
      <c r="L158" s="2" t="s">
        <v>869</v>
      </c>
      <c r="M158" s="2" t="s">
        <v>33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34</v>
      </c>
      <c r="U158" s="2" t="s">
        <v>35</v>
      </c>
      <c r="V158" s="2" t="str">
        <f t="shared" si="6"/>
        <v>ORD-2025-1015727-03-202527 Mar 2025CUST-4058Vikram IyerSmall BusinessEastBiharPatnaTechnologyMachinesEco Machines 657Second Class72305.370.2512103.196717.875385.32PaidCompleted</v>
      </c>
      <c r="W158" s="2">
        <f t="shared" si="7"/>
        <v>1</v>
      </c>
      <c r="X158">
        <f t="shared" si="8"/>
        <v>1</v>
      </c>
    </row>
    <row r="159" spans="1:24">
      <c r="A159" s="2" t="s">
        <v>870</v>
      </c>
      <c r="B159" s="2" t="s">
        <v>871</v>
      </c>
      <c r="C159" s="2" t="s">
        <v>872</v>
      </c>
      <c r="D159" s="2" t="s">
        <v>873</v>
      </c>
      <c r="E159" s="2" t="s">
        <v>180</v>
      </c>
      <c r="F159" s="2" t="s">
        <v>41</v>
      </c>
      <c r="G159" s="2" t="s">
        <v>62</v>
      </c>
      <c r="H159" s="2" t="s">
        <v>100</v>
      </c>
      <c r="I159" s="2" t="s">
        <v>101</v>
      </c>
      <c r="J159" s="2" t="s">
        <v>45</v>
      </c>
      <c r="K159" s="2" t="s">
        <v>204</v>
      </c>
      <c r="L159" s="2" t="s">
        <v>874</v>
      </c>
      <c r="M159" s="2" t="s">
        <v>67</v>
      </c>
      <c r="N159" s="2">
        <v>3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34</v>
      </c>
      <c r="U159" s="2" t="s">
        <v>35</v>
      </c>
      <c r="V159" s="2" t="str">
        <f t="shared" si="6"/>
        <v>ORD-2024-1015810/22/202424-10-2024CUST-1142Rohan MehtaSmall BusinessSouthAndhra PradeshVijayawadaFurnitureBookcasesPro Bookcases 430Standard Class3915.840.152335.391466.15869.24PaidCompleted</v>
      </c>
      <c r="W159" s="2">
        <f t="shared" si="7"/>
        <v>1</v>
      </c>
      <c r="X159">
        <f t="shared" si="8"/>
        <v>1</v>
      </c>
    </row>
    <row r="160" spans="1:24">
      <c r="A160" s="2" t="s">
        <v>875</v>
      </c>
      <c r="B160" s="2" t="s">
        <v>876</v>
      </c>
      <c r="C160" s="2" t="s">
        <v>877</v>
      </c>
      <c r="D160" s="2" t="s">
        <v>878</v>
      </c>
      <c r="E160" s="2" t="s">
        <v>93</v>
      </c>
      <c r="F160" s="2" t="s">
        <v>115</v>
      </c>
      <c r="G160" s="2" t="s">
        <v>62</v>
      </c>
      <c r="H160" s="2" t="s">
        <v>63</v>
      </c>
      <c r="I160" s="2" t="s">
        <v>64</v>
      </c>
      <c r="J160" s="2" t="s">
        <v>45</v>
      </c>
      <c r="K160" s="2" t="s">
        <v>204</v>
      </c>
      <c r="L160" s="2" t="s">
        <v>879</v>
      </c>
      <c r="M160" s="2" t="s">
        <v>56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34</v>
      </c>
      <c r="U160" s="2" t="s">
        <v>35</v>
      </c>
      <c r="V160" s="2" t="str">
        <f t="shared" si="6"/>
        <v>ORD-2024-101592024-09-0909/11/2024CUST-2324Neha GuptaHome OfficeSouthTelanganaHyderabadFurnitureBookcasesMax Bookcases 881First Class14199.540.053989.562381.381608.18PaidCompleted</v>
      </c>
      <c r="W160" s="2">
        <f t="shared" si="7"/>
        <v>1</v>
      </c>
      <c r="X160">
        <f t="shared" si="8"/>
        <v>1</v>
      </c>
    </row>
    <row r="161" spans="1:25">
      <c r="A161" s="2" t="s">
        <v>880</v>
      </c>
      <c r="B161" s="2" t="s">
        <v>881</v>
      </c>
      <c r="C161" s="2" t="s">
        <v>882</v>
      </c>
      <c r="D161" s="2" t="s">
        <v>883</v>
      </c>
      <c r="E161" s="2" t="s">
        <v>142</v>
      </c>
      <c r="F161" s="2" t="s">
        <v>108</v>
      </c>
      <c r="G161" s="2" t="s">
        <v>27</v>
      </c>
      <c r="H161" s="2" t="s">
        <v>323</v>
      </c>
      <c r="I161" s="2" t="s">
        <v>324</v>
      </c>
      <c r="J161" s="2" t="s">
        <v>45</v>
      </c>
      <c r="K161" s="2" t="s">
        <v>76</v>
      </c>
      <c r="L161" s="2" t="s">
        <v>884</v>
      </c>
      <c r="M161" s="2" t="s">
        <v>48</v>
      </c>
      <c r="N161" s="2">
        <v>9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137</v>
      </c>
      <c r="U161" s="2" t="s">
        <v>78</v>
      </c>
      <c r="V161" s="2" t="str">
        <f t="shared" si="6"/>
        <v>ORD-2025-101602025-01-3004-02-2025CUST-7717Priya MenonCorporateNorthHaryanaGurugramFurnitureChairsElite Chairs 998Same Day94430.50.1533893.3225750.358142.97PendingCancelled</v>
      </c>
      <c r="W161" s="2">
        <f t="shared" si="7"/>
        <v>1</v>
      </c>
      <c r="X161">
        <f t="shared" si="8"/>
        <v>1</v>
      </c>
    </row>
    <row r="162" spans="1:25">
      <c r="A162" s="2" t="s">
        <v>885</v>
      </c>
      <c r="B162" s="2" t="s">
        <v>886</v>
      </c>
      <c r="C162" s="2" t="s">
        <v>887</v>
      </c>
      <c r="D162" s="2" t="s">
        <v>888</v>
      </c>
      <c r="E162" s="2" t="s">
        <v>83</v>
      </c>
      <c r="F162" s="2" t="s">
        <v>41</v>
      </c>
      <c r="G162" s="2" t="s">
        <v>73</v>
      </c>
      <c r="H162" s="2" t="s">
        <v>74</v>
      </c>
      <c r="I162" s="2" t="s">
        <v>75</v>
      </c>
      <c r="J162" s="2" t="s">
        <v>30</v>
      </c>
      <c r="K162" s="2" t="s">
        <v>31</v>
      </c>
      <c r="L162" s="2" t="s">
        <v>889</v>
      </c>
      <c r="M162" s="2" t="s">
        <v>33</v>
      </c>
      <c r="N162" s="2">
        <v>4</v>
      </c>
      <c r="O162" s="2">
        <v>1260.42</v>
      </c>
      <c r="P162" s="2">
        <v>0.05</v>
      </c>
      <c r="Q162" s="2">
        <v>4789.6000000000004</v>
      </c>
      <c r="R162" s="2">
        <v>4037.64</v>
      </c>
      <c r="S162" s="2">
        <v>751.96</v>
      </c>
      <c r="T162" s="2" t="s">
        <v>137</v>
      </c>
      <c r="U162" s="2" t="s">
        <v>78</v>
      </c>
      <c r="V162" s="2" t="str">
        <f t="shared" si="6"/>
        <v>ORD-2025-1016108-10-202510/06/2025CUST-4932Vikram IyerSmall BusinessWestMaharashtraMumbaiOffice SuppliesPaperMax Paper 113Second Class41260.420.054789.64037.64751.96PendingCancelled</v>
      </c>
      <c r="W162" s="2">
        <f t="shared" si="7"/>
        <v>1</v>
      </c>
      <c r="X162">
        <f t="shared" si="8"/>
        <v>1</v>
      </c>
    </row>
    <row r="163" spans="1:25">
      <c r="A163" s="2" t="s">
        <v>890</v>
      </c>
      <c r="B163" s="2" t="s">
        <v>891</v>
      </c>
      <c r="C163" s="2" t="s">
        <v>892</v>
      </c>
      <c r="D163" s="2" t="s">
        <v>893</v>
      </c>
      <c r="E163" s="2" t="s">
        <v>61</v>
      </c>
      <c r="F163" s="2" t="s">
        <v>894</v>
      </c>
      <c r="G163" s="2" t="s">
        <v>73</v>
      </c>
      <c r="H163" s="2" t="s">
        <v>28</v>
      </c>
      <c r="I163" s="2" t="s">
        <v>135</v>
      </c>
      <c r="J163" s="2" t="s">
        <v>30</v>
      </c>
      <c r="K163" s="2" t="s">
        <v>198</v>
      </c>
      <c r="L163" s="2" t="s">
        <v>895</v>
      </c>
      <c r="M163" s="2" t="s">
        <v>67</v>
      </c>
      <c r="N163" s="2">
        <v>1</v>
      </c>
      <c r="O163" s="2">
        <v>1643.41</v>
      </c>
      <c r="P163" s="2">
        <v>0</v>
      </c>
      <c r="Q163" s="2">
        <v>1643.41</v>
      </c>
      <c r="R163" s="2">
        <v>907.4</v>
      </c>
      <c r="S163" s="2">
        <v>736.01</v>
      </c>
      <c r="T163" s="2" t="s">
        <v>137</v>
      </c>
      <c r="U163" s="2" t="s">
        <v>78</v>
      </c>
      <c r="V163" s="2" t="str">
        <f t="shared" si="6"/>
        <v>ORD-2025-101622025-07-2430-07-2025CUST-2367Arjun BoseconsumerWestRajasthanUdaipurOffice SuppliesBindersSmart Binders 267Standard Class11643.4101643.41907.4736.01PendingCancelled</v>
      </c>
      <c r="W163" s="2">
        <f t="shared" si="7"/>
        <v>1</v>
      </c>
      <c r="X163">
        <f t="shared" si="8"/>
        <v>1</v>
      </c>
    </row>
    <row r="164" spans="1:25">
      <c r="A164" s="2" t="s">
        <v>896</v>
      </c>
      <c r="B164" s="2" t="s">
        <v>897</v>
      </c>
      <c r="C164" s="2" t="s">
        <v>898</v>
      </c>
      <c r="D164" s="2" t="s">
        <v>899</v>
      </c>
      <c r="E164" s="2" t="s">
        <v>93</v>
      </c>
      <c r="F164" s="2" t="s">
        <v>41</v>
      </c>
      <c r="G164" s="2" t="s">
        <v>73</v>
      </c>
      <c r="H164" s="2" t="s">
        <v>249</v>
      </c>
      <c r="I164" s="2" t="s">
        <v>250</v>
      </c>
      <c r="J164" s="2" t="s">
        <v>45</v>
      </c>
      <c r="K164" s="2" t="s">
        <v>65</v>
      </c>
      <c r="L164" s="2" t="s">
        <v>900</v>
      </c>
      <c r="M164" s="2" t="s">
        <v>33</v>
      </c>
      <c r="N164" s="2">
        <v>8</v>
      </c>
      <c r="O164" s="2">
        <v>4472.84</v>
      </c>
      <c r="P164" s="2">
        <v>0</v>
      </c>
      <c r="Q164" s="2">
        <v>35997.620000000003</v>
      </c>
      <c r="R164" s="2">
        <v>26424.41</v>
      </c>
      <c r="S164" s="2">
        <v>9358.31</v>
      </c>
      <c r="T164" s="2" t="s">
        <v>137</v>
      </c>
      <c r="U164" s="2" t="s">
        <v>125</v>
      </c>
      <c r="V164" s="2" t="str">
        <f t="shared" si="6"/>
        <v>ORD-2024-101632024-03-0914 Mar 2024CUST-4830Neha GuptaSmall BusinessWestGoaPanajiFurnitureFurnishingsPro Furnishings 108Second Class84472.84035997.6226424.419358.31PendingReturned</v>
      </c>
      <c r="W164" s="2">
        <f t="shared" si="7"/>
        <v>1</v>
      </c>
      <c r="X164">
        <f t="shared" si="8"/>
        <v>1</v>
      </c>
    </row>
    <row r="165" spans="1:25">
      <c r="A165" s="2" t="s">
        <v>901</v>
      </c>
      <c r="B165" s="2" t="s">
        <v>902</v>
      </c>
      <c r="C165" s="2" t="s">
        <v>725</v>
      </c>
      <c r="D165" s="2" t="s">
        <v>903</v>
      </c>
      <c r="E165" s="2" t="s">
        <v>180</v>
      </c>
      <c r="F165" s="2" t="s">
        <v>115</v>
      </c>
      <c r="G165" s="2" t="s">
        <v>73</v>
      </c>
      <c r="H165" s="2" t="s">
        <v>235</v>
      </c>
      <c r="I165" s="2" t="s">
        <v>236</v>
      </c>
      <c r="J165" s="2" t="s">
        <v>45</v>
      </c>
      <c r="K165" s="2" t="s">
        <v>46</v>
      </c>
      <c r="L165" s="2" t="s">
        <v>904</v>
      </c>
      <c r="N165" s="2">
        <v>6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137</v>
      </c>
      <c r="U165" s="2" t="s">
        <v>125</v>
      </c>
      <c r="V165" s="2" t="str">
        <f t="shared" si="6"/>
        <v>ORD-2025-1016409/21/202526 Sep 2025CUST-2548Rohan MehtaHome OfficeWestGujaratAhmedabadFurnitureTablesElite Tables 38962903.580.115679.3312477.823201.51PendingReturned</v>
      </c>
      <c r="W165" s="2">
        <f t="shared" si="7"/>
        <v>1</v>
      </c>
      <c r="X165">
        <f t="shared" si="8"/>
        <v>1</v>
      </c>
    </row>
    <row r="166" spans="1:25">
      <c r="A166" s="2" t="s">
        <v>905</v>
      </c>
      <c r="B166" s="2" t="s">
        <v>906</v>
      </c>
      <c r="C166" s="2" t="s">
        <v>907</v>
      </c>
      <c r="D166" s="2" t="s">
        <v>908</v>
      </c>
      <c r="E166" s="2" t="s">
        <v>148</v>
      </c>
      <c r="F166" s="2" t="s">
        <v>41</v>
      </c>
      <c r="G166" s="2" t="s">
        <v>42</v>
      </c>
      <c r="H166" s="2" t="s">
        <v>121</v>
      </c>
      <c r="I166" s="2" t="s">
        <v>122</v>
      </c>
      <c r="J166" s="2" t="s">
        <v>45</v>
      </c>
      <c r="K166" s="2" t="s">
        <v>204</v>
      </c>
      <c r="L166" s="2" t="s">
        <v>909</v>
      </c>
      <c r="M166" s="2" t="s">
        <v>33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34</v>
      </c>
      <c r="U166" s="2" t="s">
        <v>35</v>
      </c>
      <c r="V166" s="2" t="str">
        <f t="shared" si="6"/>
        <v>ORD-2025-1016509 Sep 202509/14/2025CUST-3833Rahul VermaSmall BusinessEastWest BengalKolkataFurnitureBookcasesPro Bookcases 595Second Class13154.420.252365.821547.99817.83PaidCompleted</v>
      </c>
      <c r="W166" s="2">
        <f t="shared" si="7"/>
        <v>1</v>
      </c>
      <c r="X166">
        <f t="shared" si="8"/>
        <v>1</v>
      </c>
    </row>
    <row r="167" spans="1:25">
      <c r="A167" s="2" t="s">
        <v>910</v>
      </c>
      <c r="B167" s="2" t="s">
        <v>911</v>
      </c>
      <c r="C167" s="2" t="s">
        <v>912</v>
      </c>
      <c r="D167" s="2" t="s">
        <v>913</v>
      </c>
      <c r="E167" s="2" t="s">
        <v>40</v>
      </c>
      <c r="F167" s="2" t="s">
        <v>115</v>
      </c>
      <c r="G167" s="2" t="s">
        <v>42</v>
      </c>
      <c r="H167" s="2" t="s">
        <v>186</v>
      </c>
      <c r="I167" s="2" t="s">
        <v>187</v>
      </c>
      <c r="J167" s="2" t="s">
        <v>45</v>
      </c>
      <c r="K167" s="2" t="s">
        <v>76</v>
      </c>
      <c r="L167" s="2" t="s">
        <v>914</v>
      </c>
      <c r="M167" s="2" t="s">
        <v>67</v>
      </c>
      <c r="N167" s="2">
        <v>4</v>
      </c>
      <c r="O167" s="2">
        <v>3422.99</v>
      </c>
      <c r="P167" s="2">
        <v>0.25</v>
      </c>
      <c r="Q167" s="2">
        <v>10268.969999999999</v>
      </c>
      <c r="R167" s="2">
        <v>6470.92</v>
      </c>
      <c r="S167" s="2">
        <v>3798.05</v>
      </c>
      <c r="T167" s="2" t="s">
        <v>34</v>
      </c>
      <c r="U167" s="2" t="s">
        <v>35</v>
      </c>
      <c r="V167" s="2" t="str">
        <f t="shared" si="6"/>
        <v>ORD-2024-1016611/22/202429-11-2024CUST-4598Mira DasHome OfficeEastBiharPatnaFurnitureChairsMax Chairs 148Standard Class43422.990.2510268.976470.923798.05PaidCompleted</v>
      </c>
      <c r="W167" s="2">
        <f t="shared" si="7"/>
        <v>1</v>
      </c>
      <c r="X167">
        <f t="shared" si="8"/>
        <v>1</v>
      </c>
    </row>
    <row r="168" spans="1:25">
      <c r="A168" s="2" t="s">
        <v>915</v>
      </c>
      <c r="B168" s="2" t="s">
        <v>916</v>
      </c>
      <c r="C168" s="2" t="s">
        <v>98</v>
      </c>
      <c r="D168" s="2" t="s">
        <v>917</v>
      </c>
      <c r="E168" s="2" t="s">
        <v>25</v>
      </c>
      <c r="F168" s="2" t="s">
        <v>41</v>
      </c>
      <c r="G168" s="2" t="s">
        <v>73</v>
      </c>
      <c r="H168" s="2" t="s">
        <v>235</v>
      </c>
      <c r="I168" s="2" t="s">
        <v>236</v>
      </c>
      <c r="J168" s="2" t="s">
        <v>918</v>
      </c>
      <c r="K168" s="2" t="s">
        <v>109</v>
      </c>
      <c r="L168" s="2" t="s">
        <v>919</v>
      </c>
      <c r="M168" s="2" t="s">
        <v>56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34</v>
      </c>
      <c r="U168" s="2" t="s">
        <v>35</v>
      </c>
      <c r="V168" s="2" t="str">
        <f t="shared" si="6"/>
        <v>ORD-2025-1016720-02-202526-02-2025CUST-7215Karan MalhotraSmall BusinessWestGujaratAhmedabadOFFICE SUPPLIESLabelsBasic Labels 671First Class12557.850.22046.281449.54596.74PaidCompleted</v>
      </c>
      <c r="W168" s="2">
        <f t="shared" si="7"/>
        <v>1</v>
      </c>
      <c r="X168">
        <f t="shared" si="8"/>
        <v>1</v>
      </c>
    </row>
    <row r="169" spans="1:25">
      <c r="A169" s="2" t="s">
        <v>920</v>
      </c>
      <c r="B169" s="2" t="s">
        <v>921</v>
      </c>
      <c r="C169" s="2" t="s">
        <v>922</v>
      </c>
      <c r="D169" s="2" t="s">
        <v>923</v>
      </c>
      <c r="E169" s="2" t="s">
        <v>61</v>
      </c>
      <c r="F169" s="2" t="s">
        <v>115</v>
      </c>
      <c r="G169" s="2" t="s">
        <v>62</v>
      </c>
      <c r="H169" s="2" t="s">
        <v>229</v>
      </c>
      <c r="I169" s="2" t="s">
        <v>230</v>
      </c>
      <c r="J169" s="2" t="s">
        <v>30</v>
      </c>
      <c r="K169" s="2" t="s">
        <v>156</v>
      </c>
      <c r="L169" s="2" t="s">
        <v>924</v>
      </c>
      <c r="M169" s="2" t="s">
        <v>56</v>
      </c>
      <c r="N169" s="2">
        <v>9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34</v>
      </c>
      <c r="U169" s="2" t="s">
        <v>125</v>
      </c>
      <c r="V169" s="2" t="str">
        <f t="shared" si="6"/>
        <v>ORD-2025-101682025-08-1808/18/2025CUST-7770Arjun BoseHome OfficeSouthKarnatakaBengaluruOffice SuppliesStorageElite Storage 628First Class93030.930.1523186.6117906.545280.07PaidReturned</v>
      </c>
      <c r="W169" s="2">
        <f t="shared" si="7"/>
        <v>1</v>
      </c>
      <c r="X169">
        <f t="shared" si="8"/>
        <v>1</v>
      </c>
    </row>
    <row r="170" spans="1:25">
      <c r="A170" s="2" t="s">
        <v>925</v>
      </c>
      <c r="B170" s="2" t="s">
        <v>926</v>
      </c>
      <c r="C170" s="2" t="s">
        <v>184</v>
      </c>
      <c r="D170" s="2" t="s">
        <v>927</v>
      </c>
      <c r="E170" s="2" t="s">
        <v>366</v>
      </c>
      <c r="F170" s="2" t="s">
        <v>26</v>
      </c>
      <c r="G170" s="2" t="s">
        <v>73</v>
      </c>
      <c r="H170" s="2" t="s">
        <v>74</v>
      </c>
      <c r="I170" s="2" t="s">
        <v>75</v>
      </c>
      <c r="J170" s="2" t="s">
        <v>86</v>
      </c>
      <c r="K170" s="2" t="s">
        <v>87</v>
      </c>
      <c r="L170" s="2" t="s">
        <v>928</v>
      </c>
      <c r="M170" s="2" t="s">
        <v>48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34</v>
      </c>
      <c r="U170" s="2" t="s">
        <v>78</v>
      </c>
      <c r="V170" s="2" t="str">
        <f t="shared" si="6"/>
        <v>ORD-2025-1016901/20/202523 Jan 2025CUST-9756Kabir SinghConsumerWestMaharashtraMumbaiTechnologyAccessoriesEco Accessories 590Same Day5639.270.22557.082025.69531.39PaidCancelled</v>
      </c>
      <c r="W170" s="2">
        <f t="shared" si="7"/>
        <v>1</v>
      </c>
      <c r="X170">
        <f t="shared" si="8"/>
        <v>1</v>
      </c>
    </row>
    <row r="171" spans="1:25">
      <c r="A171" s="2" t="s">
        <v>929</v>
      </c>
      <c r="B171" s="2" t="s">
        <v>930</v>
      </c>
      <c r="C171" s="2" t="s">
        <v>931</v>
      </c>
      <c r="D171" s="2" t="s">
        <v>932</v>
      </c>
      <c r="E171" s="2" t="s">
        <v>210</v>
      </c>
      <c r="F171" s="2" t="s">
        <v>26</v>
      </c>
      <c r="G171" s="2" t="s">
        <v>42</v>
      </c>
      <c r="H171" s="2" t="s">
        <v>216</v>
      </c>
      <c r="I171" s="2" t="s">
        <v>217</v>
      </c>
      <c r="J171" s="2" t="s">
        <v>30</v>
      </c>
      <c r="K171" s="2" t="s">
        <v>54</v>
      </c>
      <c r="L171" s="2" t="s">
        <v>933</v>
      </c>
      <c r="M171" s="2" t="s">
        <v>67</v>
      </c>
      <c r="N171" s="2">
        <v>8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137</v>
      </c>
      <c r="U171" s="2" t="s">
        <v>125</v>
      </c>
      <c r="V171" s="2" t="str">
        <f t="shared" si="6"/>
        <v>ORD-2025-101702025-09-1309/13/2025CUST-2261Diya PatelConsumerEastAssamGuwahatiOffice SuppliesArtPro Art 734Standard Class8733.90.055577.643541.292036.35PendingReturned</v>
      </c>
      <c r="W171" s="2">
        <f t="shared" si="7"/>
        <v>1</v>
      </c>
      <c r="X171">
        <f t="shared" si="8"/>
        <v>1</v>
      </c>
    </row>
    <row r="172" spans="1:25">
      <c r="A172" s="2" t="s">
        <v>934</v>
      </c>
      <c r="B172" s="2" t="s">
        <v>112</v>
      </c>
      <c r="C172" s="2" t="s">
        <v>935</v>
      </c>
      <c r="D172" s="2" t="s">
        <v>936</v>
      </c>
      <c r="E172" s="2" t="s">
        <v>180</v>
      </c>
      <c r="F172" s="2" t="s">
        <v>108</v>
      </c>
      <c r="G172" s="2" t="s">
        <v>42</v>
      </c>
      <c r="H172" s="2" t="s">
        <v>186</v>
      </c>
      <c r="I172" s="2" t="s">
        <v>187</v>
      </c>
      <c r="J172" s="2" t="s">
        <v>86</v>
      </c>
      <c r="K172" s="2" t="s">
        <v>94</v>
      </c>
      <c r="L172" s="2" t="s">
        <v>937</v>
      </c>
      <c r="M172" s="2" t="s">
        <v>67</v>
      </c>
      <c r="N172" s="2">
        <v>3</v>
      </c>
      <c r="O172" s="2">
        <v>1711.32</v>
      </c>
      <c r="P172" s="2">
        <v>0</v>
      </c>
      <c r="Q172" s="2">
        <v>5133.96</v>
      </c>
      <c r="R172" s="2">
        <v>3930</v>
      </c>
      <c r="S172" s="2">
        <v>1203.96</v>
      </c>
      <c r="T172" s="2" t="s">
        <v>34</v>
      </c>
      <c r="U172" s="2" t="s">
        <v>35</v>
      </c>
      <c r="V172" s="2" t="str">
        <f t="shared" si="6"/>
        <v>ORD-2025-1017107-09-202509/15/2025CUST-3734Rohan MehtaCorporateEastBiharPatnaTechnologyCopiersEco Copiers 102Standard Class31711.3205133.9639301203.96PaidCompleted</v>
      </c>
      <c r="W172" s="2">
        <f t="shared" si="7"/>
        <v>1</v>
      </c>
      <c r="X172">
        <f t="shared" si="8"/>
        <v>2</v>
      </c>
      <c r="Y172" s="2" t="s">
        <v>4097</v>
      </c>
    </row>
    <row r="173" spans="1:25">
      <c r="A173" s="2" t="s">
        <v>938</v>
      </c>
      <c r="B173" s="2" t="s">
        <v>97</v>
      </c>
      <c r="C173" s="2" t="s">
        <v>939</v>
      </c>
      <c r="D173" s="2" t="s">
        <v>940</v>
      </c>
      <c r="E173" s="2" t="s">
        <v>25</v>
      </c>
      <c r="F173" s="2" t="s">
        <v>108</v>
      </c>
      <c r="G173" s="2" t="s">
        <v>42</v>
      </c>
      <c r="H173" s="2" t="s">
        <v>186</v>
      </c>
      <c r="I173" s="2" t="s">
        <v>187</v>
      </c>
      <c r="J173" s="2" t="s">
        <v>30</v>
      </c>
      <c r="K173" s="2" t="s">
        <v>109</v>
      </c>
      <c r="L173" s="2" t="s">
        <v>941</v>
      </c>
      <c r="M173" s="2" t="s">
        <v>48</v>
      </c>
      <c r="N173" s="2">
        <v>5</v>
      </c>
      <c r="O173" s="2">
        <v>4246.2700000000004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34</v>
      </c>
      <c r="U173" s="2" t="s">
        <v>35</v>
      </c>
      <c r="V173" s="2" t="str">
        <f t="shared" si="6"/>
        <v>ORD-2025-101722025-02-2302/25/2025CUST-3436Karan MalhotraCorporateEastBiharPatnaOffice SuppliesLabelsBasic Labels 876Same Day54246.270.2515923.5111291.84631.71PaidCompleted</v>
      </c>
      <c r="W173" s="2">
        <f t="shared" si="7"/>
        <v>1</v>
      </c>
      <c r="X173">
        <f t="shared" si="8"/>
        <v>1</v>
      </c>
    </row>
    <row r="174" spans="1:25">
      <c r="A174" s="2" t="s">
        <v>942</v>
      </c>
      <c r="B174" s="2" t="s">
        <v>943</v>
      </c>
      <c r="C174" s="2" t="s">
        <v>944</v>
      </c>
      <c r="D174" s="2" t="s">
        <v>945</v>
      </c>
      <c r="E174" s="2" t="s">
        <v>25</v>
      </c>
      <c r="F174" s="2" t="s">
        <v>108</v>
      </c>
      <c r="G174" s="2" t="s">
        <v>27</v>
      </c>
      <c r="H174" s="2" t="s">
        <v>506</v>
      </c>
      <c r="I174" s="2" t="s">
        <v>507</v>
      </c>
      <c r="J174" s="2" t="s">
        <v>45</v>
      </c>
      <c r="K174" s="2" t="s">
        <v>65</v>
      </c>
      <c r="L174" s="2" t="s">
        <v>946</v>
      </c>
      <c r="M174" s="2" t="s">
        <v>48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124</v>
      </c>
      <c r="U174" s="2" t="s">
        <v>125</v>
      </c>
      <c r="V174" s="2" t="str">
        <f t="shared" si="6"/>
        <v>ORD-2025-1017302-08-202510-08-2025CUST-4845Karan MalhotraCorporateNorthDelhiNew DelhiFurnitureFurnishingsPrime Furnishings 381Same Day92962.620.123997.2216134.637862.59RefundedReturned</v>
      </c>
      <c r="W174" s="2">
        <f t="shared" si="7"/>
        <v>1</v>
      </c>
      <c r="X174">
        <f t="shared" si="8"/>
        <v>1</v>
      </c>
    </row>
    <row r="175" spans="1:25">
      <c r="A175" s="2" t="s">
        <v>947</v>
      </c>
      <c r="B175" s="2" t="s">
        <v>948</v>
      </c>
      <c r="C175" s="2" t="s">
        <v>949</v>
      </c>
      <c r="D175" s="2" t="s">
        <v>950</v>
      </c>
      <c r="E175" s="2" t="s">
        <v>951</v>
      </c>
      <c r="F175" s="2" t="s">
        <v>115</v>
      </c>
      <c r="G175" s="2" t="s">
        <v>27</v>
      </c>
      <c r="H175" s="2" t="s">
        <v>154</v>
      </c>
      <c r="I175" s="2" t="s">
        <v>155</v>
      </c>
      <c r="J175" s="2" t="s">
        <v>86</v>
      </c>
      <c r="K175" s="2" t="s">
        <v>94</v>
      </c>
      <c r="L175" s="2" t="s">
        <v>952</v>
      </c>
      <c r="M175" s="2" t="s">
        <v>33</v>
      </c>
      <c r="N175" s="2">
        <v>1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34</v>
      </c>
      <c r="U175" s="2" t="s">
        <v>35</v>
      </c>
      <c r="V175" s="2" t="str">
        <f t="shared" si="6"/>
        <v>ORD-2024-1017402-05-202408 May 2024CUST-6153PRIYA MENONHome OfficeNorthPunjabLudhianaTechnologyCopiersPrime Copiers 440Second Class12312.250.251734.191386.07348.12PaidCompleted</v>
      </c>
      <c r="W175" s="2">
        <f t="shared" si="7"/>
        <v>1</v>
      </c>
      <c r="X175">
        <f t="shared" si="8"/>
        <v>1</v>
      </c>
    </row>
    <row r="176" spans="1:25">
      <c r="A176" s="2" t="s">
        <v>953</v>
      </c>
      <c r="B176" s="2" t="s">
        <v>954</v>
      </c>
      <c r="C176" s="2" t="s">
        <v>955</v>
      </c>
      <c r="D176" s="2" t="s">
        <v>956</v>
      </c>
      <c r="E176" s="2" t="s">
        <v>25</v>
      </c>
      <c r="F176" s="2" t="s">
        <v>41</v>
      </c>
      <c r="G176" s="2" t="s">
        <v>62</v>
      </c>
      <c r="H176" s="2" t="s">
        <v>229</v>
      </c>
      <c r="I176" s="2" t="s">
        <v>230</v>
      </c>
      <c r="J176" s="2" t="s">
        <v>45</v>
      </c>
      <c r="K176" s="2" t="s">
        <v>204</v>
      </c>
      <c r="L176" s="2" t="s">
        <v>957</v>
      </c>
      <c r="M176" s="2" t="s">
        <v>56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137</v>
      </c>
      <c r="U176" s="2" t="s">
        <v>125</v>
      </c>
      <c r="V176" s="2" t="str">
        <f t="shared" si="6"/>
        <v>ORD-2025-1017528 Sep 202504-10-2025CUST-5475Karan MalhotraSmall BusinessSouthKarnatakaBengaluruFurnitureBookcasesPro Bookcases 319First Class61620.530.158264.74768.753495.95PendingReturned</v>
      </c>
      <c r="W176" s="2">
        <f t="shared" si="7"/>
        <v>1</v>
      </c>
      <c r="X176">
        <f t="shared" si="8"/>
        <v>1</v>
      </c>
    </row>
    <row r="177" spans="1:24">
      <c r="A177" s="2" t="s">
        <v>958</v>
      </c>
      <c r="B177" s="2" t="s">
        <v>742</v>
      </c>
      <c r="C177" s="2" t="s">
        <v>959</v>
      </c>
      <c r="D177" s="2" t="s">
        <v>960</v>
      </c>
      <c r="E177" s="2" t="s">
        <v>61</v>
      </c>
      <c r="F177" s="2" t="s">
        <v>41</v>
      </c>
      <c r="G177" s="2" t="s">
        <v>42</v>
      </c>
      <c r="H177" s="2" t="s">
        <v>186</v>
      </c>
      <c r="I177" s="2" t="s">
        <v>187</v>
      </c>
      <c r="J177" s="2" t="s">
        <v>86</v>
      </c>
      <c r="K177" s="2" t="s">
        <v>382</v>
      </c>
      <c r="L177" s="2" t="s">
        <v>961</v>
      </c>
      <c r="M177" s="2" t="s">
        <v>48</v>
      </c>
      <c r="N177" s="2">
        <v>7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4892.3900000000003</v>
      </c>
      <c r="T177" s="2" t="s">
        <v>34</v>
      </c>
      <c r="U177" s="2" t="s">
        <v>125</v>
      </c>
      <c r="V177" s="2" t="str">
        <f t="shared" si="6"/>
        <v>ORD-2024-101762024-01-272024-02-03CUST-5580Arjun BoseSmall BusinessEastBiharPatnaTechnologyMachinesBasic Machines 584Same Day72673.420.1515906.8511014.464892.39PaidReturned</v>
      </c>
      <c r="W177" s="2">
        <f t="shared" si="7"/>
        <v>1</v>
      </c>
      <c r="X177">
        <f t="shared" si="8"/>
        <v>1</v>
      </c>
    </row>
    <row r="178" spans="1:24">
      <c r="A178" s="2" t="s">
        <v>962</v>
      </c>
      <c r="B178" s="2" t="s">
        <v>963</v>
      </c>
      <c r="C178" s="2" t="s">
        <v>964</v>
      </c>
      <c r="D178" s="2" t="s">
        <v>965</v>
      </c>
      <c r="E178" s="2" t="s">
        <v>83</v>
      </c>
      <c r="F178" s="2" t="s">
        <v>108</v>
      </c>
      <c r="G178" s="2" t="s">
        <v>42</v>
      </c>
      <c r="H178" s="2" t="s">
        <v>311</v>
      </c>
      <c r="I178" s="2" t="s">
        <v>312</v>
      </c>
      <c r="J178" s="2" t="s">
        <v>45</v>
      </c>
      <c r="K178" s="2" t="s">
        <v>204</v>
      </c>
      <c r="L178" s="2" t="s">
        <v>966</v>
      </c>
      <c r="M178" s="2" t="s">
        <v>67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34</v>
      </c>
      <c r="U178" s="2" t="s">
        <v>35</v>
      </c>
      <c r="V178" s="2" t="str">
        <f t="shared" si="6"/>
        <v>ORD-2025-1017718-03-202503/26/2025CUST-3027Vikram IyerCorporateEastJharkhandRanchiFurnitureBookcasesPro Bookcases 612Standard Class83563.090.1524229.0113910.6410318.37PaidCompleted</v>
      </c>
      <c r="W178" s="2">
        <f t="shared" si="7"/>
        <v>1</v>
      </c>
      <c r="X178">
        <f t="shared" si="8"/>
        <v>1</v>
      </c>
    </row>
    <row r="179" spans="1:24">
      <c r="A179" s="2" t="s">
        <v>967</v>
      </c>
      <c r="B179" s="2" t="s">
        <v>968</v>
      </c>
      <c r="C179" s="2" t="s">
        <v>969</v>
      </c>
      <c r="D179" s="2" t="s">
        <v>970</v>
      </c>
      <c r="E179" s="2" t="s">
        <v>168</v>
      </c>
      <c r="F179" s="2" t="s">
        <v>115</v>
      </c>
      <c r="H179" s="2" t="s">
        <v>186</v>
      </c>
      <c r="I179" s="2" t="s">
        <v>187</v>
      </c>
      <c r="J179" s="2" t="s">
        <v>30</v>
      </c>
      <c r="K179" s="2" t="s">
        <v>54</v>
      </c>
      <c r="L179" s="2" t="s">
        <v>971</v>
      </c>
      <c r="M179" s="2" t="s">
        <v>48</v>
      </c>
      <c r="N179" s="2">
        <v>8</v>
      </c>
      <c r="O179" s="2">
        <v>3879.95</v>
      </c>
      <c r="P179" s="2">
        <v>0</v>
      </c>
      <c r="Q179" s="2">
        <v>31039.599999999999</v>
      </c>
      <c r="R179" s="2">
        <v>20866.72</v>
      </c>
      <c r="S179" s="2">
        <v>10172.879999999999</v>
      </c>
      <c r="T179" s="2" t="s">
        <v>34</v>
      </c>
      <c r="U179" s="2" t="s">
        <v>35</v>
      </c>
      <c r="V179" s="2" t="str">
        <f t="shared" si="6"/>
        <v>ORD-2024-1017801-06-202406/03/2024CUST-4399Sneha KapoorHome OfficeBiharPatnaOffice SuppliesArtClassic Art 573Same Day83879.95031039.620866.7210172.88PaidCompleted</v>
      </c>
      <c r="W179" s="2">
        <f t="shared" si="7"/>
        <v>1</v>
      </c>
      <c r="X179">
        <f t="shared" si="8"/>
        <v>1</v>
      </c>
    </row>
    <row r="180" spans="1:24">
      <c r="A180" s="2" t="s">
        <v>972</v>
      </c>
      <c r="B180" s="2" t="s">
        <v>973</v>
      </c>
      <c r="C180" s="2" t="s">
        <v>974</v>
      </c>
      <c r="D180" s="2" t="s">
        <v>975</v>
      </c>
      <c r="E180" s="2" t="s">
        <v>53</v>
      </c>
      <c r="F180" s="2" t="s">
        <v>108</v>
      </c>
      <c r="G180" s="2" t="s">
        <v>62</v>
      </c>
      <c r="H180" s="2" t="s">
        <v>63</v>
      </c>
      <c r="I180" s="2" t="s">
        <v>64</v>
      </c>
      <c r="J180" s="2" t="s">
        <v>30</v>
      </c>
      <c r="K180" s="2" t="s">
        <v>54</v>
      </c>
      <c r="L180" s="2" t="s">
        <v>976</v>
      </c>
      <c r="M180" s="2" t="s">
        <v>67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34</v>
      </c>
      <c r="U180" s="2" t="s">
        <v>35</v>
      </c>
      <c r="V180" s="2" t="str">
        <f t="shared" si="6"/>
        <v>ORD-2024-1017930-09-20242024-09-30CUST-3092Isha NairCorporateSouthTelanganaHyderabadOffice SuppliesArtEco Art 854Standard Class43281.74013126.9610732.442394.52PaidCompleted</v>
      </c>
      <c r="W180" s="2">
        <f t="shared" si="7"/>
        <v>1</v>
      </c>
      <c r="X180">
        <f t="shared" si="8"/>
        <v>1</v>
      </c>
    </row>
    <row r="181" spans="1:24">
      <c r="A181" s="2" t="s">
        <v>977</v>
      </c>
      <c r="B181" s="2" t="s">
        <v>978</v>
      </c>
      <c r="C181" s="2" t="s">
        <v>979</v>
      </c>
      <c r="D181" s="2" t="s">
        <v>980</v>
      </c>
      <c r="E181" s="2" t="s">
        <v>72</v>
      </c>
      <c r="F181" s="2" t="s">
        <v>41</v>
      </c>
      <c r="G181" s="2" t="s">
        <v>62</v>
      </c>
      <c r="H181" s="2" t="s">
        <v>339</v>
      </c>
      <c r="I181" s="2" t="s">
        <v>340</v>
      </c>
      <c r="J181" s="2" t="s">
        <v>45</v>
      </c>
      <c r="K181" s="2" t="s">
        <v>65</v>
      </c>
      <c r="L181" s="2" t="s">
        <v>981</v>
      </c>
      <c r="M181" s="2" t="s">
        <v>67</v>
      </c>
      <c r="N181" s="2">
        <v>4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124</v>
      </c>
      <c r="U181" s="2" t="s">
        <v>125</v>
      </c>
      <c r="V181" s="2" t="str">
        <f t="shared" si="6"/>
        <v>ORD-2024-101802024-03-1503/19/2024CUST-1778Ananya RaoSmall BusinessSouthTamil NaduChennaiFurnitureFurnishingsClassic Furnishings 996Standard Class43186.30.259558.95516.764042.14RefundedReturned</v>
      </c>
      <c r="W181" s="2">
        <f t="shared" si="7"/>
        <v>1</v>
      </c>
      <c r="X181">
        <f t="shared" si="8"/>
        <v>1</v>
      </c>
    </row>
    <row r="182" spans="1:24">
      <c r="A182" s="2" t="s">
        <v>982</v>
      </c>
      <c r="B182" s="2" t="s">
        <v>983</v>
      </c>
      <c r="C182" s="2" t="s">
        <v>984</v>
      </c>
      <c r="D182" s="2" t="s">
        <v>985</v>
      </c>
      <c r="E182" s="2" t="s">
        <v>40</v>
      </c>
      <c r="F182" s="2" t="s">
        <v>115</v>
      </c>
      <c r="G182" s="2" t="s">
        <v>27</v>
      </c>
      <c r="H182" s="2" t="s">
        <v>174</v>
      </c>
      <c r="I182" s="2" t="s">
        <v>175</v>
      </c>
      <c r="J182" s="2" t="s">
        <v>918</v>
      </c>
      <c r="K182" s="2" t="s">
        <v>198</v>
      </c>
      <c r="L182" s="2" t="s">
        <v>986</v>
      </c>
      <c r="M182" s="2" t="s">
        <v>56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34</v>
      </c>
      <c r="U182" s="2" t="s">
        <v>35</v>
      </c>
      <c r="V182" s="2" t="str">
        <f t="shared" si="6"/>
        <v>ORD-2024-101812024-08-2626-08-2024CUST-3787Mira DasHome OfficeNorthUttar PradeshNoidaOFFICE SUPPLIESBindersPrime Binders 735First Class7844.590.15320.923041.52279.42PaidCompleted</v>
      </c>
      <c r="W182" s="2">
        <f t="shared" si="7"/>
        <v>1</v>
      </c>
      <c r="X182">
        <f t="shared" si="8"/>
        <v>1</v>
      </c>
    </row>
    <row r="183" spans="1:24">
      <c r="A183" s="2" t="s">
        <v>987</v>
      </c>
      <c r="B183" s="2" t="s">
        <v>988</v>
      </c>
      <c r="C183" s="2" t="s">
        <v>989</v>
      </c>
      <c r="D183" s="2" t="s">
        <v>990</v>
      </c>
      <c r="E183" s="2" t="s">
        <v>142</v>
      </c>
      <c r="F183" s="2" t="s">
        <v>115</v>
      </c>
      <c r="G183" s="2" t="s">
        <v>62</v>
      </c>
      <c r="H183" s="2" t="s">
        <v>339</v>
      </c>
      <c r="I183" s="2" t="s">
        <v>340</v>
      </c>
      <c r="J183" s="2" t="s">
        <v>30</v>
      </c>
      <c r="K183" s="2" t="s">
        <v>54</v>
      </c>
      <c r="L183" s="2" t="s">
        <v>991</v>
      </c>
      <c r="M183" s="2" t="s">
        <v>33</v>
      </c>
      <c r="N183" s="2">
        <v>4</v>
      </c>
      <c r="O183" s="2">
        <v>2551.4499999999998</v>
      </c>
      <c r="P183" s="2">
        <v>0</v>
      </c>
      <c r="Q183" s="2">
        <v>10205.799999999999</v>
      </c>
      <c r="R183" s="2">
        <v>5986.31</v>
      </c>
      <c r="S183" s="2">
        <v>4219.49</v>
      </c>
      <c r="T183" s="2" t="s">
        <v>34</v>
      </c>
      <c r="U183" s="2" t="s">
        <v>35</v>
      </c>
      <c r="V183" s="2" t="str">
        <f t="shared" si="6"/>
        <v>ORD-2025-1018209/09/202510-09-2025CUST-5119Priya MenonHome OfficeSouthTamil NaduChennaiOffice SuppliesArtPro Art 587Second Class42551.45010205.85986.314219.49PaidCompleted</v>
      </c>
      <c r="W183" s="2">
        <f t="shared" si="7"/>
        <v>1</v>
      </c>
      <c r="X183">
        <f t="shared" si="8"/>
        <v>1</v>
      </c>
    </row>
    <row r="184" spans="1:24">
      <c r="A184" s="2" t="s">
        <v>992</v>
      </c>
      <c r="B184" s="2" t="s">
        <v>299</v>
      </c>
      <c r="C184" s="2" t="s">
        <v>299</v>
      </c>
      <c r="D184" s="2" t="s">
        <v>993</v>
      </c>
      <c r="E184" s="2" t="s">
        <v>72</v>
      </c>
      <c r="F184" s="2" t="s">
        <v>115</v>
      </c>
      <c r="G184" s="2" t="s">
        <v>42</v>
      </c>
      <c r="H184" s="2" t="s">
        <v>186</v>
      </c>
      <c r="I184" s="2" t="s">
        <v>187</v>
      </c>
      <c r="J184" s="2" t="s">
        <v>86</v>
      </c>
      <c r="K184" s="2" t="s">
        <v>382</v>
      </c>
      <c r="L184" s="2" t="s">
        <v>994</v>
      </c>
      <c r="M184" s="2" t="s">
        <v>67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34</v>
      </c>
      <c r="U184" s="2" t="s">
        <v>35</v>
      </c>
      <c r="V184" s="2" t="str">
        <f t="shared" si="6"/>
        <v>ORD-2024-1018316 Oct 202416 Oct 2024CUST-4121Ananya RaoHome OfficeEastBiharPatnaTechnologyMachinesBasic Machines 575Standard Class7775.7705430.393707.661722.73PaidCompleted</v>
      </c>
      <c r="W184" s="2">
        <f t="shared" si="7"/>
        <v>1</v>
      </c>
      <c r="X184">
        <f t="shared" si="8"/>
        <v>1</v>
      </c>
    </row>
    <row r="185" spans="1:24">
      <c r="A185" s="2" t="s">
        <v>995</v>
      </c>
      <c r="B185" s="2" t="s">
        <v>996</v>
      </c>
      <c r="C185" s="2" t="s">
        <v>997</v>
      </c>
      <c r="D185" s="2" t="s">
        <v>998</v>
      </c>
      <c r="E185" s="2" t="s">
        <v>83</v>
      </c>
      <c r="F185" s="2" t="s">
        <v>115</v>
      </c>
      <c r="G185" s="2" t="s">
        <v>62</v>
      </c>
      <c r="H185" s="2" t="s">
        <v>63</v>
      </c>
      <c r="I185" s="2" t="s">
        <v>64</v>
      </c>
      <c r="J185" s="2" t="s">
        <v>86</v>
      </c>
      <c r="K185" s="2" t="s">
        <v>94</v>
      </c>
      <c r="L185" s="2" t="s">
        <v>999</v>
      </c>
      <c r="M185" s="2" t="s">
        <v>67</v>
      </c>
      <c r="N185" s="2">
        <v>7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34</v>
      </c>
      <c r="U185" s="2" t="s">
        <v>125</v>
      </c>
      <c r="V185" s="2" t="str">
        <f t="shared" si="6"/>
        <v>ORD-2025-101842025-06-2427-06-2025CUST-3366Vikram IyerHome OfficeSouthTelanganaHyderabadTechnologyCopiersElite Copiers 788Standard Class72304.860.212907.228327.894579.33PaidReturned</v>
      </c>
      <c r="W185" s="2">
        <f t="shared" si="7"/>
        <v>1</v>
      </c>
      <c r="X185">
        <f t="shared" si="8"/>
        <v>1</v>
      </c>
    </row>
    <row r="186" spans="1:24">
      <c r="A186" s="2" t="s">
        <v>1000</v>
      </c>
      <c r="B186" s="2" t="s">
        <v>1001</v>
      </c>
      <c r="C186" s="2" t="s">
        <v>348</v>
      </c>
      <c r="D186" s="2" t="s">
        <v>1002</v>
      </c>
      <c r="E186" s="2" t="s">
        <v>83</v>
      </c>
      <c r="F186" s="2" t="s">
        <v>108</v>
      </c>
      <c r="G186" s="2" t="s">
        <v>73</v>
      </c>
      <c r="H186" s="2" t="s">
        <v>84</v>
      </c>
      <c r="I186" s="2" t="s">
        <v>85</v>
      </c>
      <c r="J186" s="2" t="s">
        <v>45</v>
      </c>
      <c r="K186" s="2" t="s">
        <v>204</v>
      </c>
      <c r="L186" s="2" t="s">
        <v>1003</v>
      </c>
      <c r="M186" s="2" t="s">
        <v>67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124</v>
      </c>
      <c r="U186" s="2" t="s">
        <v>125</v>
      </c>
      <c r="V186" s="2" t="str">
        <f t="shared" si="6"/>
        <v>ORD-2024-101852024-04-022024-04-06CUST-1358Vikram IyerCorporateWestMadhya PradeshIndoreFurnitureBookcasesMax Bookcases 472Standard Class2888.9801777.961021.16756.8RefundedReturned</v>
      </c>
      <c r="W186" s="2">
        <f t="shared" si="7"/>
        <v>1</v>
      </c>
      <c r="X186">
        <f t="shared" si="8"/>
        <v>1</v>
      </c>
    </row>
    <row r="187" spans="1:24">
      <c r="A187" s="2" t="s">
        <v>1004</v>
      </c>
      <c r="B187" s="2" t="s">
        <v>104</v>
      </c>
      <c r="C187" s="2" t="s">
        <v>1005</v>
      </c>
      <c r="D187" s="2" t="s">
        <v>1006</v>
      </c>
      <c r="E187" s="2" t="s">
        <v>61</v>
      </c>
      <c r="F187" s="2" t="s">
        <v>26</v>
      </c>
      <c r="H187" s="2" t="s">
        <v>154</v>
      </c>
      <c r="I187" s="2" t="s">
        <v>155</v>
      </c>
      <c r="J187" s="2" t="s">
        <v>30</v>
      </c>
      <c r="K187" s="2" t="s">
        <v>109</v>
      </c>
      <c r="L187" s="2" t="s">
        <v>1007</v>
      </c>
      <c r="M187" s="2" t="s">
        <v>33</v>
      </c>
      <c r="N187" s="2">
        <v>2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267.79000000000002</v>
      </c>
      <c r="T187" s="2" t="s">
        <v>34</v>
      </c>
      <c r="U187" s="2" t="s">
        <v>35</v>
      </c>
      <c r="V187" s="2" t="str">
        <f t="shared" si="6"/>
        <v>ORD-2024-1018611/05/20242024-11-13CUST-4968Arjun BoseConsumerPunjabLudhianaOffice SuppliesLabelsSmart Labels 475Second Class21003.170.21605.071337.28267.79PaidCompleted</v>
      </c>
      <c r="W187" s="2">
        <f t="shared" si="7"/>
        <v>1</v>
      </c>
      <c r="X187">
        <f t="shared" si="8"/>
        <v>1</v>
      </c>
    </row>
    <row r="188" spans="1:24">
      <c r="A188" s="2" t="s">
        <v>1008</v>
      </c>
      <c r="B188" s="2" t="s">
        <v>332</v>
      </c>
      <c r="C188" s="2" t="s">
        <v>1009</v>
      </c>
      <c r="D188" s="2" t="s">
        <v>365</v>
      </c>
      <c r="E188" s="2" t="s">
        <v>83</v>
      </c>
      <c r="F188" s="2" t="s">
        <v>26</v>
      </c>
      <c r="G188" s="2" t="s">
        <v>62</v>
      </c>
      <c r="H188" s="2" t="s">
        <v>339</v>
      </c>
      <c r="I188" s="2" t="s">
        <v>340</v>
      </c>
      <c r="J188" s="2" t="s">
        <v>45</v>
      </c>
      <c r="K188" s="2" t="s">
        <v>46</v>
      </c>
      <c r="L188" s="2" t="s">
        <v>1010</v>
      </c>
      <c r="M188" s="2" t="s">
        <v>56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34</v>
      </c>
      <c r="U188" s="2" t="s">
        <v>35</v>
      </c>
      <c r="V188" s="2" t="str">
        <f t="shared" si="6"/>
        <v>ORD-2024-1018719-07-202420 Jul 2024CUST-2778Vikram IyerConsumerSouthTamil NaduChennaiFurnitureTablesBasic Tables 417First Class73608.430.0523996.0620167.283828.78PaidCompleted</v>
      </c>
      <c r="W188" s="2">
        <f t="shared" si="7"/>
        <v>1</v>
      </c>
      <c r="X188">
        <f t="shared" si="8"/>
        <v>1</v>
      </c>
    </row>
    <row r="189" spans="1:24">
      <c r="A189" s="2" t="s">
        <v>1011</v>
      </c>
      <c r="B189" s="2" t="s">
        <v>1012</v>
      </c>
      <c r="C189" s="2" t="s">
        <v>1013</v>
      </c>
      <c r="D189" s="2" t="s">
        <v>1014</v>
      </c>
      <c r="E189" s="2" t="s">
        <v>40</v>
      </c>
      <c r="F189" s="2" t="s">
        <v>26</v>
      </c>
      <c r="G189" s="2" t="s">
        <v>73</v>
      </c>
      <c r="H189" s="2" t="s">
        <v>84</v>
      </c>
      <c r="I189" s="2" t="s">
        <v>85</v>
      </c>
      <c r="J189" s="2" t="s">
        <v>45</v>
      </c>
      <c r="K189" s="2" t="s">
        <v>76</v>
      </c>
      <c r="L189" s="2" t="s">
        <v>1015</v>
      </c>
      <c r="M189" s="2" t="s">
        <v>48</v>
      </c>
      <c r="N189" s="2">
        <v>3</v>
      </c>
      <c r="O189" s="2">
        <v>2905.74</v>
      </c>
      <c r="P189" s="2">
        <v>0</v>
      </c>
      <c r="Q189" s="2">
        <v>8717.2199999999993</v>
      </c>
      <c r="R189" s="2">
        <v>6215.96</v>
      </c>
      <c r="S189" s="2">
        <v>2501.2600000000002</v>
      </c>
      <c r="T189" s="2" t="s">
        <v>34</v>
      </c>
      <c r="U189" s="2" t="s">
        <v>125</v>
      </c>
      <c r="V189" s="2" t="str">
        <f t="shared" si="6"/>
        <v>ORD-2025-101882025-05-0102 May 2025CUST-3109Mira DasConsumerWestMadhya PradeshIndoreFurnitureChairsPro Chairs 844Same Day32905.7408717.226215.962501.26PaidReturned</v>
      </c>
      <c r="W189" s="2">
        <f t="shared" si="7"/>
        <v>1</v>
      </c>
      <c r="X189">
        <f t="shared" si="8"/>
        <v>1</v>
      </c>
    </row>
    <row r="190" spans="1:24">
      <c r="A190" s="2" t="s">
        <v>1016</v>
      </c>
      <c r="B190" s="2" t="s">
        <v>1017</v>
      </c>
      <c r="C190" s="2" t="s">
        <v>1018</v>
      </c>
      <c r="D190" s="2" t="s">
        <v>1019</v>
      </c>
      <c r="E190" s="2" t="s">
        <v>142</v>
      </c>
      <c r="F190" s="2" t="s">
        <v>108</v>
      </c>
      <c r="G190" s="2" t="s">
        <v>42</v>
      </c>
      <c r="H190" s="2" t="s">
        <v>121</v>
      </c>
      <c r="I190" s="2" t="s">
        <v>122</v>
      </c>
      <c r="J190" s="2" t="s">
        <v>45</v>
      </c>
      <c r="K190" s="2" t="s">
        <v>204</v>
      </c>
      <c r="L190" s="2" t="s">
        <v>1020</v>
      </c>
      <c r="M190" s="2" t="s">
        <v>48</v>
      </c>
      <c r="N190" s="2">
        <v>2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34</v>
      </c>
      <c r="U190" s="2" t="s">
        <v>35</v>
      </c>
      <c r="V190" s="2" t="str">
        <f t="shared" si="6"/>
        <v>ORD-2025-101892025-05-2128 May 2025CUST-3422Priya MenonCorporateEastWest BengalKolkataFurnitureBookcasesElite Bookcases 883Same Day23559.570.16553.954923.091484.14PaidCompleted</v>
      </c>
      <c r="W190" s="2">
        <f t="shared" si="7"/>
        <v>1</v>
      </c>
      <c r="X190">
        <f t="shared" si="8"/>
        <v>1</v>
      </c>
    </row>
    <row r="191" spans="1:24">
      <c r="A191" s="2" t="s">
        <v>1021</v>
      </c>
      <c r="B191" s="2" t="s">
        <v>1022</v>
      </c>
      <c r="C191" s="2" t="s">
        <v>1023</v>
      </c>
      <c r="D191" s="2" t="s">
        <v>1024</v>
      </c>
      <c r="E191" s="2" t="s">
        <v>61</v>
      </c>
      <c r="F191" s="2" t="s">
        <v>26</v>
      </c>
      <c r="G191" s="2" t="s">
        <v>73</v>
      </c>
      <c r="H191" s="2" t="s">
        <v>28</v>
      </c>
      <c r="I191" s="2" t="s">
        <v>135</v>
      </c>
      <c r="J191" s="2" t="s">
        <v>45</v>
      </c>
      <c r="K191" s="2" t="s">
        <v>204</v>
      </c>
      <c r="L191" s="2" t="s">
        <v>1025</v>
      </c>
      <c r="M191" s="2" t="s">
        <v>56</v>
      </c>
      <c r="N191" s="2">
        <v>9</v>
      </c>
      <c r="O191" s="2">
        <v>3318.24</v>
      </c>
      <c r="Q191" s="2">
        <v>25384.54</v>
      </c>
      <c r="R191" s="2">
        <v>16872.39</v>
      </c>
      <c r="S191" s="2">
        <v>8512.15</v>
      </c>
      <c r="T191" s="2" t="s">
        <v>34</v>
      </c>
      <c r="U191" s="2" t="s">
        <v>1026</v>
      </c>
      <c r="V191" s="2" t="str">
        <f t="shared" si="6"/>
        <v>ORD-2025-101902025-05-0607 May 2025CUST-3375Arjun BoseConsumerWestRajasthanUdaipurFurnitureBookcasesBasic Bookcases 754First Class93318.2425384.5416872.398512.15Paidcompleted</v>
      </c>
      <c r="W191" s="2">
        <f t="shared" si="7"/>
        <v>1</v>
      </c>
      <c r="X191">
        <f t="shared" si="8"/>
        <v>1</v>
      </c>
    </row>
    <row r="192" spans="1:24">
      <c r="A192" s="2" t="s">
        <v>1027</v>
      </c>
      <c r="B192" s="2" t="s">
        <v>1028</v>
      </c>
      <c r="C192" s="2" t="s">
        <v>1029</v>
      </c>
      <c r="D192" s="2" t="s">
        <v>1030</v>
      </c>
      <c r="E192" s="2" t="s">
        <v>107</v>
      </c>
      <c r="F192" s="2" t="s">
        <v>26</v>
      </c>
      <c r="G192" s="2" t="s">
        <v>62</v>
      </c>
      <c r="H192" s="2" t="s">
        <v>339</v>
      </c>
      <c r="I192" s="2" t="s">
        <v>340</v>
      </c>
      <c r="J192" s="2" t="s">
        <v>30</v>
      </c>
      <c r="K192" s="2" t="s">
        <v>156</v>
      </c>
      <c r="L192" s="2" t="s">
        <v>1031</v>
      </c>
      <c r="M192" s="2" t="s">
        <v>56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34</v>
      </c>
      <c r="U192" s="2" t="s">
        <v>35</v>
      </c>
      <c r="V192" s="2" t="str">
        <f t="shared" si="6"/>
        <v>ORD-2025-1019120-04-202504/21/2025CUST-5138Aditi SenConsumerSouthTamil NaduChennaiOffice SuppliesStorageEco Storage 158First Class3540.090.11458.24943.32514.92PaidCompleted</v>
      </c>
      <c r="W192" s="2">
        <f t="shared" si="7"/>
        <v>1</v>
      </c>
      <c r="X192">
        <f t="shared" si="8"/>
        <v>1</v>
      </c>
    </row>
    <row r="193" spans="1:24">
      <c r="A193" s="2" t="s">
        <v>1032</v>
      </c>
      <c r="B193" s="2" t="s">
        <v>1033</v>
      </c>
      <c r="C193" s="2" t="s">
        <v>645</v>
      </c>
      <c r="D193" s="2" t="s">
        <v>1034</v>
      </c>
      <c r="E193" s="2" t="s">
        <v>168</v>
      </c>
      <c r="F193" s="2" t="s">
        <v>41</v>
      </c>
      <c r="G193" s="2" t="s">
        <v>62</v>
      </c>
      <c r="H193" s="2" t="s">
        <v>339</v>
      </c>
      <c r="I193" s="2" t="s">
        <v>340</v>
      </c>
      <c r="J193" s="2" t="s">
        <v>45</v>
      </c>
      <c r="K193" s="2" t="s">
        <v>204</v>
      </c>
      <c r="L193" s="2" t="s">
        <v>1035</v>
      </c>
      <c r="M193" s="2" t="s">
        <v>33</v>
      </c>
      <c r="N193" s="2">
        <v>6</v>
      </c>
      <c r="O193" s="2">
        <v>4308.3999999999996</v>
      </c>
      <c r="P193" s="2">
        <v>0.65</v>
      </c>
      <c r="Q193" s="2">
        <v>25850.400000000001</v>
      </c>
      <c r="R193" s="2">
        <v>19397.68</v>
      </c>
      <c r="S193" s="2">
        <v>6452.72</v>
      </c>
      <c r="T193" s="2" t="s">
        <v>34</v>
      </c>
      <c r="U193" s="2" t="s">
        <v>35</v>
      </c>
      <c r="V193" s="2" t="str">
        <f t="shared" si="6"/>
        <v>ORD-2024-1019219-10-20242024-10-24CUST-7410Sneha KapoorSmall BusinessSouthTamil NaduChennaiFurnitureBookcasesPrime Bookcases 602Second Class64308.40.6525850.419397.686452.72PaidCompleted</v>
      </c>
      <c r="W193" s="2">
        <f t="shared" si="7"/>
        <v>1</v>
      </c>
      <c r="X193">
        <f t="shared" si="8"/>
        <v>1</v>
      </c>
    </row>
    <row r="194" spans="1:24">
      <c r="A194" s="2" t="s">
        <v>1036</v>
      </c>
      <c r="B194" s="2" t="s">
        <v>1037</v>
      </c>
      <c r="C194" s="2" t="s">
        <v>1038</v>
      </c>
      <c r="D194" s="2" t="s">
        <v>1039</v>
      </c>
      <c r="E194" s="2" t="s">
        <v>53</v>
      </c>
      <c r="F194" s="2" t="s">
        <v>115</v>
      </c>
      <c r="G194" s="2" t="s">
        <v>73</v>
      </c>
      <c r="H194" s="2" t="s">
        <v>235</v>
      </c>
      <c r="I194" s="2" t="s">
        <v>236</v>
      </c>
      <c r="J194" s="2" t="s">
        <v>45</v>
      </c>
      <c r="K194" s="2" t="s">
        <v>76</v>
      </c>
      <c r="L194" s="2" t="s">
        <v>1040</v>
      </c>
      <c r="M194" s="2" t="s">
        <v>56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34</v>
      </c>
      <c r="U194" s="2" t="s">
        <v>35</v>
      </c>
      <c r="V194" s="2" t="str">
        <f t="shared" si="6"/>
        <v>ORD-2024-101932024-12-0912/16/2024CUST-7115Isha NairHome OfficeWestGujaratAhmedabadFurnitureChairsEco Chairs 438First Class42191.0308764.127220.051544.07PaidCompleted</v>
      </c>
      <c r="W194" s="2">
        <f t="shared" si="7"/>
        <v>1</v>
      </c>
      <c r="X194">
        <f t="shared" si="8"/>
        <v>1</v>
      </c>
    </row>
    <row r="195" spans="1:24">
      <c r="A195" s="2" t="s">
        <v>1041</v>
      </c>
      <c r="B195" s="2" t="s">
        <v>1042</v>
      </c>
      <c r="C195" s="2" t="s">
        <v>1043</v>
      </c>
      <c r="D195" s="2" t="s">
        <v>1044</v>
      </c>
      <c r="E195" s="2" t="s">
        <v>142</v>
      </c>
      <c r="F195" s="2" t="s">
        <v>41</v>
      </c>
      <c r="G195" s="2" t="s">
        <v>27</v>
      </c>
      <c r="H195" s="2" t="s">
        <v>154</v>
      </c>
      <c r="I195" s="2" t="s">
        <v>155</v>
      </c>
      <c r="J195" s="2" t="s">
        <v>86</v>
      </c>
      <c r="K195" s="2" t="s">
        <v>94</v>
      </c>
      <c r="L195" s="2" t="s">
        <v>1045</v>
      </c>
      <c r="M195" s="2" t="s">
        <v>48</v>
      </c>
      <c r="N195" s="2">
        <v>6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124</v>
      </c>
      <c r="U195" s="2" t="s">
        <v>125</v>
      </c>
      <c r="V195" s="2" t="str">
        <f t="shared" ref="V195:V258" si="9">_xlfn.CONCAT(A195:U195)</f>
        <v>ORD-2024-101942024-06-2328-06-2024CUST-9853Priya MenonSmall BusinessNorthPunjabLudhianaTechnologyCopiersPrime Copiers 142Same Day61956.630.29391.826013.223378.6RefundedReturned</v>
      </c>
      <c r="W195" s="2">
        <f t="shared" ref="W195:W258" si="10">COUNTIF($V$2:$V$933,V195)</f>
        <v>1</v>
      </c>
      <c r="X195">
        <f t="shared" ref="X195:X258" si="11">COUNTIF($A$2:$A$933,A195)</f>
        <v>1</v>
      </c>
    </row>
    <row r="196" spans="1:24">
      <c r="A196" s="2" t="s">
        <v>1046</v>
      </c>
      <c r="B196" s="2" t="s">
        <v>1047</v>
      </c>
      <c r="C196" s="2" t="s">
        <v>1048</v>
      </c>
      <c r="D196" s="2" t="s">
        <v>1049</v>
      </c>
      <c r="E196" s="2" t="s">
        <v>142</v>
      </c>
      <c r="F196" s="2" t="s">
        <v>26</v>
      </c>
      <c r="G196" s="2" t="s">
        <v>1050</v>
      </c>
      <c r="H196" s="2" t="s">
        <v>74</v>
      </c>
      <c r="I196" s="2" t="s">
        <v>75</v>
      </c>
      <c r="J196" s="2" t="s">
        <v>45</v>
      </c>
      <c r="K196" s="2" t="s">
        <v>65</v>
      </c>
      <c r="L196" s="2" t="s">
        <v>1051</v>
      </c>
      <c r="M196" s="2" t="s">
        <v>56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137</v>
      </c>
      <c r="U196" s="2" t="s">
        <v>125</v>
      </c>
      <c r="V196" s="2" t="str">
        <f t="shared" si="9"/>
        <v>ORD-2025-101952025-01-2801/31/2025CUST-3637Priya MenonConsumerWESTMaharashtraMumbaiFurnitureFurnishingsPrime Furnishings 433First Class9858.390.057339.235434.121905.11PendingReturned</v>
      </c>
      <c r="W196" s="2">
        <f t="shared" si="10"/>
        <v>1</v>
      </c>
      <c r="X196">
        <f t="shared" si="11"/>
        <v>1</v>
      </c>
    </row>
    <row r="197" spans="1:24">
      <c r="A197" s="2" t="s">
        <v>1052</v>
      </c>
      <c r="B197" s="2" t="s">
        <v>1053</v>
      </c>
      <c r="C197" s="2" t="s">
        <v>1054</v>
      </c>
      <c r="D197" s="2" t="s">
        <v>1055</v>
      </c>
      <c r="E197" s="2" t="s">
        <v>93</v>
      </c>
      <c r="F197" s="2" t="s">
        <v>115</v>
      </c>
      <c r="G197" s="2" t="s">
        <v>62</v>
      </c>
      <c r="H197" s="2" t="s">
        <v>100</v>
      </c>
      <c r="I197" s="2" t="s">
        <v>101</v>
      </c>
      <c r="J197" s="2" t="s">
        <v>45</v>
      </c>
      <c r="K197" s="2" t="s">
        <v>65</v>
      </c>
      <c r="L197" s="2" t="s">
        <v>1056</v>
      </c>
      <c r="M197" s="2" t="s">
        <v>48</v>
      </c>
      <c r="N197" s="2">
        <v>5</v>
      </c>
      <c r="O197" s="2">
        <v>1922.83</v>
      </c>
      <c r="P197" s="2">
        <v>0</v>
      </c>
      <c r="Q197" s="2">
        <v>9614.15</v>
      </c>
      <c r="R197" s="2">
        <v>7576.84</v>
      </c>
      <c r="S197" s="2">
        <v>2037.31</v>
      </c>
      <c r="T197" s="2" t="s">
        <v>34</v>
      </c>
      <c r="U197" s="2" t="s">
        <v>35</v>
      </c>
      <c r="V197" s="2" t="str">
        <f t="shared" si="9"/>
        <v>ORD-2025-1019622 Jul 202507/24/2025CUST-4328Neha GuptaHome OfficeSouthAndhra PradeshVijayawadaFurnitureFurnishingsSmart Furnishings 685Same Day51922.8309614.157576.842037.31PaidCompleted</v>
      </c>
      <c r="W197" s="2">
        <f t="shared" si="10"/>
        <v>1</v>
      </c>
      <c r="X197">
        <f t="shared" si="11"/>
        <v>1</v>
      </c>
    </row>
    <row r="198" spans="1:24">
      <c r="A198" s="2" t="s">
        <v>1057</v>
      </c>
      <c r="B198" s="2" t="s">
        <v>1058</v>
      </c>
      <c r="C198" s="2" t="s">
        <v>1059</v>
      </c>
      <c r="D198" s="2" t="s">
        <v>1060</v>
      </c>
      <c r="E198" s="2" t="s">
        <v>366</v>
      </c>
      <c r="F198" s="2" t="s">
        <v>115</v>
      </c>
      <c r="G198" s="2" t="s">
        <v>27</v>
      </c>
      <c r="H198" s="2" t="s">
        <v>174</v>
      </c>
      <c r="I198" s="2" t="s">
        <v>175</v>
      </c>
      <c r="J198" s="2" t="s">
        <v>30</v>
      </c>
      <c r="K198" s="2" t="s">
        <v>156</v>
      </c>
      <c r="L198" s="2" t="s">
        <v>1061</v>
      </c>
      <c r="M198" s="2" t="s">
        <v>56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34</v>
      </c>
      <c r="U198" s="2" t="s">
        <v>35</v>
      </c>
      <c r="V198" s="2" t="str">
        <f t="shared" si="9"/>
        <v>ORD-2024-1019722-01-202425 Jan 2024CUST-8028Kabir SinghHome OfficeNorthUttar PradeshNoidaOffice SuppliesStorageElite Storage 915First Class31212.030.13272.482517.44755.04PaidCompleted</v>
      </c>
      <c r="W198" s="2">
        <f t="shared" si="10"/>
        <v>1</v>
      </c>
      <c r="X198">
        <f t="shared" si="11"/>
        <v>1</v>
      </c>
    </row>
    <row r="199" spans="1:24">
      <c r="A199" s="2" t="s">
        <v>1062</v>
      </c>
      <c r="B199" s="2" t="s">
        <v>369</v>
      </c>
      <c r="C199" s="2" t="s">
        <v>1063</v>
      </c>
      <c r="D199" s="2" t="s">
        <v>564</v>
      </c>
      <c r="E199" s="2" t="s">
        <v>148</v>
      </c>
      <c r="F199" s="2" t="s">
        <v>701</v>
      </c>
      <c r="G199" s="2" t="s">
        <v>42</v>
      </c>
      <c r="H199" s="2" t="s">
        <v>186</v>
      </c>
      <c r="I199" s="2" t="s">
        <v>187</v>
      </c>
      <c r="J199" s="2" t="s">
        <v>30</v>
      </c>
      <c r="K199" s="2" t="s">
        <v>156</v>
      </c>
      <c r="L199" s="2" t="s">
        <v>1064</v>
      </c>
      <c r="M199" s="2" t="s">
        <v>33</v>
      </c>
      <c r="N199" s="2">
        <v>5</v>
      </c>
      <c r="O199" s="2">
        <v>4096.4399999999996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34</v>
      </c>
      <c r="U199" s="2" t="s">
        <v>35</v>
      </c>
      <c r="V199" s="2" t="str">
        <f t="shared" si="9"/>
        <v>ORD-2025-1019831 Mar 202507-04-2025CUST-6106Rahul VermaSmall  BusinessEastBiharPatnaOffice SuppliesStorageBasic Storage 961Second Class54096.440.1517409.8714076.253333.62PaidCompleted</v>
      </c>
      <c r="W199" s="2">
        <f t="shared" si="10"/>
        <v>1</v>
      </c>
      <c r="X199">
        <f t="shared" si="11"/>
        <v>1</v>
      </c>
    </row>
    <row r="200" spans="1:24">
      <c r="A200" s="2" t="s">
        <v>1065</v>
      </c>
      <c r="B200" s="2" t="s">
        <v>1066</v>
      </c>
      <c r="C200" s="2" t="s">
        <v>1067</v>
      </c>
      <c r="D200" s="2" t="s">
        <v>1068</v>
      </c>
      <c r="E200" s="2" t="s">
        <v>168</v>
      </c>
      <c r="F200" s="2" t="s">
        <v>26</v>
      </c>
      <c r="G200" s="2" t="s">
        <v>73</v>
      </c>
      <c r="H200" s="2" t="s">
        <v>235</v>
      </c>
      <c r="I200" s="2" t="s">
        <v>236</v>
      </c>
      <c r="J200" s="2" t="s">
        <v>30</v>
      </c>
      <c r="K200" s="2" t="s">
        <v>54</v>
      </c>
      <c r="L200" s="2" t="s">
        <v>1069</v>
      </c>
      <c r="M200" s="2" t="s">
        <v>33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200</v>
      </c>
      <c r="U200" s="2" t="s">
        <v>78</v>
      </c>
      <c r="V200" s="2" t="str">
        <f t="shared" si="9"/>
        <v>ORD-2024-1019905-06-202406/06/2024CUST-7820Sneha KapoorConsumerWestGujaratAhmedabadOffice SuppliesArtClassic Art 968Second Class11184.580.051125.35676.97448.38FailedCancelled</v>
      </c>
      <c r="W200" s="2">
        <f t="shared" si="10"/>
        <v>1</v>
      </c>
      <c r="X200">
        <f t="shared" si="11"/>
        <v>1</v>
      </c>
    </row>
    <row r="201" spans="1:24">
      <c r="A201" s="2" t="s">
        <v>1070</v>
      </c>
      <c r="B201" s="2" t="s">
        <v>303</v>
      </c>
      <c r="C201" s="2" t="s">
        <v>1071</v>
      </c>
      <c r="D201" s="2" t="s">
        <v>1072</v>
      </c>
      <c r="E201" s="2" t="s">
        <v>148</v>
      </c>
      <c r="F201" s="2" t="s">
        <v>115</v>
      </c>
      <c r="G201" s="2" t="s">
        <v>42</v>
      </c>
      <c r="H201" s="2" t="s">
        <v>186</v>
      </c>
      <c r="I201" s="2" t="s">
        <v>187</v>
      </c>
      <c r="J201" s="2" t="s">
        <v>86</v>
      </c>
      <c r="K201" s="2" t="s">
        <v>382</v>
      </c>
      <c r="L201" s="2" t="s">
        <v>1073</v>
      </c>
      <c r="N201" s="2">
        <v>6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34</v>
      </c>
      <c r="U201" s="2" t="s">
        <v>35</v>
      </c>
      <c r="V201" s="2" t="str">
        <f t="shared" si="9"/>
        <v>ORD-2024-1020003/12/202412-03-2024CUST-4536Rahul VermaHome OfficeEastBiharPatnaTechnologyMachinesPrime Machines 80662185.580.259835.115437.644397.47PaidCompleted</v>
      </c>
      <c r="W201" s="2">
        <f t="shared" si="10"/>
        <v>1</v>
      </c>
      <c r="X201">
        <f t="shared" si="11"/>
        <v>1</v>
      </c>
    </row>
    <row r="202" spans="1:24">
      <c r="A202" s="2" t="s">
        <v>1074</v>
      </c>
      <c r="B202" s="2" t="s">
        <v>997</v>
      </c>
      <c r="C202" s="2" t="s">
        <v>1075</v>
      </c>
      <c r="D202" s="2" t="s">
        <v>1076</v>
      </c>
      <c r="E202" s="2" t="s">
        <v>142</v>
      </c>
      <c r="F202" s="2" t="s">
        <v>41</v>
      </c>
      <c r="G202" s="2" t="s">
        <v>27</v>
      </c>
      <c r="H202" s="2" t="s">
        <v>28</v>
      </c>
      <c r="I202" s="2" t="s">
        <v>29</v>
      </c>
      <c r="J202" s="2" t="s">
        <v>86</v>
      </c>
      <c r="K202" s="2" t="s">
        <v>94</v>
      </c>
      <c r="L202" s="2" t="s">
        <v>1077</v>
      </c>
      <c r="M202" s="2" t="s">
        <v>56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137</v>
      </c>
      <c r="U202" s="2" t="s">
        <v>78</v>
      </c>
      <c r="V202" s="2" t="str">
        <f t="shared" si="9"/>
        <v>ORD-2025-1020127-06-202505 Jul 2025CUST-7047Priya MenonSmall BusinessNorthRajasthanJaipurTechnologyCopiersClassic Copiers 479First Class52868.440.112907.989197.083710.9PendingCancelled</v>
      </c>
      <c r="W202" s="2">
        <f t="shared" si="10"/>
        <v>1</v>
      </c>
      <c r="X202">
        <f t="shared" si="11"/>
        <v>1</v>
      </c>
    </row>
    <row r="203" spans="1:24">
      <c r="A203" s="2" t="s">
        <v>1078</v>
      </c>
      <c r="B203" s="2" t="s">
        <v>1079</v>
      </c>
      <c r="C203" s="2" t="s">
        <v>1080</v>
      </c>
      <c r="D203" s="2" t="s">
        <v>1081</v>
      </c>
      <c r="E203" s="2" t="s">
        <v>83</v>
      </c>
      <c r="F203" s="2" t="s">
        <v>26</v>
      </c>
      <c r="G203" s="2" t="s">
        <v>73</v>
      </c>
      <c r="H203" s="2" t="s">
        <v>84</v>
      </c>
      <c r="I203" s="2" t="s">
        <v>85</v>
      </c>
      <c r="J203" s="2" t="s">
        <v>30</v>
      </c>
      <c r="K203" s="2" t="s">
        <v>109</v>
      </c>
      <c r="L203" s="2" t="s">
        <v>1082</v>
      </c>
      <c r="M203" s="2" t="s">
        <v>33</v>
      </c>
      <c r="N203" s="2">
        <v>2</v>
      </c>
      <c r="O203" s="2">
        <v>2503.5300000000002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124</v>
      </c>
      <c r="U203" s="2" t="s">
        <v>78</v>
      </c>
      <c r="V203" s="2" t="str">
        <f t="shared" si="9"/>
        <v>ORD-2025-1020226-07-202508/03/2025CUST-8005Vikram IyerConsumerWestMadhya PradeshIndoreOffice SuppliesLabelsBasic Labels 511Second Class22503.53-0.164756.712954.861801.85RefundedCancelled</v>
      </c>
      <c r="W203" s="2">
        <f t="shared" si="10"/>
        <v>1</v>
      </c>
      <c r="X203">
        <f t="shared" si="11"/>
        <v>1</v>
      </c>
    </row>
    <row r="204" spans="1:24">
      <c r="A204" s="2" t="s">
        <v>1083</v>
      </c>
      <c r="B204" s="2" t="s">
        <v>1084</v>
      </c>
      <c r="C204" s="2" t="s">
        <v>1085</v>
      </c>
      <c r="D204" s="2" t="s">
        <v>1086</v>
      </c>
      <c r="E204" s="2" t="s">
        <v>168</v>
      </c>
      <c r="F204" s="2" t="s">
        <v>108</v>
      </c>
      <c r="G204" s="2" t="s">
        <v>73</v>
      </c>
      <c r="H204" s="2" t="s">
        <v>249</v>
      </c>
      <c r="I204" s="2" t="s">
        <v>250</v>
      </c>
      <c r="J204" s="2" t="s">
        <v>86</v>
      </c>
      <c r="K204" s="2" t="s">
        <v>87</v>
      </c>
      <c r="L204" s="2" t="s">
        <v>1087</v>
      </c>
      <c r="M204" s="2" t="s">
        <v>67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34</v>
      </c>
      <c r="U204" s="2" t="s">
        <v>35</v>
      </c>
      <c r="V204" s="2" t="str">
        <f t="shared" si="9"/>
        <v>ORD-2025-102032025-03-2828 Mar 2025CUST-9378Sneha KapoorCorporateWestGoaPanajiTechnologyAccessoriesPrime Accessories 733Standard Class81740.940.0513231.1411290.061941.08PaidCompleted</v>
      </c>
      <c r="W204" s="2">
        <f t="shared" si="10"/>
        <v>1</v>
      </c>
      <c r="X204">
        <f t="shared" si="11"/>
        <v>1</v>
      </c>
    </row>
    <row r="205" spans="1:24">
      <c r="A205" s="2" t="s">
        <v>1088</v>
      </c>
      <c r="B205" s="2" t="s">
        <v>1089</v>
      </c>
      <c r="C205" s="2" t="s">
        <v>1090</v>
      </c>
      <c r="D205" s="2" t="s">
        <v>1091</v>
      </c>
      <c r="E205" s="2" t="s">
        <v>168</v>
      </c>
      <c r="F205" s="2" t="s">
        <v>108</v>
      </c>
      <c r="G205" s="2" t="s">
        <v>73</v>
      </c>
      <c r="H205" s="2" t="s">
        <v>28</v>
      </c>
      <c r="I205" s="2" t="s">
        <v>135</v>
      </c>
      <c r="J205" s="2" t="s">
        <v>86</v>
      </c>
      <c r="K205" s="2" t="s">
        <v>87</v>
      </c>
      <c r="L205" s="2" t="s">
        <v>1092</v>
      </c>
      <c r="M205" s="2" t="s">
        <v>33</v>
      </c>
      <c r="N205" s="2">
        <v>1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34</v>
      </c>
      <c r="U205" s="2" t="s">
        <v>35</v>
      </c>
      <c r="V205" s="2" t="str">
        <f t="shared" si="9"/>
        <v>ORD-2024-1020428 Mar 20242024-03-30CUST-3384Sneha KapoorCorporateWestRajasthanUdaipurTechnologyAccessoriesMax Accessories 186Second Class1570.340.15484.79333.54151.25PaidCompleted</v>
      </c>
      <c r="W205" s="2">
        <f t="shared" si="10"/>
        <v>1</v>
      </c>
      <c r="X205">
        <f t="shared" si="11"/>
        <v>1</v>
      </c>
    </row>
    <row r="206" spans="1:24">
      <c r="A206" s="2" t="s">
        <v>1093</v>
      </c>
      <c r="B206" s="2" t="s">
        <v>1094</v>
      </c>
      <c r="C206" s="2" t="s">
        <v>1095</v>
      </c>
      <c r="D206" s="2" t="s">
        <v>1096</v>
      </c>
      <c r="E206" s="2" t="s">
        <v>40</v>
      </c>
      <c r="F206" s="2" t="s">
        <v>115</v>
      </c>
      <c r="G206" s="2" t="s">
        <v>42</v>
      </c>
      <c r="H206" s="2" t="s">
        <v>121</v>
      </c>
      <c r="I206" s="2" t="s">
        <v>122</v>
      </c>
      <c r="J206" s="2" t="s">
        <v>45</v>
      </c>
      <c r="K206" s="2" t="s">
        <v>46</v>
      </c>
      <c r="L206" s="2" t="s">
        <v>1097</v>
      </c>
      <c r="M206" s="2" t="s">
        <v>33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34</v>
      </c>
      <c r="U206" s="2" t="s">
        <v>35</v>
      </c>
      <c r="V206" s="2" t="str">
        <f t="shared" si="9"/>
        <v>ORD-2025-1020520-07-20252025-07-23CUST-1986Mira DasHome OfficeEastWest BengalKolkataFurnitureTablesElite Tables 318Second Class4477.690.151624.151217.99406.16PaidCompleted</v>
      </c>
      <c r="W206" s="2">
        <f t="shared" si="10"/>
        <v>1</v>
      </c>
      <c r="X206">
        <f t="shared" si="11"/>
        <v>1</v>
      </c>
    </row>
    <row r="207" spans="1:24">
      <c r="A207" s="2" t="s">
        <v>1098</v>
      </c>
      <c r="B207" s="2" t="s">
        <v>1099</v>
      </c>
      <c r="C207" s="2" t="s">
        <v>1100</v>
      </c>
      <c r="D207" s="2" t="s">
        <v>1101</v>
      </c>
      <c r="E207" s="2" t="s">
        <v>72</v>
      </c>
      <c r="F207" s="2" t="s">
        <v>26</v>
      </c>
      <c r="G207" s="2" t="s">
        <v>73</v>
      </c>
      <c r="H207" s="2" t="s">
        <v>74</v>
      </c>
      <c r="I207" s="2" t="s">
        <v>75</v>
      </c>
      <c r="J207" s="2" t="s">
        <v>918</v>
      </c>
      <c r="K207" s="2" t="s">
        <v>109</v>
      </c>
      <c r="L207" s="2" t="s">
        <v>1102</v>
      </c>
      <c r="M207" s="2" t="s">
        <v>48</v>
      </c>
      <c r="N207" s="2">
        <v>6</v>
      </c>
      <c r="O207" s="2">
        <v>873.59</v>
      </c>
      <c r="P207" s="2">
        <v>0.2</v>
      </c>
      <c r="Q207" s="2">
        <v>4193.2299999999996</v>
      </c>
      <c r="R207" s="2">
        <v>3329.99</v>
      </c>
      <c r="S207" s="2">
        <v>863.24</v>
      </c>
      <c r="T207" s="2" t="s">
        <v>34</v>
      </c>
      <c r="U207" s="2" t="s">
        <v>35</v>
      </c>
      <c r="V207" s="2" t="str">
        <f t="shared" si="9"/>
        <v>ORD-2025-1020621-04-202504/26/2025CUST-3338Ananya RaoConsumerWestMaharashtraMumbaiOFFICE SUPPLIESLabelsSmart Labels 354Same Day6873.590.24193.233329.99863.24PaidCompleted</v>
      </c>
      <c r="W207" s="2">
        <f t="shared" si="10"/>
        <v>1</v>
      </c>
      <c r="X207">
        <f t="shared" si="11"/>
        <v>1</v>
      </c>
    </row>
    <row r="208" spans="1:24">
      <c r="A208" s="2" t="s">
        <v>1103</v>
      </c>
      <c r="B208" s="2" t="s">
        <v>1104</v>
      </c>
      <c r="C208" s="2" t="s">
        <v>118</v>
      </c>
      <c r="D208" s="2" t="s">
        <v>1105</v>
      </c>
      <c r="E208" s="2" t="s">
        <v>210</v>
      </c>
      <c r="F208" s="2" t="s">
        <v>41</v>
      </c>
      <c r="G208" s="2" t="s">
        <v>27</v>
      </c>
      <c r="H208" s="2" t="s">
        <v>174</v>
      </c>
      <c r="I208" s="2" t="s">
        <v>175</v>
      </c>
      <c r="J208" s="2" t="s">
        <v>45</v>
      </c>
      <c r="K208" s="2" t="s">
        <v>65</v>
      </c>
      <c r="L208" s="2" t="s">
        <v>1106</v>
      </c>
      <c r="M208" s="2" t="s">
        <v>56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34</v>
      </c>
      <c r="U208" s="2" t="s">
        <v>35</v>
      </c>
      <c r="V208" s="2" t="str">
        <f t="shared" si="9"/>
        <v>ORD-2025-1020705/18/202520 May 2025CUST-2343Diya PatelSmall BusinessNorthUttar PradeshNoidaFurnitureFurnishingsPro Furnishings 981First Class2215.130430.26286.38143.88PaidCompleted</v>
      </c>
      <c r="W208" s="2">
        <f t="shared" si="10"/>
        <v>1</v>
      </c>
      <c r="X208">
        <f t="shared" si="11"/>
        <v>1</v>
      </c>
    </row>
    <row r="209" spans="1:24">
      <c r="A209" s="2" t="s">
        <v>1107</v>
      </c>
      <c r="B209" s="2" t="s">
        <v>1108</v>
      </c>
      <c r="C209" s="2" t="s">
        <v>1109</v>
      </c>
      <c r="D209" s="2" t="s">
        <v>1110</v>
      </c>
      <c r="E209" s="2" t="s">
        <v>162</v>
      </c>
      <c r="F209" s="2" t="s">
        <v>115</v>
      </c>
      <c r="G209" s="2" t="s">
        <v>73</v>
      </c>
      <c r="H209" s="2" t="s">
        <v>249</v>
      </c>
      <c r="I209" s="2" t="s">
        <v>250</v>
      </c>
      <c r="J209" s="2" t="s">
        <v>45</v>
      </c>
      <c r="K209" s="2" t="s">
        <v>204</v>
      </c>
      <c r="L209" s="2" t="s">
        <v>1111</v>
      </c>
      <c r="M209" s="2" t="s">
        <v>33</v>
      </c>
      <c r="N209" s="2">
        <v>2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34</v>
      </c>
      <c r="U209" s="2" t="s">
        <v>35</v>
      </c>
      <c r="V209" s="2" t="str">
        <f t="shared" si="9"/>
        <v>ORD-2024-1020810 Jul 20242024-07-16CUST-3362Aarav SharmaHome OfficeWestGoaPanajiFurnitureBookcasesEco Bookcases 671Second Class21095.450.21752.72996.41756.31PaidCompleted</v>
      </c>
      <c r="W209" s="2">
        <f t="shared" si="10"/>
        <v>1</v>
      </c>
      <c r="X209">
        <f t="shared" si="11"/>
        <v>1</v>
      </c>
    </row>
    <row r="210" spans="1:24">
      <c r="A210" s="2" t="s">
        <v>1112</v>
      </c>
      <c r="B210" s="2" t="s">
        <v>1113</v>
      </c>
      <c r="C210" s="2" t="s">
        <v>1114</v>
      </c>
      <c r="D210" s="2" t="s">
        <v>1115</v>
      </c>
      <c r="E210" s="2" t="s">
        <v>210</v>
      </c>
      <c r="F210" s="2" t="s">
        <v>26</v>
      </c>
      <c r="G210" s="2" t="s">
        <v>27</v>
      </c>
      <c r="H210" s="2" t="s">
        <v>154</v>
      </c>
      <c r="I210" s="2" t="s">
        <v>155</v>
      </c>
      <c r="J210" s="2" t="s">
        <v>45</v>
      </c>
      <c r="K210" s="2" t="s">
        <v>76</v>
      </c>
      <c r="L210" s="2" t="s">
        <v>1116</v>
      </c>
      <c r="M210" s="2" t="s">
        <v>48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34</v>
      </c>
      <c r="U210" s="2" t="s">
        <v>35</v>
      </c>
      <c r="V210" s="2" t="str">
        <f t="shared" si="9"/>
        <v>ORD-2025-1020906/29/202505-07-2025CUST-3662Diya PatelConsumerNorthPunjabLudhianaFurnitureChairsMax Chairs 151Same Day1999.830999.83634.91364.92PaidCompleted</v>
      </c>
      <c r="W210" s="2">
        <f t="shared" si="10"/>
        <v>1</v>
      </c>
      <c r="X210">
        <f t="shared" si="11"/>
        <v>1</v>
      </c>
    </row>
    <row r="211" spans="1:24">
      <c r="A211" s="2" t="s">
        <v>1117</v>
      </c>
      <c r="B211" s="2" t="s">
        <v>1118</v>
      </c>
      <c r="C211" s="2" t="s">
        <v>1119</v>
      </c>
      <c r="D211" s="2" t="s">
        <v>1120</v>
      </c>
      <c r="E211" s="2" t="s">
        <v>180</v>
      </c>
      <c r="F211" s="2" t="s">
        <v>41</v>
      </c>
      <c r="G211" s="2" t="s">
        <v>62</v>
      </c>
      <c r="H211" s="2" t="s">
        <v>100</v>
      </c>
      <c r="I211" s="2" t="s">
        <v>101</v>
      </c>
      <c r="J211" s="2" t="s">
        <v>30</v>
      </c>
      <c r="K211" s="2" t="s">
        <v>31</v>
      </c>
      <c r="L211" s="2" t="s">
        <v>1121</v>
      </c>
      <c r="M211" s="2" t="s">
        <v>56</v>
      </c>
      <c r="N211" s="2">
        <v>9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34</v>
      </c>
      <c r="U211" s="2" t="s">
        <v>35</v>
      </c>
      <c r="V211" s="2" t="str">
        <f t="shared" si="9"/>
        <v>ORD-2025-1021008/13/202508/14/2025CUST-4947Rohan MehtaSmall BusinessSouthAndhra PradeshVijayawadaOffice SuppliesPaperPrime Paper 903First Class9864.980.17006.344640.882365.46PaidCompleted</v>
      </c>
      <c r="W211" s="2">
        <f t="shared" si="10"/>
        <v>1</v>
      </c>
      <c r="X211">
        <f t="shared" si="11"/>
        <v>1</v>
      </c>
    </row>
    <row r="212" spans="1:24">
      <c r="A212" s="2" t="s">
        <v>1122</v>
      </c>
      <c r="B212" s="2" t="s">
        <v>1123</v>
      </c>
      <c r="C212" s="2" t="s">
        <v>1124</v>
      </c>
      <c r="D212" s="2" t="s">
        <v>1125</v>
      </c>
      <c r="E212" s="2" t="s">
        <v>366</v>
      </c>
      <c r="F212" s="2" t="s">
        <v>115</v>
      </c>
      <c r="G212" s="2" t="s">
        <v>62</v>
      </c>
      <c r="H212" s="2" t="s">
        <v>229</v>
      </c>
      <c r="I212" s="2" t="s">
        <v>230</v>
      </c>
      <c r="J212" s="2" t="s">
        <v>86</v>
      </c>
      <c r="K212" s="2" t="s">
        <v>382</v>
      </c>
      <c r="L212" s="2" t="s">
        <v>1126</v>
      </c>
      <c r="M212" s="2" t="s">
        <v>33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200</v>
      </c>
      <c r="U212" s="2" t="s">
        <v>125</v>
      </c>
      <c r="V212" s="2" t="str">
        <f t="shared" si="9"/>
        <v>ORD-2024-1021103/15/202418-03-2024CUST-3076Kabir SinghHome OfficeSouthKarnatakaBengaluruTechnologyMachinesClassic Machines 944Second Class14131.3604131.362937.071194.29FailedReturned</v>
      </c>
      <c r="W212" s="2">
        <f t="shared" si="10"/>
        <v>1</v>
      </c>
      <c r="X212">
        <f t="shared" si="11"/>
        <v>1</v>
      </c>
    </row>
    <row r="213" spans="1:24">
      <c r="A213" s="2" t="s">
        <v>1127</v>
      </c>
      <c r="B213" s="2" t="s">
        <v>1128</v>
      </c>
      <c r="C213" s="2" t="s">
        <v>1129</v>
      </c>
      <c r="D213" s="2" t="s">
        <v>1130</v>
      </c>
      <c r="E213" s="2" t="s">
        <v>180</v>
      </c>
      <c r="F213" s="2" t="s">
        <v>108</v>
      </c>
      <c r="G213" s="2" t="s">
        <v>1131</v>
      </c>
      <c r="H213" s="2" t="s">
        <v>121</v>
      </c>
      <c r="I213" s="2" t="s">
        <v>122</v>
      </c>
      <c r="J213" s="2" t="s">
        <v>86</v>
      </c>
      <c r="K213" s="2" t="s">
        <v>94</v>
      </c>
      <c r="L213" s="2" t="s">
        <v>1132</v>
      </c>
      <c r="M213" s="2" t="s">
        <v>33</v>
      </c>
      <c r="N213" s="2">
        <v>8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34</v>
      </c>
      <c r="U213" s="2" t="s">
        <v>35</v>
      </c>
      <c r="V213" s="2" t="str">
        <f t="shared" si="9"/>
        <v>ORD-2024-1021205/16/202405/17/2024CUST-2222Rohan MehtaCorporateEASTWest BengalKolkataTechnologyCopiersBasic Copiers 222Second Class84221.950.227020.4822885.244135.24PaidCompleted</v>
      </c>
      <c r="W213" s="2">
        <f t="shared" si="10"/>
        <v>1</v>
      </c>
      <c r="X213">
        <f t="shared" si="11"/>
        <v>1</v>
      </c>
    </row>
    <row r="214" spans="1:24">
      <c r="A214" s="2" t="s">
        <v>1133</v>
      </c>
      <c r="B214" s="2" t="s">
        <v>1134</v>
      </c>
      <c r="C214" s="2" t="s">
        <v>1135</v>
      </c>
      <c r="D214" s="2" t="s">
        <v>1136</v>
      </c>
      <c r="E214" s="2" t="s">
        <v>72</v>
      </c>
      <c r="F214" s="2" t="s">
        <v>41</v>
      </c>
      <c r="G214" s="2" t="s">
        <v>42</v>
      </c>
      <c r="H214" s="2" t="s">
        <v>43</v>
      </c>
      <c r="I214" s="2" t="s">
        <v>44</v>
      </c>
      <c r="J214" s="2" t="s">
        <v>86</v>
      </c>
      <c r="K214" s="2" t="s">
        <v>223</v>
      </c>
      <c r="L214" s="2" t="s">
        <v>1137</v>
      </c>
      <c r="M214" s="2" t="s">
        <v>48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34</v>
      </c>
      <c r="U214" s="2" t="s">
        <v>35</v>
      </c>
      <c r="V214" s="2" t="str">
        <f t="shared" si="9"/>
        <v>ORD-2024-1021309/21/20242024-09-21CUST-3610Ananya RaoSmall BusinessEastOdishaBhubaneswarTechnologyPhonesMax Phones 329Same Day2214.50.15364.65280.7483.91PaidCompleted</v>
      </c>
      <c r="W214" s="2">
        <f t="shared" si="10"/>
        <v>1</v>
      </c>
      <c r="X214">
        <f t="shared" si="11"/>
        <v>1</v>
      </c>
    </row>
    <row r="215" spans="1:24">
      <c r="A215" s="2" t="s">
        <v>1138</v>
      </c>
      <c r="B215" s="2" t="s">
        <v>1139</v>
      </c>
      <c r="C215" s="2" t="s">
        <v>1140</v>
      </c>
      <c r="D215" s="2" t="s">
        <v>1141</v>
      </c>
      <c r="E215" s="2" t="s">
        <v>53</v>
      </c>
      <c r="F215" s="2" t="s">
        <v>41</v>
      </c>
      <c r="G215" s="2" t="s">
        <v>42</v>
      </c>
      <c r="H215" s="2" t="s">
        <v>186</v>
      </c>
      <c r="I215" s="2" t="s">
        <v>187</v>
      </c>
      <c r="J215" s="2" t="s">
        <v>86</v>
      </c>
      <c r="K215" s="2" t="s">
        <v>87</v>
      </c>
      <c r="L215" s="2" t="s">
        <v>1142</v>
      </c>
      <c r="M215" s="2" t="s">
        <v>33</v>
      </c>
      <c r="N215" s="2">
        <v>4</v>
      </c>
      <c r="O215" s="2">
        <v>4332.7299999999996</v>
      </c>
      <c r="P215" s="2">
        <v>0.2</v>
      </c>
      <c r="Q215" s="2">
        <v>13864.74</v>
      </c>
      <c r="R215" s="2">
        <v>11294.06</v>
      </c>
      <c r="S215" s="2">
        <v>2570.6799999999998</v>
      </c>
      <c r="T215" s="2" t="s">
        <v>34</v>
      </c>
      <c r="U215" s="2" t="s">
        <v>35</v>
      </c>
      <c r="V215" s="2" t="str">
        <f t="shared" si="9"/>
        <v>ORD-2024-1021415 May 202421-05-2024CUST-9136Isha NairSmall BusinessEastBiharPatnaTechnologyAccessoriesClassic Accessories 840Second Class44332.730.213864.7411294.062570.68PaidCompleted</v>
      </c>
      <c r="W215" s="2">
        <f t="shared" si="10"/>
        <v>1</v>
      </c>
      <c r="X215">
        <f t="shared" si="11"/>
        <v>1</v>
      </c>
    </row>
    <row r="216" spans="1:24">
      <c r="A216" s="2" t="s">
        <v>1143</v>
      </c>
      <c r="B216" s="2" t="s">
        <v>1144</v>
      </c>
      <c r="C216" s="2" t="s">
        <v>1145</v>
      </c>
      <c r="D216" s="2" t="s">
        <v>1146</v>
      </c>
      <c r="E216" s="2" t="s">
        <v>148</v>
      </c>
      <c r="F216" s="2" t="s">
        <v>26</v>
      </c>
      <c r="G216" s="2" t="s">
        <v>27</v>
      </c>
      <c r="H216" s="2" t="s">
        <v>323</v>
      </c>
      <c r="I216" s="2" t="s">
        <v>324</v>
      </c>
      <c r="J216" s="2" t="s">
        <v>86</v>
      </c>
      <c r="K216" s="2" t="s">
        <v>87</v>
      </c>
      <c r="L216" s="2" t="s">
        <v>1147</v>
      </c>
      <c r="M216" s="2" t="s">
        <v>56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34</v>
      </c>
      <c r="U216" s="2" t="s">
        <v>35</v>
      </c>
      <c r="V216" s="2" t="str">
        <f t="shared" si="9"/>
        <v>ORD-2024-1021517 Mar 202423-03-2024CUST-1301Rahul VermaConsumerNorthHaryanaGurugramTechnologyAccessoriesClassic Accessories 757First Class3248.180.05707.31569138.31PaidCompleted</v>
      </c>
      <c r="W216" s="2">
        <f t="shared" si="10"/>
        <v>1</v>
      </c>
      <c r="X216">
        <f t="shared" si="11"/>
        <v>1</v>
      </c>
    </row>
    <row r="217" spans="1:24">
      <c r="A217" s="2" t="s">
        <v>1148</v>
      </c>
      <c r="B217" s="2" t="s">
        <v>1149</v>
      </c>
      <c r="C217" s="2" t="s">
        <v>207</v>
      </c>
      <c r="D217" s="2" t="s">
        <v>1150</v>
      </c>
      <c r="E217" s="2" t="s">
        <v>40</v>
      </c>
      <c r="F217" s="2" t="s">
        <v>26</v>
      </c>
      <c r="G217" s="2" t="s">
        <v>73</v>
      </c>
      <c r="H217" s="2" t="s">
        <v>84</v>
      </c>
      <c r="I217" s="2" t="s">
        <v>85</v>
      </c>
      <c r="J217" s="2" t="s">
        <v>30</v>
      </c>
      <c r="K217" s="2" t="s">
        <v>31</v>
      </c>
      <c r="L217" s="2" t="s">
        <v>1151</v>
      </c>
      <c r="M217" s="2" t="s">
        <v>56</v>
      </c>
      <c r="N217" s="2">
        <v>8</v>
      </c>
      <c r="O217" s="2">
        <v>3202.4</v>
      </c>
      <c r="P217" s="2">
        <v>0.25</v>
      </c>
      <c r="Q217" s="2">
        <v>19214.400000000001</v>
      </c>
      <c r="R217" s="2">
        <v>10916.01</v>
      </c>
      <c r="S217" s="2">
        <v>8298.39</v>
      </c>
      <c r="T217" s="2" t="s">
        <v>34</v>
      </c>
      <c r="U217" s="2" t="s">
        <v>35</v>
      </c>
      <c r="V217" s="2" t="str">
        <f t="shared" si="9"/>
        <v>ORD-2024-1021601-03-20242024-03-04CUST-8603Mira DasConsumerWestMadhya PradeshIndoreOffice SuppliesPaperPrime Paper 286First Class83202.40.2519214.410916.018298.39PaidCompleted</v>
      </c>
      <c r="W217" s="2">
        <f t="shared" si="10"/>
        <v>1</v>
      </c>
      <c r="X217">
        <f t="shared" si="11"/>
        <v>1</v>
      </c>
    </row>
    <row r="218" spans="1:24">
      <c r="A218" s="2" t="s">
        <v>1152</v>
      </c>
      <c r="B218" s="2" t="s">
        <v>90</v>
      </c>
      <c r="C218" s="2" t="s">
        <v>1153</v>
      </c>
      <c r="D218" s="2" t="s">
        <v>1154</v>
      </c>
      <c r="E218" s="2" t="s">
        <v>53</v>
      </c>
      <c r="F218" s="2" t="s">
        <v>26</v>
      </c>
      <c r="G218" s="2" t="s">
        <v>73</v>
      </c>
      <c r="H218" s="2" t="s">
        <v>235</v>
      </c>
      <c r="I218" s="2" t="s">
        <v>236</v>
      </c>
      <c r="J218" s="2" t="s">
        <v>45</v>
      </c>
      <c r="K218" s="2" t="s">
        <v>46</v>
      </c>
      <c r="L218" s="2" t="s">
        <v>1155</v>
      </c>
      <c r="M218" s="2" t="s">
        <v>67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200</v>
      </c>
      <c r="U218" s="2" t="s">
        <v>125</v>
      </c>
      <c r="V218" s="2" t="str">
        <f t="shared" si="9"/>
        <v>ORD-2025-1021704/10/202515 Apr 2025CUST-4330Isha NairConsumerWestGujaratAhmedabadFurnitureTablesBasic Tables 400Standard Class81839.870.2511039.227642.913396.31FailedReturned</v>
      </c>
      <c r="W218" s="2">
        <f t="shared" si="10"/>
        <v>1</v>
      </c>
      <c r="X218">
        <f t="shared" si="11"/>
        <v>1</v>
      </c>
    </row>
    <row r="219" spans="1:24">
      <c r="A219" s="2" t="s">
        <v>1156</v>
      </c>
      <c r="B219" s="2" t="s">
        <v>1157</v>
      </c>
      <c r="C219" s="2" t="s">
        <v>1158</v>
      </c>
      <c r="D219" s="2" t="s">
        <v>1159</v>
      </c>
      <c r="E219" s="2" t="s">
        <v>107</v>
      </c>
      <c r="F219" s="2" t="s">
        <v>26</v>
      </c>
      <c r="G219" s="2" t="s">
        <v>42</v>
      </c>
      <c r="H219" s="2" t="s">
        <v>43</v>
      </c>
      <c r="I219" s="2" t="s">
        <v>44</v>
      </c>
      <c r="J219" s="2" t="s">
        <v>45</v>
      </c>
      <c r="K219" s="2" t="s">
        <v>204</v>
      </c>
      <c r="L219" s="2" t="s">
        <v>1160</v>
      </c>
      <c r="M219" s="2" t="s">
        <v>33</v>
      </c>
      <c r="N219" s="2">
        <v>5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124</v>
      </c>
      <c r="U219" s="2" t="s">
        <v>78</v>
      </c>
      <c r="V219" s="2" t="str">
        <f t="shared" si="9"/>
        <v>ORD-2025-1021801-04-202504/08/2025CUST-4533Aditi SenConsumerEastOdishaBhubaneswarFurnitureBookcasesBasic Bookcases 405Second Class51021.280.14595.763396.81198.96RefundedCancelled</v>
      </c>
      <c r="W219" s="2">
        <f t="shared" si="10"/>
        <v>1</v>
      </c>
      <c r="X219">
        <f t="shared" si="11"/>
        <v>1</v>
      </c>
    </row>
    <row r="220" spans="1:24">
      <c r="A220" s="2" t="s">
        <v>1161</v>
      </c>
      <c r="B220" s="2" t="s">
        <v>1162</v>
      </c>
      <c r="C220" s="2" t="s">
        <v>1163</v>
      </c>
      <c r="D220" s="2" t="s">
        <v>1164</v>
      </c>
      <c r="E220" s="2" t="s">
        <v>142</v>
      </c>
      <c r="F220" s="2" t="s">
        <v>108</v>
      </c>
      <c r="G220" s="2" t="s">
        <v>73</v>
      </c>
      <c r="H220" s="2" t="s">
        <v>235</v>
      </c>
      <c r="I220" s="2" t="s">
        <v>236</v>
      </c>
      <c r="J220" s="2" t="s">
        <v>45</v>
      </c>
      <c r="K220" s="2" t="s">
        <v>204</v>
      </c>
      <c r="L220" s="2" t="s">
        <v>1165</v>
      </c>
      <c r="M220" s="2" t="s">
        <v>67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34</v>
      </c>
      <c r="U220" s="2" t="s">
        <v>35</v>
      </c>
      <c r="V220" s="2" t="str">
        <f t="shared" si="9"/>
        <v>ORD-2025-1021926 Feb 202527-02-2025CUST-8270Priya MenonCorporateWestGujaratAhmedabadFurnitureBookcasesClassic Bookcases 139Standard Class5258.2801291.4756.93534.47PaidCompleted</v>
      </c>
      <c r="W220" s="2">
        <f t="shared" si="10"/>
        <v>1</v>
      </c>
      <c r="X220">
        <f t="shared" si="11"/>
        <v>1</v>
      </c>
    </row>
    <row r="221" spans="1:24">
      <c r="A221" s="2" t="s">
        <v>1166</v>
      </c>
      <c r="B221" s="2" t="s">
        <v>684</v>
      </c>
      <c r="C221" s="2" t="s">
        <v>1167</v>
      </c>
      <c r="D221" s="2" t="s">
        <v>1168</v>
      </c>
      <c r="E221" s="2" t="s">
        <v>148</v>
      </c>
      <c r="F221" s="2" t="s">
        <v>26</v>
      </c>
      <c r="G221" s="2" t="s">
        <v>42</v>
      </c>
      <c r="H221" s="2" t="s">
        <v>186</v>
      </c>
      <c r="I221" s="2" t="s">
        <v>187</v>
      </c>
      <c r="J221" s="2" t="s">
        <v>86</v>
      </c>
      <c r="K221" s="2" t="s">
        <v>382</v>
      </c>
      <c r="L221" s="2" t="s">
        <v>1169</v>
      </c>
      <c r="M221" s="2" t="s">
        <v>56</v>
      </c>
      <c r="N221" s="2">
        <v>2</v>
      </c>
      <c r="O221" s="2">
        <v>121.49</v>
      </c>
      <c r="P221" s="2" t="s">
        <v>1170</v>
      </c>
      <c r="Q221" s="2">
        <v>242.98</v>
      </c>
      <c r="R221" s="2">
        <v>161.41999999999999</v>
      </c>
      <c r="S221" s="2">
        <v>81.56</v>
      </c>
      <c r="T221" s="2" t="s">
        <v>34</v>
      </c>
      <c r="U221" s="2" t="s">
        <v>35</v>
      </c>
      <c r="V221" s="2" t="str">
        <f t="shared" si="9"/>
        <v>ORD-2024-102202024-06-1806/19/2024CUST-1472Rahul VermaConsumerEastBiharPatnaTechnologyMachinesElite Machines 290First Class2121.4985%242.98161.4281.56PaidCompleted</v>
      </c>
      <c r="W221" s="2">
        <f t="shared" si="10"/>
        <v>1</v>
      </c>
      <c r="X221">
        <f t="shared" si="11"/>
        <v>1</v>
      </c>
    </row>
    <row r="222" spans="1:24">
      <c r="A222" s="2" t="s">
        <v>1171</v>
      </c>
      <c r="B222" s="2" t="s">
        <v>1172</v>
      </c>
      <c r="C222" s="2" t="s">
        <v>1172</v>
      </c>
      <c r="D222" s="2" t="s">
        <v>1173</v>
      </c>
      <c r="E222" s="2" t="s">
        <v>168</v>
      </c>
      <c r="F222" s="2" t="s">
        <v>26</v>
      </c>
      <c r="G222" s="2" t="s">
        <v>62</v>
      </c>
      <c r="H222" s="2" t="s">
        <v>242</v>
      </c>
      <c r="I222" s="2" t="s">
        <v>243</v>
      </c>
      <c r="J222" s="2" t="s">
        <v>30</v>
      </c>
      <c r="K222" s="2" t="s">
        <v>156</v>
      </c>
      <c r="L222" s="2" t="s">
        <v>1174</v>
      </c>
      <c r="M222" s="2" t="s">
        <v>56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124</v>
      </c>
      <c r="U222" s="2" t="s">
        <v>78</v>
      </c>
      <c r="V222" s="2" t="str">
        <f t="shared" si="9"/>
        <v>ORD-2024-1022109/03/202409/03/2024CUST-1031Sneha KapoorConsumerSouthKeralaKochiOffice SuppliesStorageElite Storage 925First Class42810.170.159554.586068.473486.11RefundedCancelled</v>
      </c>
      <c r="W222" s="2">
        <f t="shared" si="10"/>
        <v>1</v>
      </c>
      <c r="X222">
        <f t="shared" si="11"/>
        <v>1</v>
      </c>
    </row>
    <row r="223" spans="1:24">
      <c r="A223" s="2" t="s">
        <v>1175</v>
      </c>
      <c r="B223" s="2" t="s">
        <v>1176</v>
      </c>
      <c r="C223" s="2" t="s">
        <v>1177</v>
      </c>
      <c r="D223" s="2" t="s">
        <v>1178</v>
      </c>
      <c r="E223" s="2" t="s">
        <v>40</v>
      </c>
      <c r="F223" s="2" t="s">
        <v>108</v>
      </c>
      <c r="G223" s="2" t="s">
        <v>62</v>
      </c>
      <c r="H223" s="2" t="s">
        <v>229</v>
      </c>
      <c r="I223" s="2" t="s">
        <v>230</v>
      </c>
      <c r="J223" s="2" t="s">
        <v>45</v>
      </c>
      <c r="K223" s="2" t="s">
        <v>76</v>
      </c>
      <c r="L223" s="2" t="s">
        <v>1179</v>
      </c>
      <c r="M223" s="2" t="s">
        <v>48</v>
      </c>
      <c r="N223" s="2">
        <v>4</v>
      </c>
      <c r="O223" s="2">
        <v>1531.53</v>
      </c>
      <c r="P223" s="2">
        <v>0.2</v>
      </c>
      <c r="Q223" s="2">
        <v>4900.8999999999996</v>
      </c>
      <c r="R223" s="2">
        <v>3552.69</v>
      </c>
      <c r="S223" s="2">
        <v>1348.21</v>
      </c>
      <c r="T223" s="2" t="s">
        <v>34</v>
      </c>
      <c r="U223" s="2" t="s">
        <v>35</v>
      </c>
      <c r="V223" s="2" t="str">
        <f t="shared" si="9"/>
        <v>ORD-2025-1022212-01-20252025-01-15CUST-2495Mira DasCorporateSouthKarnatakaBengaluruFurnitureChairsClassic Chairs 231Same Day41531.530.24900.93552.691348.21PaidCompleted</v>
      </c>
      <c r="W223" s="2">
        <f t="shared" si="10"/>
        <v>1</v>
      </c>
      <c r="X223">
        <f t="shared" si="11"/>
        <v>1</v>
      </c>
    </row>
    <row r="224" spans="1:24">
      <c r="A224" s="2" t="s">
        <v>1180</v>
      </c>
      <c r="B224" s="2" t="s">
        <v>1181</v>
      </c>
      <c r="C224" s="2" t="s">
        <v>1013</v>
      </c>
      <c r="D224" s="2" t="s">
        <v>1182</v>
      </c>
      <c r="E224" s="2" t="s">
        <v>83</v>
      </c>
      <c r="F224" s="2" t="s">
        <v>41</v>
      </c>
      <c r="G224" s="2" t="s">
        <v>73</v>
      </c>
      <c r="H224" s="2" t="s">
        <v>249</v>
      </c>
      <c r="I224" s="2" t="s">
        <v>250</v>
      </c>
      <c r="J224" s="2" t="s">
        <v>30</v>
      </c>
      <c r="K224" s="2" t="s">
        <v>156</v>
      </c>
      <c r="L224" s="2" t="s">
        <v>1183</v>
      </c>
      <c r="M224" s="2" t="s">
        <v>56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34</v>
      </c>
      <c r="U224" s="2" t="s">
        <v>35</v>
      </c>
      <c r="V224" s="2" t="str">
        <f t="shared" si="9"/>
        <v>ORD-2025-1022304/29/202502 May 2025CUST-4583Vikram IyerSmall BusinessWestGoaPanajiOffice SuppliesStoragePrime Storage 818First Class64308.09025848.5417729.098119.45PaidCompleted</v>
      </c>
      <c r="W224" s="2">
        <f t="shared" si="10"/>
        <v>1</v>
      </c>
      <c r="X224">
        <f t="shared" si="11"/>
        <v>1</v>
      </c>
    </row>
    <row r="225" spans="1:25">
      <c r="A225" s="2" t="s">
        <v>1184</v>
      </c>
      <c r="B225" s="2" t="s">
        <v>1185</v>
      </c>
      <c r="C225" s="2" t="s">
        <v>1186</v>
      </c>
      <c r="D225" s="2" t="s">
        <v>1187</v>
      </c>
      <c r="E225" s="2" t="s">
        <v>40</v>
      </c>
      <c r="F225" s="2" t="s">
        <v>108</v>
      </c>
      <c r="G225" s="2" t="s">
        <v>73</v>
      </c>
      <c r="H225" s="2" t="s">
        <v>74</v>
      </c>
      <c r="I225" s="2" t="s">
        <v>75</v>
      </c>
      <c r="J225" s="2" t="s">
        <v>45</v>
      </c>
      <c r="K225" s="2" t="s">
        <v>65</v>
      </c>
      <c r="L225" s="2" t="s">
        <v>1188</v>
      </c>
      <c r="M225" s="2" t="s">
        <v>56</v>
      </c>
      <c r="N225" s="2">
        <v>3</v>
      </c>
      <c r="O225" s="2">
        <v>490.3</v>
      </c>
      <c r="P225" s="2">
        <v>0.2</v>
      </c>
      <c r="Q225" s="2">
        <v>1176.72</v>
      </c>
      <c r="R225" s="2">
        <v>654.33000000000004</v>
      </c>
      <c r="S225" s="2">
        <v>522.39</v>
      </c>
      <c r="T225" s="2" t="s">
        <v>137</v>
      </c>
      <c r="U225" s="2" t="s">
        <v>125</v>
      </c>
      <c r="V225" s="2" t="str">
        <f t="shared" si="9"/>
        <v>ORD-2025-1022419-02-202502/26/2025CUST-5319Mira DasCorporateWestMaharashtraMumbaiFurnitureFurnishingsElite Furnishings 449First Class3490.30.21176.72654.33522.39PendingReturned</v>
      </c>
      <c r="W225" s="2">
        <f t="shared" si="10"/>
        <v>1</v>
      </c>
      <c r="X225">
        <f t="shared" si="11"/>
        <v>1</v>
      </c>
    </row>
    <row r="226" spans="1:25">
      <c r="A226" s="2" t="s">
        <v>1189</v>
      </c>
      <c r="B226" s="2" t="s">
        <v>1190</v>
      </c>
      <c r="C226" s="2" t="s">
        <v>1191</v>
      </c>
      <c r="D226" s="2" t="s">
        <v>1192</v>
      </c>
      <c r="E226" s="2" t="s">
        <v>53</v>
      </c>
      <c r="F226" s="2" t="s">
        <v>41</v>
      </c>
      <c r="G226" s="2" t="s">
        <v>27</v>
      </c>
      <c r="H226" s="2" t="s">
        <v>154</v>
      </c>
      <c r="I226" s="2" t="s">
        <v>155</v>
      </c>
      <c r="J226" s="2" t="s">
        <v>45</v>
      </c>
      <c r="K226" s="2" t="s">
        <v>65</v>
      </c>
      <c r="L226" s="2" t="s">
        <v>1193</v>
      </c>
      <c r="M226" s="2" t="s">
        <v>67</v>
      </c>
      <c r="N226" s="2">
        <v>4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</v>
      </c>
      <c r="T226" s="2" t="s">
        <v>34</v>
      </c>
      <c r="U226" s="2" t="s">
        <v>78</v>
      </c>
      <c r="V226" s="2" t="str">
        <f t="shared" si="9"/>
        <v>ORD-2025-1022510/02/202508 Oct 2025CUST-9871Isha NairSmall BusinessNorthPunjabLudhianaFurnitureFurnishingsClassic Furnishings 109Standard Class43944.640.2511833.926682.925151PaidCancelled</v>
      </c>
      <c r="W226" s="2">
        <f t="shared" si="10"/>
        <v>1</v>
      </c>
      <c r="X226">
        <f t="shared" si="11"/>
        <v>2</v>
      </c>
      <c r="Y226" s="2" t="s">
        <v>4097</v>
      </c>
    </row>
    <row r="227" spans="1:25">
      <c r="A227" s="2" t="s">
        <v>1194</v>
      </c>
      <c r="B227" s="2" t="s">
        <v>1195</v>
      </c>
      <c r="C227" s="2" t="s">
        <v>1196</v>
      </c>
      <c r="D227" s="2" t="s">
        <v>1197</v>
      </c>
      <c r="E227" s="2" t="s">
        <v>40</v>
      </c>
      <c r="F227" s="2" t="s">
        <v>108</v>
      </c>
      <c r="G227" s="2" t="s">
        <v>73</v>
      </c>
      <c r="H227" s="2" t="s">
        <v>249</v>
      </c>
      <c r="I227" s="2" t="s">
        <v>250</v>
      </c>
      <c r="J227" s="2" t="s">
        <v>86</v>
      </c>
      <c r="K227" s="2" t="s">
        <v>223</v>
      </c>
      <c r="L227" s="2" t="s">
        <v>1198</v>
      </c>
      <c r="M227" s="2" t="s">
        <v>67</v>
      </c>
      <c r="N227" s="2">
        <v>6</v>
      </c>
      <c r="O227" s="2">
        <v>1032.47</v>
      </c>
      <c r="P227" s="2">
        <v>0.15</v>
      </c>
      <c r="Q227" s="2">
        <v>5265.6</v>
      </c>
      <c r="R227" s="2">
        <v>4293.1099999999997</v>
      </c>
      <c r="S227" s="2">
        <v>787.57</v>
      </c>
      <c r="T227" s="2" t="s">
        <v>34</v>
      </c>
      <c r="U227" s="2" t="s">
        <v>35</v>
      </c>
      <c r="V227" s="2" t="str">
        <f t="shared" si="9"/>
        <v>ORD-2024-1022602 Sep 20242024-09-10CUST-1266Mira DasCorporateWestGoaPanajiTechnologyPhonesClassic Phones 548Standard Class61032.470.155265.64293.11787.57PaidCompleted</v>
      </c>
      <c r="W227" s="2">
        <f t="shared" si="10"/>
        <v>1</v>
      </c>
      <c r="X227">
        <f t="shared" si="11"/>
        <v>1</v>
      </c>
    </row>
    <row r="228" spans="1:25">
      <c r="A228" s="2" t="s">
        <v>1199</v>
      </c>
      <c r="B228" s="2" t="s">
        <v>1200</v>
      </c>
      <c r="C228" s="2" t="s">
        <v>1153</v>
      </c>
      <c r="D228" s="2" t="s">
        <v>1201</v>
      </c>
      <c r="E228" s="2" t="s">
        <v>210</v>
      </c>
      <c r="F228" s="2" t="s">
        <v>115</v>
      </c>
      <c r="H228" s="2" t="s">
        <v>242</v>
      </c>
      <c r="I228" s="2" t="s">
        <v>243</v>
      </c>
      <c r="J228" s="2" t="s">
        <v>86</v>
      </c>
      <c r="K228" s="2" t="s">
        <v>94</v>
      </c>
      <c r="L228" s="2" t="s">
        <v>1202</v>
      </c>
      <c r="M228" s="2" t="s">
        <v>48</v>
      </c>
      <c r="N228" s="2">
        <v>1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34</v>
      </c>
      <c r="U228" s="2" t="s">
        <v>35</v>
      </c>
      <c r="V228" s="2" t="str">
        <f t="shared" si="9"/>
        <v>ORD-2025-1022710-04-202515 Apr 2025CUST-2545Diya PatelHome OfficeKeralaKochiTechnologyCopiersMax Copiers 363Same Day12208.270.11987.441110.23877.21PaidCompleted</v>
      </c>
      <c r="W228" s="2">
        <f t="shared" si="10"/>
        <v>1</v>
      </c>
      <c r="X228">
        <f t="shared" si="11"/>
        <v>1</v>
      </c>
    </row>
    <row r="229" spans="1:25">
      <c r="A229" s="2" t="s">
        <v>1203</v>
      </c>
      <c r="B229" s="2" t="s">
        <v>1204</v>
      </c>
      <c r="C229" s="2" t="s">
        <v>1205</v>
      </c>
      <c r="D229" s="2" t="s">
        <v>1206</v>
      </c>
      <c r="E229" s="2" t="s">
        <v>72</v>
      </c>
      <c r="F229" s="2" t="s">
        <v>1207</v>
      </c>
      <c r="G229" s="2" t="s">
        <v>73</v>
      </c>
      <c r="H229" s="2" t="s">
        <v>249</v>
      </c>
      <c r="I229" s="2" t="s">
        <v>250</v>
      </c>
      <c r="J229" s="2" t="s">
        <v>30</v>
      </c>
      <c r="K229" s="2" t="s">
        <v>198</v>
      </c>
      <c r="L229" s="2" t="s">
        <v>1208</v>
      </c>
      <c r="M229" s="2" t="s">
        <v>56</v>
      </c>
      <c r="N229" s="2">
        <v>3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34</v>
      </c>
      <c r="U229" s="2" t="s">
        <v>35</v>
      </c>
      <c r="V229" s="2" t="str">
        <f t="shared" si="9"/>
        <v>ORD-2024-102282024-07-0512 Jul 2024CUST-2819Ananya RaoSMALL BUSINESSWestGoaPanajiOffice SuppliesBindersPrime Binders 507First Class3577.750.151473.26899.86573.4PaidCompleted</v>
      </c>
      <c r="W229" s="2">
        <f t="shared" si="10"/>
        <v>1</v>
      </c>
      <c r="X229">
        <f t="shared" si="11"/>
        <v>1</v>
      </c>
    </row>
    <row r="230" spans="1:25">
      <c r="A230" s="2" t="s">
        <v>1209</v>
      </c>
      <c r="B230" s="2" t="s">
        <v>1210</v>
      </c>
      <c r="C230" s="2" t="s">
        <v>1211</v>
      </c>
      <c r="D230" s="2" t="s">
        <v>1212</v>
      </c>
      <c r="E230" s="2" t="s">
        <v>25</v>
      </c>
      <c r="F230" s="2" t="s">
        <v>41</v>
      </c>
      <c r="G230" s="2" t="s">
        <v>62</v>
      </c>
      <c r="H230" s="2" t="s">
        <v>63</v>
      </c>
      <c r="I230" s="2" t="s">
        <v>64</v>
      </c>
      <c r="J230" s="2" t="s">
        <v>30</v>
      </c>
      <c r="K230" s="2" t="s">
        <v>109</v>
      </c>
      <c r="L230" s="2" t="s">
        <v>1213</v>
      </c>
      <c r="M230" s="2" t="s">
        <v>33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34</v>
      </c>
      <c r="U230" s="2" t="s">
        <v>35</v>
      </c>
      <c r="V230" s="2" t="str">
        <f t="shared" si="9"/>
        <v>ORD-2024-1022924-04-202428 Apr 2024CUST-1076Karan MalhotraSmall BusinessSouthTelanganaHyderabadOffice SuppliesLabelsSmart Labels 914Second Class13194.370.152715.211551.551163.66PaidCompleted</v>
      </c>
      <c r="W230" s="2">
        <f t="shared" si="10"/>
        <v>1</v>
      </c>
      <c r="X230">
        <f t="shared" si="11"/>
        <v>1</v>
      </c>
    </row>
    <row r="231" spans="1:25">
      <c r="A231" s="2" t="s">
        <v>1214</v>
      </c>
      <c r="B231" s="2" t="s">
        <v>1215</v>
      </c>
      <c r="C231" s="2" t="s">
        <v>1216</v>
      </c>
      <c r="D231" s="2" t="s">
        <v>1217</v>
      </c>
      <c r="E231" s="2" t="s">
        <v>180</v>
      </c>
      <c r="F231" s="2" t="s">
        <v>26</v>
      </c>
      <c r="G231" s="2" t="s">
        <v>62</v>
      </c>
      <c r="H231" s="2" t="s">
        <v>63</v>
      </c>
      <c r="I231" s="2" t="s">
        <v>64</v>
      </c>
      <c r="J231" s="2" t="s">
        <v>45</v>
      </c>
      <c r="K231" s="2" t="s">
        <v>204</v>
      </c>
      <c r="L231" s="2" t="s">
        <v>1218</v>
      </c>
      <c r="M231" s="2" t="s">
        <v>56</v>
      </c>
      <c r="N231" s="2">
        <v>3</v>
      </c>
      <c r="O231" s="2">
        <v>2886.23</v>
      </c>
      <c r="P231" s="2">
        <v>0</v>
      </c>
      <c r="Q231" s="2">
        <v>8658.69</v>
      </c>
      <c r="R231" s="2">
        <v>5535.94</v>
      </c>
      <c r="S231" s="2">
        <v>3122.75</v>
      </c>
      <c r="T231" s="2" t="s">
        <v>124</v>
      </c>
      <c r="U231" s="2" t="s">
        <v>125</v>
      </c>
      <c r="V231" s="2" t="str">
        <f t="shared" si="9"/>
        <v>ORD-2025-102302025-06-2807/04/2025CUST-1943Rohan MehtaConsumerSouthTelanganaHyderabadFurnitureBookcasesSmart Bookcases 662First Class32886.2308658.695535.943122.75RefundedReturned</v>
      </c>
      <c r="W231" s="2">
        <f t="shared" si="10"/>
        <v>1</v>
      </c>
      <c r="X231">
        <f t="shared" si="11"/>
        <v>1</v>
      </c>
    </row>
    <row r="232" spans="1:25">
      <c r="A232" s="2" t="s">
        <v>1219</v>
      </c>
      <c r="B232" s="2" t="s">
        <v>81</v>
      </c>
      <c r="C232" s="2" t="s">
        <v>1220</v>
      </c>
      <c r="D232" s="2" t="s">
        <v>1221</v>
      </c>
      <c r="E232" s="2" t="s">
        <v>93</v>
      </c>
      <c r="F232" s="2" t="s">
        <v>41</v>
      </c>
      <c r="G232" s="2" t="s">
        <v>27</v>
      </c>
      <c r="H232" s="2" t="s">
        <v>28</v>
      </c>
      <c r="I232" s="2" t="s">
        <v>29</v>
      </c>
      <c r="J232" s="2" t="s">
        <v>30</v>
      </c>
      <c r="K232" s="2" t="s">
        <v>31</v>
      </c>
      <c r="L232" s="2" t="s">
        <v>1222</v>
      </c>
      <c r="M232" s="2" t="s">
        <v>67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34</v>
      </c>
      <c r="U232" s="2" t="s">
        <v>35</v>
      </c>
      <c r="V232" s="2" t="str">
        <f t="shared" si="9"/>
        <v>ORD-2024-1023128-05-202403-06-2024CUST-3434Neha GuptaSmall BusinessNorthRajasthanJaipurOffice SuppliesPaperEco Paper 937Standard Class81540.330.111090.388840.952249.43PaidCompleted</v>
      </c>
      <c r="W232" s="2">
        <f t="shared" si="10"/>
        <v>1</v>
      </c>
      <c r="X232">
        <f t="shared" si="11"/>
        <v>1</v>
      </c>
    </row>
    <row r="233" spans="1:25">
      <c r="A233" s="2" t="s">
        <v>1223</v>
      </c>
      <c r="B233" s="2" t="s">
        <v>1224</v>
      </c>
      <c r="C233" s="2" t="s">
        <v>1225</v>
      </c>
      <c r="D233" s="2" t="s">
        <v>1226</v>
      </c>
      <c r="E233" s="2" t="s">
        <v>72</v>
      </c>
      <c r="F233" s="2" t="s">
        <v>108</v>
      </c>
      <c r="G233" s="2" t="s">
        <v>27</v>
      </c>
      <c r="H233" s="2" t="s">
        <v>28</v>
      </c>
      <c r="I233" s="2" t="s">
        <v>29</v>
      </c>
      <c r="J233" s="2" t="s">
        <v>1227</v>
      </c>
      <c r="K233" s="2" t="s">
        <v>109</v>
      </c>
      <c r="L233" s="2" t="s">
        <v>1228</v>
      </c>
      <c r="M233" s="2" t="s">
        <v>56</v>
      </c>
      <c r="N233" s="2">
        <v>7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124</v>
      </c>
      <c r="U233" s="2" t="s">
        <v>78</v>
      </c>
      <c r="V233" s="2" t="str">
        <f t="shared" si="9"/>
        <v>ORD-2024-102322024-05-0205/02/2024CUST-9139Ananya RaoCorporateNorthRajasthanJaipurOffice  SuppliesLabelsMax Labels 370First Class72183.380.2511462.747163.544299.2RefundedCancelled</v>
      </c>
      <c r="W233" s="2">
        <f t="shared" si="10"/>
        <v>1</v>
      </c>
      <c r="X233">
        <f t="shared" si="11"/>
        <v>1</v>
      </c>
    </row>
    <row r="234" spans="1:25">
      <c r="A234" s="2" t="s">
        <v>1229</v>
      </c>
      <c r="B234" s="2" t="s">
        <v>1230</v>
      </c>
      <c r="C234" s="2" t="s">
        <v>1231</v>
      </c>
      <c r="D234" s="2" t="s">
        <v>1232</v>
      </c>
      <c r="E234" s="2" t="s">
        <v>148</v>
      </c>
      <c r="F234" s="2" t="s">
        <v>26</v>
      </c>
      <c r="G234" s="2" t="s">
        <v>62</v>
      </c>
      <c r="H234" s="2" t="s">
        <v>100</v>
      </c>
      <c r="I234" s="2" t="s">
        <v>101</v>
      </c>
      <c r="J234" s="2" t="s">
        <v>86</v>
      </c>
      <c r="K234" s="2" t="s">
        <v>223</v>
      </c>
      <c r="L234" s="2" t="s">
        <v>1233</v>
      </c>
      <c r="M234" s="2" t="s">
        <v>67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34</v>
      </c>
      <c r="U234" s="2" t="s">
        <v>35</v>
      </c>
      <c r="V234" s="2" t="str">
        <f t="shared" si="9"/>
        <v>ORD-2025-102332025-06-042025-06-10CUST-5341Rahul VermaConsumerSouthAndhra PradeshVijayawadaTechnologyPhonesClassic Phones 530Standard Class4223.370.25670.11559.57110.54PaidCompleted</v>
      </c>
      <c r="W234" s="2">
        <f t="shared" si="10"/>
        <v>1</v>
      </c>
      <c r="X234">
        <f t="shared" si="11"/>
        <v>1</v>
      </c>
    </row>
    <row r="235" spans="1:25">
      <c r="A235" s="2" t="s">
        <v>1234</v>
      </c>
      <c r="B235" s="2" t="s">
        <v>1235</v>
      </c>
      <c r="C235" s="2" t="s">
        <v>1236</v>
      </c>
      <c r="D235" s="2" t="s">
        <v>1237</v>
      </c>
      <c r="E235" s="2" t="s">
        <v>83</v>
      </c>
      <c r="F235" s="2" t="s">
        <v>108</v>
      </c>
      <c r="G235" s="2" t="s">
        <v>62</v>
      </c>
      <c r="H235" s="2" t="s">
        <v>229</v>
      </c>
      <c r="I235" s="2" t="s">
        <v>230</v>
      </c>
      <c r="J235" s="2" t="s">
        <v>45</v>
      </c>
      <c r="K235" s="2" t="s">
        <v>204</v>
      </c>
      <c r="L235" s="2" t="s">
        <v>1238</v>
      </c>
      <c r="N235" s="2">
        <v>8</v>
      </c>
      <c r="O235" s="2">
        <v>3904.59</v>
      </c>
      <c r="P235" s="2">
        <v>0</v>
      </c>
      <c r="Q235" s="2">
        <v>31236.720000000001</v>
      </c>
      <c r="R235" s="2">
        <v>26377.7</v>
      </c>
      <c r="S235" s="2">
        <v>4859.0200000000004</v>
      </c>
      <c r="T235" s="2" t="s">
        <v>34</v>
      </c>
      <c r="U235" s="2" t="s">
        <v>35</v>
      </c>
      <c r="V235" s="2" t="str">
        <f t="shared" si="9"/>
        <v>ORD-2024-1023414-10-202410/14/2024CUST-3710Vikram IyerCorporateSouthKarnatakaBengaluruFurnitureBookcasesSmart Bookcases 32883904.59031236.7226377.74859.02PaidCompleted</v>
      </c>
      <c r="W235" s="2">
        <f t="shared" si="10"/>
        <v>1</v>
      </c>
      <c r="X235">
        <f t="shared" si="11"/>
        <v>1</v>
      </c>
    </row>
    <row r="236" spans="1:25">
      <c r="A236" s="2" t="s">
        <v>1239</v>
      </c>
      <c r="B236" s="2" t="s">
        <v>1240</v>
      </c>
      <c r="C236" s="2" t="s">
        <v>1241</v>
      </c>
      <c r="D236" s="2" t="s">
        <v>1242</v>
      </c>
      <c r="E236" s="2" t="s">
        <v>366</v>
      </c>
      <c r="F236" s="2" t="s">
        <v>115</v>
      </c>
      <c r="G236" s="2" t="s">
        <v>27</v>
      </c>
      <c r="H236" s="2" t="s">
        <v>506</v>
      </c>
      <c r="I236" s="2" t="s">
        <v>507</v>
      </c>
      <c r="J236" s="2" t="s">
        <v>45</v>
      </c>
      <c r="K236" s="2" t="s">
        <v>65</v>
      </c>
      <c r="L236" s="2" t="s">
        <v>1243</v>
      </c>
      <c r="M236" s="2" t="s">
        <v>56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34</v>
      </c>
      <c r="U236" s="2" t="s">
        <v>35</v>
      </c>
      <c r="V236" s="2" t="str">
        <f t="shared" si="9"/>
        <v>ORD-2024-1023509/02/202403 Sep 2024CUST-9754Kabir SinghHome OfficeNorthDelhiNew DelhiFurnitureFurnishingsEco Furnishings 981First Class91353.610.110964.249262.471701.77PaidCompleted</v>
      </c>
      <c r="W236" s="2">
        <f t="shared" si="10"/>
        <v>1</v>
      </c>
      <c r="X236">
        <f t="shared" si="11"/>
        <v>1</v>
      </c>
    </row>
    <row r="237" spans="1:25">
      <c r="A237" s="2" t="s">
        <v>1244</v>
      </c>
      <c r="B237" s="2" t="s">
        <v>1245</v>
      </c>
      <c r="C237" s="2" t="s">
        <v>1246</v>
      </c>
      <c r="D237" s="2" t="s">
        <v>1247</v>
      </c>
      <c r="E237" s="2" t="s">
        <v>148</v>
      </c>
      <c r="F237" s="2" t="s">
        <v>41</v>
      </c>
      <c r="G237" s="2" t="s">
        <v>73</v>
      </c>
      <c r="H237" s="2" t="s">
        <v>28</v>
      </c>
      <c r="I237" s="2" t="s">
        <v>135</v>
      </c>
      <c r="J237" s="2" t="s">
        <v>30</v>
      </c>
      <c r="K237" s="2" t="s">
        <v>156</v>
      </c>
      <c r="L237" s="2" t="s">
        <v>1248</v>
      </c>
      <c r="M237" s="2" t="s">
        <v>67</v>
      </c>
      <c r="N237" s="2">
        <v>6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34</v>
      </c>
      <c r="U237" s="2" t="s">
        <v>35</v>
      </c>
      <c r="V237" s="2" t="str">
        <f t="shared" si="9"/>
        <v>ORD-2024-1023611/02/202411/03/2024CUST-6256Rahul VermaSmall BusinessWestRajasthanUdaipurOffice SuppliesStorageBasic Storage 195Standard Class62671.290.0515226.3511145.284081.07PaidCompleted</v>
      </c>
      <c r="W237" s="2">
        <f t="shared" si="10"/>
        <v>1</v>
      </c>
      <c r="X237">
        <f t="shared" si="11"/>
        <v>1</v>
      </c>
    </row>
    <row r="238" spans="1:25">
      <c r="A238" s="2" t="s">
        <v>1249</v>
      </c>
      <c r="B238" s="2" t="s">
        <v>1236</v>
      </c>
      <c r="C238" s="2" t="s">
        <v>1250</v>
      </c>
      <c r="D238" s="2" t="s">
        <v>1251</v>
      </c>
      <c r="E238" s="2" t="s">
        <v>142</v>
      </c>
      <c r="F238" s="2" t="s">
        <v>108</v>
      </c>
      <c r="G238" s="2" t="s">
        <v>27</v>
      </c>
      <c r="H238" s="2" t="s">
        <v>174</v>
      </c>
      <c r="I238" s="2" t="s">
        <v>175</v>
      </c>
      <c r="J238" s="2" t="s">
        <v>45</v>
      </c>
      <c r="K238" s="2" t="s">
        <v>204</v>
      </c>
      <c r="L238" s="2" t="s">
        <v>1252</v>
      </c>
      <c r="M238" s="2" t="s">
        <v>56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34</v>
      </c>
      <c r="U238" s="2" t="s">
        <v>35</v>
      </c>
      <c r="V238" s="2" t="str">
        <f t="shared" si="9"/>
        <v>ORD-2024-1023710/14/202421 Oct 2024CUST-7113Priya MenonCorporateNorthUttar PradeshNoidaFurnitureBookcasesElite Bookcases 907First Class64062.78024376.6818533.395843.29PaidCompleted</v>
      </c>
      <c r="W238" s="2">
        <f t="shared" si="10"/>
        <v>1</v>
      </c>
      <c r="X238">
        <f t="shared" si="11"/>
        <v>1</v>
      </c>
    </row>
    <row r="239" spans="1:25">
      <c r="A239" s="2" t="s">
        <v>1253</v>
      </c>
      <c r="B239" s="2" t="s">
        <v>1254</v>
      </c>
      <c r="C239" s="2" t="s">
        <v>1254</v>
      </c>
      <c r="D239" s="2" t="s">
        <v>1255</v>
      </c>
      <c r="E239" s="2" t="s">
        <v>40</v>
      </c>
      <c r="F239" s="2" t="s">
        <v>26</v>
      </c>
      <c r="G239" s="2" t="s">
        <v>27</v>
      </c>
      <c r="H239" s="2" t="s">
        <v>323</v>
      </c>
      <c r="I239" s="2" t="s">
        <v>324</v>
      </c>
      <c r="J239" s="2" t="s">
        <v>86</v>
      </c>
      <c r="K239" s="2" t="s">
        <v>94</v>
      </c>
      <c r="L239" s="2" t="s">
        <v>1256</v>
      </c>
      <c r="M239" s="2" t="s">
        <v>67</v>
      </c>
      <c r="N239" s="2">
        <v>9</v>
      </c>
      <c r="O239" s="2">
        <v>2330.3000000000002</v>
      </c>
      <c r="P239" s="2">
        <v>0</v>
      </c>
      <c r="Q239" s="2">
        <v>20972.7</v>
      </c>
      <c r="R239" s="2">
        <v>13504.88</v>
      </c>
      <c r="S239" s="2">
        <v>7467.82</v>
      </c>
      <c r="T239" s="2" t="s">
        <v>34</v>
      </c>
      <c r="U239" s="2" t="s">
        <v>35</v>
      </c>
      <c r="V239" s="2" t="str">
        <f t="shared" si="9"/>
        <v>ORD-2024-102382024-08-272024-08-27CUST-3827Mira DasConsumerNorthHaryanaGurugramTechnologyCopiersSmart Copiers 471Standard Class92330.3020972.713504.887467.82PaidCompleted</v>
      </c>
      <c r="W239" s="2">
        <f t="shared" si="10"/>
        <v>1</v>
      </c>
      <c r="X239">
        <f t="shared" si="11"/>
        <v>1</v>
      </c>
    </row>
    <row r="240" spans="1:25">
      <c r="A240" s="2" t="s">
        <v>1257</v>
      </c>
      <c r="B240" s="2" t="s">
        <v>1258</v>
      </c>
      <c r="C240" s="2" t="s">
        <v>1259</v>
      </c>
      <c r="D240" s="2" t="s">
        <v>1260</v>
      </c>
      <c r="E240" s="2" t="s">
        <v>61</v>
      </c>
      <c r="F240" s="2" t="s">
        <v>26</v>
      </c>
      <c r="G240" s="2" t="s">
        <v>62</v>
      </c>
      <c r="H240" s="2" t="s">
        <v>100</v>
      </c>
      <c r="I240" s="2" t="s">
        <v>101</v>
      </c>
      <c r="J240" s="2" t="s">
        <v>30</v>
      </c>
      <c r="K240" s="2" t="s">
        <v>156</v>
      </c>
      <c r="L240" s="2" t="s">
        <v>1261</v>
      </c>
      <c r="M240" s="2" t="s">
        <v>56</v>
      </c>
      <c r="N240" s="2">
        <v>7</v>
      </c>
      <c r="O240" s="2">
        <v>4005.05</v>
      </c>
      <c r="P240" s="2">
        <v>0.55000000000000004</v>
      </c>
      <c r="Q240" s="2">
        <v>26633.58</v>
      </c>
      <c r="R240" s="2">
        <v>18838.75</v>
      </c>
      <c r="S240" s="2">
        <v>7794.83</v>
      </c>
      <c r="T240" s="2" t="s">
        <v>34</v>
      </c>
      <c r="U240" s="2" t="s">
        <v>35</v>
      </c>
      <c r="V240" s="2" t="str">
        <f t="shared" si="9"/>
        <v>ORD-2024-1023901/12/202401/17/2024CUST-2375Arjun BoseConsumerSouthAndhra PradeshVijayawadaOffice SuppliesStoragePrime Storage 625First Class74005.050.5526633.5818838.757794.83PaidCompleted</v>
      </c>
      <c r="W240" s="2">
        <f t="shared" si="10"/>
        <v>1</v>
      </c>
      <c r="X240">
        <f t="shared" si="11"/>
        <v>1</v>
      </c>
    </row>
    <row r="241" spans="1:25">
      <c r="A241" s="2" t="s">
        <v>1262</v>
      </c>
      <c r="B241" s="2" t="s">
        <v>1263</v>
      </c>
      <c r="C241" s="2" t="s">
        <v>1134</v>
      </c>
      <c r="D241" s="2" t="s">
        <v>1264</v>
      </c>
      <c r="E241" s="2" t="s">
        <v>366</v>
      </c>
      <c r="F241" s="2" t="s">
        <v>108</v>
      </c>
      <c r="G241" s="2" t="s">
        <v>62</v>
      </c>
      <c r="H241" s="2" t="s">
        <v>229</v>
      </c>
      <c r="I241" s="2" t="s">
        <v>230</v>
      </c>
      <c r="J241" s="2" t="s">
        <v>86</v>
      </c>
      <c r="K241" s="2" t="s">
        <v>382</v>
      </c>
      <c r="L241" s="2" t="s">
        <v>1265</v>
      </c>
      <c r="M241" s="2" t="s">
        <v>56</v>
      </c>
      <c r="N241" s="2">
        <v>2</v>
      </c>
      <c r="O241" s="2">
        <v>1960.06</v>
      </c>
      <c r="P241" s="2">
        <v>0.2</v>
      </c>
      <c r="Q241" s="2">
        <v>3136.1</v>
      </c>
      <c r="R241" s="2">
        <v>2279.4899999999998</v>
      </c>
      <c r="S241" s="2">
        <v>856.61</v>
      </c>
      <c r="T241" s="2" t="s">
        <v>34</v>
      </c>
      <c r="U241" s="2" t="s">
        <v>35</v>
      </c>
      <c r="V241" s="2" t="str">
        <f t="shared" si="9"/>
        <v>ORD-2024-1024021-09-202409/21/2024CUST-2233Kabir SinghCorporateSouthKarnatakaBengaluruTechnologyMachinesSmart Machines 801First Class21960.060.23136.12279.49856.61PaidCompleted</v>
      </c>
      <c r="W241" s="2">
        <f t="shared" si="10"/>
        <v>1</v>
      </c>
      <c r="X241">
        <f t="shared" si="11"/>
        <v>1</v>
      </c>
    </row>
    <row r="242" spans="1:25">
      <c r="A242" s="2" t="s">
        <v>1266</v>
      </c>
      <c r="B242" s="2" t="s">
        <v>1267</v>
      </c>
      <c r="C242" s="2" t="s">
        <v>824</v>
      </c>
      <c r="D242" s="2" t="s">
        <v>1268</v>
      </c>
      <c r="E242" s="2" t="s">
        <v>162</v>
      </c>
      <c r="F242" s="2" t="s">
        <v>108</v>
      </c>
      <c r="G242" s="2" t="s">
        <v>62</v>
      </c>
      <c r="H242" s="2" t="s">
        <v>63</v>
      </c>
      <c r="I242" s="2" t="s">
        <v>64</v>
      </c>
      <c r="J242" s="2" t="s">
        <v>30</v>
      </c>
      <c r="K242" s="2" t="s">
        <v>198</v>
      </c>
      <c r="L242" s="2" t="s">
        <v>1269</v>
      </c>
      <c r="M242" s="2" t="s">
        <v>56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34</v>
      </c>
      <c r="U242" s="2" t="s">
        <v>35</v>
      </c>
      <c r="V242" s="2" t="str">
        <f t="shared" si="9"/>
        <v>ORD-2024-1024117 Dec 202423-12-2024CUST-9778Aarav SharmaCorporateSouthTelanganaHyderabadOffice SuppliesBindersMax Binders 170First Class92315.1020835.913928.196907.71PaidCompleted</v>
      </c>
      <c r="W242" s="2">
        <f t="shared" si="10"/>
        <v>1</v>
      </c>
      <c r="X242">
        <f t="shared" si="11"/>
        <v>1</v>
      </c>
    </row>
    <row r="243" spans="1:25">
      <c r="A243" s="2" t="s">
        <v>1270</v>
      </c>
      <c r="B243" s="2" t="s">
        <v>1271</v>
      </c>
      <c r="C243" s="2" t="s">
        <v>1272</v>
      </c>
      <c r="D243" s="2" t="s">
        <v>1273</v>
      </c>
      <c r="E243" s="2" t="s">
        <v>168</v>
      </c>
      <c r="F243" s="2" t="s">
        <v>108</v>
      </c>
      <c r="G243" s="2" t="s">
        <v>27</v>
      </c>
      <c r="H243" s="2" t="s">
        <v>323</v>
      </c>
      <c r="I243" s="2" t="s">
        <v>324</v>
      </c>
      <c r="J243" s="2" t="s">
        <v>30</v>
      </c>
      <c r="K243" s="2" t="s">
        <v>156</v>
      </c>
      <c r="L243" s="2" t="s">
        <v>1274</v>
      </c>
      <c r="M243" s="2" t="s">
        <v>67</v>
      </c>
      <c r="N243" s="2">
        <v>1</v>
      </c>
      <c r="O243" s="2">
        <v>1617.2</v>
      </c>
      <c r="P243" s="2">
        <v>0.25</v>
      </c>
      <c r="Q243" s="2">
        <v>1212.9000000000001</v>
      </c>
      <c r="R243" s="2">
        <v>690.52</v>
      </c>
      <c r="S243" s="2">
        <v>522.38</v>
      </c>
      <c r="T243" s="2" t="s">
        <v>137</v>
      </c>
      <c r="U243" s="2" t="s">
        <v>125</v>
      </c>
      <c r="V243" s="2" t="str">
        <f t="shared" si="9"/>
        <v>ORD-2025-1024207/06/202506-07-2025CUST-6949Sneha KapoorCorporateNorthHaryanaGurugramOffice SuppliesStorageBasic Storage 737Standard Class11617.20.251212.9690.52522.38PendingReturned</v>
      </c>
      <c r="W243" s="2">
        <f t="shared" si="10"/>
        <v>1</v>
      </c>
      <c r="X243">
        <f t="shared" si="11"/>
        <v>1</v>
      </c>
    </row>
    <row r="244" spans="1:25">
      <c r="A244" s="2" t="s">
        <v>1275</v>
      </c>
      <c r="B244" s="2" t="s">
        <v>1276</v>
      </c>
      <c r="C244" s="2" t="s">
        <v>1277</v>
      </c>
      <c r="D244" s="2" t="s">
        <v>1278</v>
      </c>
      <c r="E244" s="2" t="s">
        <v>61</v>
      </c>
      <c r="F244" s="2" t="s">
        <v>26</v>
      </c>
      <c r="G244" s="2" t="s">
        <v>27</v>
      </c>
      <c r="H244" s="2" t="s">
        <v>174</v>
      </c>
      <c r="I244" s="2" t="s">
        <v>175</v>
      </c>
      <c r="J244" s="2" t="s">
        <v>30</v>
      </c>
      <c r="K244" s="2" t="s">
        <v>54</v>
      </c>
      <c r="L244" s="2" t="s">
        <v>1279</v>
      </c>
      <c r="M244" s="2" t="s">
        <v>33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34</v>
      </c>
      <c r="U244" s="2" t="s">
        <v>35</v>
      </c>
      <c r="V244" s="2" t="str">
        <f t="shared" si="9"/>
        <v>ORD-2025-1024307 Feb 20252025-02-07CUST-3430Arjun BoseConsumerNorthUttar PradeshNoidaOffice SuppliesArtClassic Art 126Second Class31999.240.055697.834251.51446.33PaidCompleted</v>
      </c>
      <c r="W244" s="2">
        <f t="shared" si="10"/>
        <v>1</v>
      </c>
      <c r="X244">
        <f t="shared" si="11"/>
        <v>1</v>
      </c>
    </row>
    <row r="245" spans="1:25">
      <c r="A245" s="2" t="s">
        <v>1280</v>
      </c>
      <c r="B245" s="2" t="s">
        <v>283</v>
      </c>
      <c r="C245" s="2" t="s">
        <v>1281</v>
      </c>
      <c r="D245" s="2" t="s">
        <v>1282</v>
      </c>
      <c r="E245" s="2" t="s">
        <v>168</v>
      </c>
      <c r="F245" s="2" t="s">
        <v>41</v>
      </c>
      <c r="H245" s="2" t="s">
        <v>84</v>
      </c>
      <c r="I245" s="2" t="s">
        <v>85</v>
      </c>
      <c r="J245" s="2" t="s">
        <v>86</v>
      </c>
      <c r="K245" s="2" t="s">
        <v>87</v>
      </c>
      <c r="L245" s="2" t="s">
        <v>1283</v>
      </c>
      <c r="M245" s="2" t="s">
        <v>56</v>
      </c>
      <c r="N245" s="2">
        <v>1</v>
      </c>
      <c r="O245" s="2">
        <v>4499.46</v>
      </c>
      <c r="P245" s="2">
        <v>0.1</v>
      </c>
      <c r="Q245" s="2">
        <v>4049.51</v>
      </c>
      <c r="R245" s="2">
        <v>2509.1999999999998</v>
      </c>
      <c r="S245" s="2">
        <v>1540.31</v>
      </c>
      <c r="T245" s="2" t="s">
        <v>34</v>
      </c>
      <c r="U245" s="2" t="s">
        <v>1026</v>
      </c>
      <c r="V245" s="2" t="str">
        <f t="shared" si="9"/>
        <v>ORD-2025-1024429-07-202502 Aug 2025CUST-6310Sneha KapoorSmall BusinessMadhya PradeshIndoreTechnologyAccessoriesPrime Accessories 243First Class14499.460.14049.512509.21540.31Paidcompleted</v>
      </c>
      <c r="W245" s="2">
        <f t="shared" si="10"/>
        <v>1</v>
      </c>
      <c r="X245">
        <f t="shared" si="11"/>
        <v>1</v>
      </c>
    </row>
    <row r="246" spans="1:25">
      <c r="A246" s="2" t="s">
        <v>1284</v>
      </c>
      <c r="B246" s="2" t="s">
        <v>636</v>
      </c>
      <c r="C246" s="2" t="s">
        <v>1285</v>
      </c>
      <c r="D246" s="2" t="s">
        <v>1286</v>
      </c>
      <c r="E246" s="2" t="s">
        <v>93</v>
      </c>
      <c r="F246" s="2" t="s">
        <v>26</v>
      </c>
      <c r="G246" s="2" t="s">
        <v>62</v>
      </c>
      <c r="H246" s="2" t="s">
        <v>63</v>
      </c>
      <c r="I246" s="2" t="s">
        <v>64</v>
      </c>
      <c r="J246" s="2" t="s">
        <v>45</v>
      </c>
      <c r="K246" s="2" t="s">
        <v>204</v>
      </c>
      <c r="L246" s="2" t="s">
        <v>1287</v>
      </c>
      <c r="M246" s="2" t="s">
        <v>48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34</v>
      </c>
      <c r="U246" s="2" t="s">
        <v>35</v>
      </c>
      <c r="V246" s="2" t="str">
        <f t="shared" si="9"/>
        <v>ORD-2024-1024508/23/20242024-08-24CUST-6008Neha GuptaConsumerSouthTelanganaHyderabadFurnitureBookcasesEco Bookcases 768Same Day61021.8906131.344060.882070.46PaidCompleted</v>
      </c>
      <c r="W246" s="2">
        <f t="shared" si="10"/>
        <v>1</v>
      </c>
      <c r="X246">
        <f t="shared" si="11"/>
        <v>1</v>
      </c>
    </row>
    <row r="247" spans="1:25">
      <c r="A247" s="2" t="s">
        <v>1288</v>
      </c>
      <c r="B247" s="2" t="s">
        <v>644</v>
      </c>
      <c r="C247" s="2" t="s">
        <v>872</v>
      </c>
      <c r="D247" s="2" t="s">
        <v>1289</v>
      </c>
      <c r="E247" s="2" t="s">
        <v>93</v>
      </c>
      <c r="F247" s="2" t="s">
        <v>115</v>
      </c>
      <c r="G247" s="2" t="s">
        <v>62</v>
      </c>
      <c r="H247" s="2" t="s">
        <v>242</v>
      </c>
      <c r="I247" s="2" t="s">
        <v>243</v>
      </c>
      <c r="J247" s="2" t="s">
        <v>1290</v>
      </c>
      <c r="K247" s="2" t="s">
        <v>76</v>
      </c>
      <c r="L247" s="2" t="s">
        <v>1291</v>
      </c>
      <c r="M247" s="2" t="s">
        <v>33</v>
      </c>
      <c r="N247" s="2">
        <v>3</v>
      </c>
      <c r="O247" s="2">
        <v>3275.93</v>
      </c>
      <c r="P247" s="2">
        <v>0</v>
      </c>
      <c r="Q247" s="2">
        <v>9827.7900000000009</v>
      </c>
      <c r="R247" s="2">
        <v>5478.28</v>
      </c>
      <c r="S247" s="2">
        <v>4349.51</v>
      </c>
      <c r="T247" s="2" t="s">
        <v>34</v>
      </c>
      <c r="U247" s="2" t="s">
        <v>35</v>
      </c>
      <c r="V247" s="2" t="str">
        <f t="shared" si="9"/>
        <v>ORD-2024-1024610/18/202424-10-2024CUST-1704Neha GuptaHome OfficeSouthKeralaKochiFURNITUREChairsPro Chairs 316Second Class33275.9309827.795478.284349.51PaidCompleted</v>
      </c>
      <c r="W247" s="2">
        <f t="shared" si="10"/>
        <v>1</v>
      </c>
      <c r="X247">
        <f t="shared" si="11"/>
        <v>1</v>
      </c>
    </row>
    <row r="248" spans="1:25">
      <c r="A248" s="2" t="s">
        <v>1292</v>
      </c>
      <c r="B248" s="2" t="s">
        <v>1293</v>
      </c>
      <c r="C248" s="2" t="s">
        <v>1294</v>
      </c>
      <c r="D248" s="2" t="s">
        <v>1295</v>
      </c>
      <c r="E248" s="2" t="s">
        <v>72</v>
      </c>
      <c r="F248" s="2" t="s">
        <v>108</v>
      </c>
      <c r="G248" s="2" t="s">
        <v>27</v>
      </c>
      <c r="H248" s="2" t="s">
        <v>154</v>
      </c>
      <c r="I248" s="2" t="s">
        <v>155</v>
      </c>
      <c r="J248" s="2" t="s">
        <v>86</v>
      </c>
      <c r="K248" s="2" t="s">
        <v>382</v>
      </c>
      <c r="L248" s="2" t="s">
        <v>1296</v>
      </c>
      <c r="M248" s="2" t="s">
        <v>48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124</v>
      </c>
      <c r="U248" s="2" t="s">
        <v>78</v>
      </c>
      <c r="V248" s="2" t="str">
        <f t="shared" si="9"/>
        <v>ORD-2024-1024704 May 202409 May 2024CUST-1827Ananya RaoCorporateNorthPunjabLudhianaTechnologyMachinesClassic Machines 819Same Day3231.950.25521.89444.5277.37RefundedCancelled</v>
      </c>
      <c r="W248" s="2">
        <f t="shared" si="10"/>
        <v>1</v>
      </c>
      <c r="X248">
        <f t="shared" si="11"/>
        <v>1</v>
      </c>
    </row>
    <row r="249" spans="1:25">
      <c r="A249" s="2" t="s">
        <v>1297</v>
      </c>
      <c r="B249" s="2" t="s">
        <v>1298</v>
      </c>
      <c r="C249" s="2" t="s">
        <v>1299</v>
      </c>
      <c r="D249" s="2" t="s">
        <v>1300</v>
      </c>
      <c r="E249" s="2" t="s">
        <v>148</v>
      </c>
      <c r="F249" s="2" t="s">
        <v>108</v>
      </c>
      <c r="G249" s="2" t="s">
        <v>27</v>
      </c>
      <c r="H249" s="2" t="s">
        <v>28</v>
      </c>
      <c r="I249" s="2" t="s">
        <v>29</v>
      </c>
      <c r="J249" s="2" t="s">
        <v>86</v>
      </c>
      <c r="K249" s="2" t="s">
        <v>87</v>
      </c>
      <c r="L249" s="2" t="s">
        <v>1301</v>
      </c>
      <c r="M249" s="2" t="s">
        <v>33</v>
      </c>
      <c r="N249" s="2">
        <v>8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34</v>
      </c>
      <c r="U249" s="2" t="s">
        <v>35</v>
      </c>
      <c r="V249" s="2" t="str">
        <f t="shared" si="9"/>
        <v>ORD-2024-1024807/25/202401 Aug 2024CUST-6663Rahul VermaCorporateNorthRajasthanJaipurTechnologyAccessoriesSmart Accessories 572Second Class82493.40.2514960.412500.842459.56PaidCompleted</v>
      </c>
      <c r="W249" s="2">
        <f t="shared" si="10"/>
        <v>1</v>
      </c>
      <c r="X249">
        <f t="shared" si="11"/>
        <v>1</v>
      </c>
    </row>
    <row r="250" spans="1:25">
      <c r="A250" s="2" t="s">
        <v>1302</v>
      </c>
      <c r="B250" s="2" t="s">
        <v>1303</v>
      </c>
      <c r="C250" s="2" t="s">
        <v>578</v>
      </c>
      <c r="D250" s="2" t="s">
        <v>1304</v>
      </c>
      <c r="E250" s="2" t="s">
        <v>180</v>
      </c>
      <c r="F250" s="2" t="s">
        <v>115</v>
      </c>
      <c r="G250" s="2" t="s">
        <v>42</v>
      </c>
      <c r="H250" s="2" t="s">
        <v>43</v>
      </c>
      <c r="I250" s="2" t="s">
        <v>44</v>
      </c>
      <c r="J250" s="2" t="s">
        <v>30</v>
      </c>
      <c r="K250" s="2" t="s">
        <v>109</v>
      </c>
      <c r="L250" s="2" t="s">
        <v>1305</v>
      </c>
      <c r="M250" s="2" t="s">
        <v>33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34</v>
      </c>
      <c r="U250" s="2" t="s">
        <v>35</v>
      </c>
      <c r="V250" s="2" t="str">
        <f t="shared" si="9"/>
        <v>ORD-2024-1024906/02/202407-06-2024CUST-6278Rohan MehtaHome OfficeEastOdishaBhubaneswarOffice SuppliesLabelsBasic Labels 432Second Class9787.910.156027.514883.821143.69PaidCompleted</v>
      </c>
      <c r="W250" s="2">
        <f t="shared" si="10"/>
        <v>1</v>
      </c>
      <c r="X250">
        <f t="shared" si="11"/>
        <v>1</v>
      </c>
    </row>
    <row r="251" spans="1:25">
      <c r="A251" s="2" t="s">
        <v>1306</v>
      </c>
      <c r="B251" s="2" t="s">
        <v>820</v>
      </c>
      <c r="C251" s="2" t="s">
        <v>1307</v>
      </c>
      <c r="D251" s="2" t="s">
        <v>1308</v>
      </c>
      <c r="E251" s="2" t="s">
        <v>40</v>
      </c>
      <c r="F251" s="2" t="s">
        <v>108</v>
      </c>
      <c r="G251" s="2" t="s">
        <v>27</v>
      </c>
      <c r="H251" s="2" t="s">
        <v>28</v>
      </c>
      <c r="I251" s="2" t="s">
        <v>29</v>
      </c>
      <c r="J251" s="2" t="s">
        <v>45</v>
      </c>
      <c r="K251" s="2" t="s">
        <v>65</v>
      </c>
      <c r="L251" s="2" t="s">
        <v>1309</v>
      </c>
      <c r="M251" s="2" t="s">
        <v>56</v>
      </c>
      <c r="N251" s="2">
        <v>4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34</v>
      </c>
      <c r="U251" s="2" t="s">
        <v>35</v>
      </c>
      <c r="V251" s="2" t="str">
        <f t="shared" si="9"/>
        <v>ORD-2025-1025008/01/202508/02/2025CUST-2305Mira DasCorporateNorthRajasthanJaipurFurnitureFurnishingsClassic Furnishings 378First Class42790.290.28928.935634.383294.55PaidCompleted</v>
      </c>
      <c r="W251" s="2">
        <f t="shared" si="10"/>
        <v>1</v>
      </c>
      <c r="X251">
        <f t="shared" si="11"/>
        <v>1</v>
      </c>
    </row>
    <row r="252" spans="1:25">
      <c r="A252" s="2" t="s">
        <v>1310</v>
      </c>
      <c r="B252" s="2" t="s">
        <v>1311</v>
      </c>
      <c r="C252" s="2" t="s">
        <v>1312</v>
      </c>
      <c r="D252" s="2" t="s">
        <v>1313</v>
      </c>
      <c r="E252" s="2" t="s">
        <v>61</v>
      </c>
      <c r="F252" s="2" t="s">
        <v>41</v>
      </c>
      <c r="G252" s="2" t="s">
        <v>42</v>
      </c>
      <c r="H252" s="2" t="s">
        <v>121</v>
      </c>
      <c r="I252" s="2" t="s">
        <v>122</v>
      </c>
      <c r="J252" s="2" t="s">
        <v>45</v>
      </c>
      <c r="K252" s="2" t="s">
        <v>65</v>
      </c>
      <c r="L252" s="2" t="s">
        <v>1314</v>
      </c>
      <c r="M252" s="2" t="s">
        <v>67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137</v>
      </c>
      <c r="U252" s="2" t="s">
        <v>125</v>
      </c>
      <c r="V252" s="2" t="str">
        <f t="shared" si="9"/>
        <v>ORD-2024-1025102/21/202402/27/2024CUST-5351Arjun BoseSmall BusinessEastWest BengalKolkataFurnitureFurnishingsPrime Furnishings 781Standard Class53373.860.1514338.911897.652441.25PendingReturned</v>
      </c>
      <c r="W252" s="2">
        <f t="shared" si="10"/>
        <v>2</v>
      </c>
      <c r="X252">
        <f t="shared" si="11"/>
        <v>2</v>
      </c>
      <c r="Y252" s="2" t="s">
        <v>4096</v>
      </c>
    </row>
    <row r="253" spans="1:25">
      <c r="A253" s="2" t="s">
        <v>1315</v>
      </c>
      <c r="B253" s="2" t="s">
        <v>1316</v>
      </c>
      <c r="C253" s="2" t="s">
        <v>90</v>
      </c>
      <c r="D253" s="2" t="s">
        <v>1317</v>
      </c>
      <c r="E253" s="2" t="s">
        <v>72</v>
      </c>
      <c r="F253" s="2" t="s">
        <v>108</v>
      </c>
      <c r="G253" s="2" t="s">
        <v>73</v>
      </c>
      <c r="H253" s="2" t="s">
        <v>235</v>
      </c>
      <c r="I253" s="2" t="s">
        <v>236</v>
      </c>
      <c r="J253" s="2" t="s">
        <v>45</v>
      </c>
      <c r="K253" s="2" t="s">
        <v>46</v>
      </c>
      <c r="L253" s="2" t="s">
        <v>1318</v>
      </c>
      <c r="M253" s="2" t="s">
        <v>33</v>
      </c>
      <c r="N253" s="2">
        <v>6</v>
      </c>
      <c r="O253" s="2">
        <v>1022.16</v>
      </c>
      <c r="P253" s="2">
        <v>0</v>
      </c>
      <c r="Q253" s="2">
        <v>6132.96</v>
      </c>
      <c r="R253" s="2">
        <v>4881.1000000000004</v>
      </c>
      <c r="S253" s="2">
        <v>1251.8599999999999</v>
      </c>
      <c r="T253" s="2" t="s">
        <v>34</v>
      </c>
      <c r="U253" s="2" t="s">
        <v>35</v>
      </c>
      <c r="V253" s="2" t="str">
        <f t="shared" si="9"/>
        <v>ORD-2025-102522025-04-0604/10/2025CUST-6268Ananya RaoCorporateWestGujaratAhmedabadFurnitureTablesPrime Tables 263Second Class61022.1606132.964881.11251.86PaidCompleted</v>
      </c>
      <c r="W253" s="2">
        <f t="shared" si="10"/>
        <v>1</v>
      </c>
      <c r="X253">
        <f t="shared" si="11"/>
        <v>1</v>
      </c>
    </row>
    <row r="254" spans="1:25">
      <c r="A254" s="2" t="s">
        <v>1319</v>
      </c>
      <c r="B254" s="2" t="s">
        <v>1320</v>
      </c>
      <c r="C254" s="2" t="s">
        <v>1215</v>
      </c>
      <c r="D254" s="2" t="s">
        <v>1321</v>
      </c>
      <c r="E254" s="2" t="s">
        <v>61</v>
      </c>
      <c r="F254" s="2" t="s">
        <v>108</v>
      </c>
      <c r="G254" s="2" t="s">
        <v>27</v>
      </c>
      <c r="H254" s="2" t="s">
        <v>323</v>
      </c>
      <c r="I254" s="2" t="s">
        <v>324</v>
      </c>
      <c r="J254" s="2" t="s">
        <v>30</v>
      </c>
      <c r="K254" s="2" t="s">
        <v>156</v>
      </c>
      <c r="L254" s="2" t="s">
        <v>1322</v>
      </c>
      <c r="M254" s="2" t="s">
        <v>56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137</v>
      </c>
      <c r="U254" s="2" t="s">
        <v>125</v>
      </c>
      <c r="V254" s="2" t="str">
        <f t="shared" si="9"/>
        <v>ORD-2025-1025325-06-20252025-06-28CUST-2103Arjun BoseCorporateNorthHaryanaGurugramOffice SuppliesStorageBasic Storage 269First Class21455.920.22329.471603.62725.85PendingReturned</v>
      </c>
      <c r="W254" s="2">
        <f t="shared" si="10"/>
        <v>1</v>
      </c>
      <c r="X254">
        <f t="shared" si="11"/>
        <v>1</v>
      </c>
    </row>
    <row r="255" spans="1:25">
      <c r="A255" s="2" t="s">
        <v>1323</v>
      </c>
      <c r="B255" s="2" t="s">
        <v>1324</v>
      </c>
      <c r="C255" s="2" t="s">
        <v>1325</v>
      </c>
      <c r="D255" s="2" t="s">
        <v>1326</v>
      </c>
      <c r="E255" s="2" t="s">
        <v>142</v>
      </c>
      <c r="F255" s="2" t="s">
        <v>41</v>
      </c>
      <c r="G255" s="2" t="s">
        <v>27</v>
      </c>
      <c r="H255" s="2" t="s">
        <v>28</v>
      </c>
      <c r="I255" s="2" t="s">
        <v>29</v>
      </c>
      <c r="J255" s="2" t="s">
        <v>86</v>
      </c>
      <c r="K255" s="2" t="s">
        <v>223</v>
      </c>
      <c r="L255" s="2" t="s">
        <v>1327</v>
      </c>
      <c r="M255" s="2" t="s">
        <v>48</v>
      </c>
      <c r="N255" s="2">
        <v>6</v>
      </c>
      <c r="O255" s="2">
        <v>832.79</v>
      </c>
      <c r="P255" s="2">
        <v>0.05</v>
      </c>
      <c r="Q255" s="2">
        <v>4746.8999999999996</v>
      </c>
      <c r="R255" s="2">
        <v>2825.38</v>
      </c>
      <c r="S255" s="2">
        <v>1472.89</v>
      </c>
      <c r="T255" s="2" t="s">
        <v>124</v>
      </c>
      <c r="U255" s="2" t="s">
        <v>78</v>
      </c>
      <c r="V255" s="2" t="str">
        <f t="shared" si="9"/>
        <v>ORD-2024-102542024-09-1209/13/2024CUST-5394Priya MenonSmall BusinessNorthRajasthanJaipurTechnologyPhonesClassic Phones 442Same Day6832.790.054746.92825.381472.89RefundedCancelled</v>
      </c>
      <c r="W255" s="2">
        <f t="shared" si="10"/>
        <v>1</v>
      </c>
      <c r="X255">
        <f t="shared" si="11"/>
        <v>1</v>
      </c>
    </row>
    <row r="256" spans="1:25">
      <c r="A256" s="2" t="s">
        <v>1328</v>
      </c>
      <c r="B256" s="2" t="s">
        <v>1329</v>
      </c>
      <c r="C256" s="2" t="s">
        <v>1330</v>
      </c>
      <c r="D256" s="2" t="s">
        <v>1331</v>
      </c>
      <c r="E256" s="2" t="s">
        <v>72</v>
      </c>
      <c r="F256" s="2" t="s">
        <v>26</v>
      </c>
      <c r="G256" s="2" t="s">
        <v>73</v>
      </c>
      <c r="H256" s="2" t="s">
        <v>84</v>
      </c>
      <c r="I256" s="2" t="s">
        <v>85</v>
      </c>
      <c r="J256" s="2" t="s">
        <v>86</v>
      </c>
      <c r="K256" s="2" t="s">
        <v>87</v>
      </c>
      <c r="L256" s="2" t="s">
        <v>1332</v>
      </c>
      <c r="M256" s="2" t="s">
        <v>48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34</v>
      </c>
      <c r="U256" s="2" t="s">
        <v>125</v>
      </c>
      <c r="V256" s="2" t="str">
        <f t="shared" si="9"/>
        <v>ORD-2025-1025501/01/202503-01-2025CUST-6853Ananya RaoConsumerWestMadhya PradeshIndoreTechnologyAccessoriesElite Accessories 978Same Day71000.550.25603.083132.522470.56PaidReturned</v>
      </c>
      <c r="W256" s="2">
        <f t="shared" si="10"/>
        <v>1</v>
      </c>
      <c r="X256">
        <f t="shared" si="11"/>
        <v>1</v>
      </c>
    </row>
    <row r="257" spans="1:24">
      <c r="A257" s="2" t="s">
        <v>1333</v>
      </c>
      <c r="B257" s="2" t="s">
        <v>1334</v>
      </c>
      <c r="C257" s="2" t="s">
        <v>1335</v>
      </c>
      <c r="D257" s="2" t="s">
        <v>1336</v>
      </c>
      <c r="E257" s="2" t="s">
        <v>53</v>
      </c>
      <c r="F257" s="2" t="s">
        <v>108</v>
      </c>
      <c r="G257" s="2" t="s">
        <v>73</v>
      </c>
      <c r="H257" s="2" t="s">
        <v>74</v>
      </c>
      <c r="I257" s="2" t="s">
        <v>75</v>
      </c>
      <c r="J257" s="2" t="s">
        <v>86</v>
      </c>
      <c r="K257" s="2" t="s">
        <v>223</v>
      </c>
      <c r="L257" s="2" t="s">
        <v>1337</v>
      </c>
      <c r="M257" s="2" t="s">
        <v>56</v>
      </c>
      <c r="N257" s="2">
        <v>7</v>
      </c>
      <c r="O257" s="2">
        <v>1830</v>
      </c>
      <c r="P257" s="2">
        <v>0</v>
      </c>
      <c r="Q257" s="2">
        <v>12810</v>
      </c>
      <c r="R257" s="2">
        <v>9334.1200000000008</v>
      </c>
      <c r="S257" s="2">
        <v>3475.88</v>
      </c>
      <c r="T257" s="2" t="s">
        <v>34</v>
      </c>
      <c r="U257" s="2" t="s">
        <v>35</v>
      </c>
      <c r="V257" s="2" t="str">
        <f t="shared" si="9"/>
        <v>ORD-2025-102562025-02-0402/10/2025CUST-1549Isha NairCorporateWestMaharashtraMumbaiTechnologyPhonesEco Phones 132First Class718300128109334.123475.88PaidCompleted</v>
      </c>
      <c r="W257" s="2">
        <f t="shared" si="10"/>
        <v>1</v>
      </c>
      <c r="X257">
        <f t="shared" si="11"/>
        <v>1</v>
      </c>
    </row>
    <row r="258" spans="1:24">
      <c r="A258" s="2" t="s">
        <v>1338</v>
      </c>
      <c r="B258" s="2" t="s">
        <v>1339</v>
      </c>
      <c r="C258" s="2" t="s">
        <v>483</v>
      </c>
      <c r="D258" s="2" t="s">
        <v>1340</v>
      </c>
      <c r="E258" s="2" t="s">
        <v>72</v>
      </c>
      <c r="F258" s="2" t="s">
        <v>26</v>
      </c>
      <c r="G258" s="2" t="s">
        <v>42</v>
      </c>
      <c r="H258" s="2" t="s">
        <v>121</v>
      </c>
      <c r="I258" s="2" t="s">
        <v>122</v>
      </c>
      <c r="J258" s="2" t="s">
        <v>45</v>
      </c>
      <c r="K258" s="2" t="s">
        <v>46</v>
      </c>
      <c r="L258" s="2" t="s">
        <v>1341</v>
      </c>
      <c r="M258" s="2" t="s">
        <v>56</v>
      </c>
      <c r="N258" s="2">
        <v>9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34</v>
      </c>
      <c r="U258" s="2" t="s">
        <v>35</v>
      </c>
      <c r="V258" s="2" t="str">
        <f t="shared" si="9"/>
        <v>ORD-2024-102572024-11-0503 Nov 2024CUST-8411Ananya RaoConsumerEastWest BengalKolkataFurnitureTablesPrime Tables 481First Class92260.610.0519328.2212039.57288.72PaidCompleted</v>
      </c>
      <c r="W258" s="2">
        <f t="shared" si="10"/>
        <v>1</v>
      </c>
      <c r="X258">
        <f t="shared" si="11"/>
        <v>1</v>
      </c>
    </row>
    <row r="259" spans="1:24">
      <c r="A259" s="2" t="s">
        <v>1342</v>
      </c>
      <c r="B259" s="2" t="s">
        <v>1343</v>
      </c>
      <c r="C259" s="2" t="s">
        <v>1344</v>
      </c>
      <c r="D259" s="2" t="s">
        <v>1345</v>
      </c>
      <c r="E259" s="2" t="s">
        <v>210</v>
      </c>
      <c r="F259" s="2" t="s">
        <v>108</v>
      </c>
      <c r="G259" s="2" t="s">
        <v>62</v>
      </c>
      <c r="H259" s="2" t="s">
        <v>229</v>
      </c>
      <c r="I259" s="2" t="s">
        <v>230</v>
      </c>
      <c r="J259" s="2" t="s">
        <v>86</v>
      </c>
      <c r="K259" s="2" t="s">
        <v>87</v>
      </c>
      <c r="L259" s="2" t="s">
        <v>1346</v>
      </c>
      <c r="M259" s="2" t="s">
        <v>33</v>
      </c>
      <c r="N259" s="2">
        <v>2</v>
      </c>
      <c r="O259" s="2">
        <v>3237.27</v>
      </c>
      <c r="P259" s="2">
        <v>0</v>
      </c>
      <c r="Q259" s="2">
        <v>6474.54</v>
      </c>
      <c r="R259" s="2">
        <v>5095.91</v>
      </c>
      <c r="S259" s="2">
        <v>1378.63</v>
      </c>
      <c r="T259" s="2" t="s">
        <v>34</v>
      </c>
      <c r="U259" s="2" t="s">
        <v>78</v>
      </c>
      <c r="V259" s="2" t="str">
        <f t="shared" ref="V259:V322" si="12">_xlfn.CONCAT(A259:U259)</f>
        <v>ORD-2025-102582025-08-092025-08-12CUST-5615Diya PatelCorporateSouthKarnatakaBengaluruTechnologyAccessoriesSmart Accessories 180Second Class23237.2706474.545095.911378.63PaidCancelled</v>
      </c>
      <c r="W259" s="2">
        <f t="shared" ref="W259:W322" si="13">COUNTIF($V$2:$V$933,V259)</f>
        <v>1</v>
      </c>
      <c r="X259">
        <f t="shared" ref="X259:X322" si="14">COUNTIF($A$2:$A$933,A259)</f>
        <v>1</v>
      </c>
    </row>
    <row r="260" spans="1:24">
      <c r="A260" s="2" t="s">
        <v>1347</v>
      </c>
      <c r="B260" s="2" t="s">
        <v>825</v>
      </c>
      <c r="C260" s="2" t="s">
        <v>1348</v>
      </c>
      <c r="D260" s="2" t="s">
        <v>1349</v>
      </c>
      <c r="E260" s="2" t="s">
        <v>168</v>
      </c>
      <c r="F260" s="2" t="s">
        <v>108</v>
      </c>
      <c r="G260" s="2" t="s">
        <v>62</v>
      </c>
      <c r="H260" s="2" t="s">
        <v>339</v>
      </c>
      <c r="I260" s="2" t="s">
        <v>340</v>
      </c>
      <c r="J260" s="2" t="s">
        <v>45</v>
      </c>
      <c r="K260" s="2" t="s">
        <v>46</v>
      </c>
      <c r="L260" s="2" t="s">
        <v>1350</v>
      </c>
      <c r="M260" s="2" t="s">
        <v>48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34</v>
      </c>
      <c r="U260" s="2" t="s">
        <v>35</v>
      </c>
      <c r="V260" s="2" t="str">
        <f t="shared" si="12"/>
        <v>ORD-2024-102592024-12-302025-01-04CUST-8467Sneha KapoorCorporateSouthTamil NaduChennaiFurnitureTablesSmart Tables 774Same Day23720.070.255580.114307.011273.1PaidCompleted</v>
      </c>
      <c r="W260" s="2">
        <f t="shared" si="13"/>
        <v>1</v>
      </c>
      <c r="X260">
        <f t="shared" si="14"/>
        <v>1</v>
      </c>
    </row>
    <row r="261" spans="1:24">
      <c r="A261" s="2" t="s">
        <v>1351</v>
      </c>
      <c r="B261" s="2" t="s">
        <v>1352</v>
      </c>
      <c r="C261" s="2" t="s">
        <v>1353</v>
      </c>
      <c r="D261" s="2" t="s">
        <v>1354</v>
      </c>
      <c r="E261" s="2" t="s">
        <v>93</v>
      </c>
      <c r="F261" s="2" t="s">
        <v>26</v>
      </c>
      <c r="G261" s="2" t="s">
        <v>62</v>
      </c>
      <c r="H261" s="2" t="s">
        <v>339</v>
      </c>
      <c r="I261" s="2" t="s">
        <v>340</v>
      </c>
      <c r="J261" s="2" t="s">
        <v>86</v>
      </c>
      <c r="K261" s="2" t="s">
        <v>382</v>
      </c>
      <c r="L261" s="2" t="s">
        <v>1355</v>
      </c>
      <c r="M261" s="2" t="s">
        <v>67</v>
      </c>
      <c r="N261" s="2">
        <v>8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34</v>
      </c>
      <c r="U261" s="2" t="s">
        <v>35</v>
      </c>
      <c r="V261" s="2" t="str">
        <f t="shared" si="12"/>
        <v>ORD-2024-1026006/21/202429 Jun 2024CUST-5174Neha GuptaConsumerSouthTamil NaduChennaiTechnologyMachinesPrime Machines 793Standard Class82853.920.218265.0910437.147827.95PaidCompleted</v>
      </c>
      <c r="W261" s="2">
        <f t="shared" si="13"/>
        <v>1</v>
      </c>
      <c r="X261">
        <f t="shared" si="14"/>
        <v>1</v>
      </c>
    </row>
    <row r="262" spans="1:24">
      <c r="A262" s="2" t="s">
        <v>1356</v>
      </c>
      <c r="B262" s="2" t="s">
        <v>1357</v>
      </c>
      <c r="C262" s="2" t="s">
        <v>1358</v>
      </c>
      <c r="D262" s="2" t="s">
        <v>1359</v>
      </c>
      <c r="E262" s="2" t="s">
        <v>107</v>
      </c>
      <c r="F262" s="2" t="s">
        <v>108</v>
      </c>
      <c r="G262" s="2" t="s">
        <v>42</v>
      </c>
      <c r="H262" s="2" t="s">
        <v>121</v>
      </c>
      <c r="I262" s="2" t="s">
        <v>122</v>
      </c>
      <c r="J262" s="2" t="s">
        <v>30</v>
      </c>
      <c r="K262" s="2" t="s">
        <v>198</v>
      </c>
      <c r="L262" s="2" t="s">
        <v>1360</v>
      </c>
      <c r="M262" s="2" t="s">
        <v>48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200</v>
      </c>
      <c r="U262" s="2" t="s">
        <v>125</v>
      </c>
      <c r="V262" s="2" t="str">
        <f t="shared" si="12"/>
        <v>ORD-2025-102612025-09-2309/27/2025CUST-3543Aditi SenCorporateEastWest BengalKolkataOffice SuppliesBindersElite Binders 827Same Day72897.120.2515209.8810891.154318.73FailedReturned</v>
      </c>
      <c r="W262" s="2">
        <f t="shared" si="13"/>
        <v>1</v>
      </c>
      <c r="X262">
        <f t="shared" si="14"/>
        <v>1</v>
      </c>
    </row>
    <row r="263" spans="1:24">
      <c r="A263" s="2" t="s">
        <v>1361</v>
      </c>
      <c r="B263" s="2" t="s">
        <v>1362</v>
      </c>
      <c r="C263" s="2" t="s">
        <v>1363</v>
      </c>
      <c r="D263" s="2" t="s">
        <v>1364</v>
      </c>
      <c r="E263" s="2" t="s">
        <v>168</v>
      </c>
      <c r="F263" s="2" t="s">
        <v>108</v>
      </c>
      <c r="G263" s="2" t="s">
        <v>27</v>
      </c>
      <c r="H263" s="2" t="s">
        <v>28</v>
      </c>
      <c r="I263" s="2" t="s">
        <v>29</v>
      </c>
      <c r="J263" s="2" t="s">
        <v>30</v>
      </c>
      <c r="K263" s="2" t="s">
        <v>109</v>
      </c>
      <c r="L263" s="2" t="s">
        <v>1365</v>
      </c>
      <c r="M263" s="2" t="s">
        <v>67</v>
      </c>
      <c r="N263" s="2">
        <v>3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200</v>
      </c>
      <c r="U263" s="2" t="s">
        <v>78</v>
      </c>
      <c r="V263" s="2" t="str">
        <f t="shared" si="12"/>
        <v>ORD-2025-1026206/18/202506/24/2025CUST-7623Sneha KapoorCorporateNorthRajasthanJaipurOffice SuppliesLabelsPrime Labels 326Standard Class3686.740.21648.18987.91660.27FailedCancelled</v>
      </c>
      <c r="W263" s="2">
        <f t="shared" si="13"/>
        <v>1</v>
      </c>
      <c r="X263">
        <f t="shared" si="14"/>
        <v>1</v>
      </c>
    </row>
    <row r="264" spans="1:24">
      <c r="A264" s="2" t="s">
        <v>1366</v>
      </c>
      <c r="B264" s="2" t="s">
        <v>1367</v>
      </c>
      <c r="C264" s="2" t="s">
        <v>1368</v>
      </c>
      <c r="D264" s="2" t="s">
        <v>950</v>
      </c>
      <c r="E264" s="2" t="s">
        <v>61</v>
      </c>
      <c r="F264" s="2" t="s">
        <v>41</v>
      </c>
      <c r="G264" s="2" t="s">
        <v>27</v>
      </c>
      <c r="H264" s="2" t="s">
        <v>506</v>
      </c>
      <c r="I264" s="2" t="s">
        <v>507</v>
      </c>
      <c r="J264" s="2" t="s">
        <v>86</v>
      </c>
      <c r="K264" s="2" t="s">
        <v>223</v>
      </c>
      <c r="L264" s="2" t="s">
        <v>1369</v>
      </c>
      <c r="M264" s="2" t="s">
        <v>48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137</v>
      </c>
      <c r="U264" s="2" t="s">
        <v>125</v>
      </c>
      <c r="V264" s="2" t="str">
        <f t="shared" si="12"/>
        <v>ORD-2025-102632025-05-2601 Jun 2025CUST-6153Arjun BoseSmall BusinessNorthDelhiNew DelhiTechnologyPhonesEco Phones 245Same Day43349.86013399.448581.354818.09PendingReturned</v>
      </c>
      <c r="W264" s="2">
        <f t="shared" si="13"/>
        <v>1</v>
      </c>
      <c r="X264">
        <f t="shared" si="14"/>
        <v>1</v>
      </c>
    </row>
    <row r="265" spans="1:24">
      <c r="A265" s="2" t="s">
        <v>1370</v>
      </c>
      <c r="B265" s="2" t="s">
        <v>1371</v>
      </c>
      <c r="C265" s="2" t="s">
        <v>944</v>
      </c>
      <c r="D265" s="2" t="s">
        <v>1372</v>
      </c>
      <c r="E265" s="2" t="s">
        <v>180</v>
      </c>
      <c r="F265" s="2" t="s">
        <v>41</v>
      </c>
      <c r="G265" s="2" t="s">
        <v>27</v>
      </c>
      <c r="H265" s="2" t="s">
        <v>506</v>
      </c>
      <c r="I265" s="2" t="s">
        <v>507</v>
      </c>
      <c r="J265" s="2" t="s">
        <v>30</v>
      </c>
      <c r="K265" s="2" t="s">
        <v>198</v>
      </c>
      <c r="L265" s="2" t="s">
        <v>1373</v>
      </c>
      <c r="M265" s="2" t="s">
        <v>33</v>
      </c>
      <c r="N265" s="2">
        <v>9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10291.790000000001</v>
      </c>
      <c r="T265" s="2" t="s">
        <v>137</v>
      </c>
      <c r="U265" s="2" t="s">
        <v>125</v>
      </c>
      <c r="V265" s="2" t="str">
        <f t="shared" si="12"/>
        <v>ORD-2025-1026406 Aug 202510-08-2025CUST-8265Rohan MehtaSmall BusinessNorthDelhiNew DelhiOffice SuppliesBindersSmart Binders 905Second Class94042.450.132743.8422452.0510291.79PendingReturned</v>
      </c>
      <c r="W265" s="2">
        <f t="shared" si="13"/>
        <v>1</v>
      </c>
      <c r="X265">
        <f t="shared" si="14"/>
        <v>1</v>
      </c>
    </row>
    <row r="266" spans="1:24">
      <c r="A266" s="2" t="s">
        <v>1374</v>
      </c>
      <c r="B266" s="2" t="s">
        <v>1375</v>
      </c>
      <c r="C266" s="2" t="s">
        <v>1376</v>
      </c>
      <c r="D266" s="2" t="s">
        <v>1377</v>
      </c>
      <c r="E266" s="2" t="s">
        <v>210</v>
      </c>
      <c r="F266" s="2" t="s">
        <v>41</v>
      </c>
      <c r="G266" s="2" t="s">
        <v>42</v>
      </c>
      <c r="H266" s="2" t="s">
        <v>186</v>
      </c>
      <c r="I266" s="2" t="s">
        <v>187</v>
      </c>
      <c r="J266" s="2" t="s">
        <v>86</v>
      </c>
      <c r="K266" s="2" t="s">
        <v>94</v>
      </c>
      <c r="L266" s="2" t="s">
        <v>1378</v>
      </c>
      <c r="M266" s="2" t="s">
        <v>67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34</v>
      </c>
      <c r="U266" s="2" t="s">
        <v>35</v>
      </c>
      <c r="V266" s="2" t="str">
        <f t="shared" si="12"/>
        <v>ORD-2024-1026516-05-202405/21/2024CUST-4750Diya PatelSmall BusinessEastBiharPatnaTechnologyCopiersPro Copiers 599Standard Class41503.0706012.283927.642084.64PaidCompleted</v>
      </c>
      <c r="W266" s="2">
        <f t="shared" si="13"/>
        <v>1</v>
      </c>
      <c r="X266">
        <f t="shared" si="14"/>
        <v>1</v>
      </c>
    </row>
    <row r="267" spans="1:24">
      <c r="A267" s="2" t="s">
        <v>1379</v>
      </c>
      <c r="B267" s="2" t="s">
        <v>1380</v>
      </c>
      <c r="C267" s="2" t="s">
        <v>911</v>
      </c>
      <c r="D267" s="2" t="s">
        <v>1381</v>
      </c>
      <c r="E267" s="2" t="s">
        <v>142</v>
      </c>
      <c r="F267" s="2" t="s">
        <v>108</v>
      </c>
      <c r="G267" s="2" t="s">
        <v>42</v>
      </c>
      <c r="H267" s="2" t="s">
        <v>186</v>
      </c>
      <c r="I267" s="2" t="s">
        <v>187</v>
      </c>
      <c r="J267" s="2" t="s">
        <v>45</v>
      </c>
      <c r="K267" s="2" t="s">
        <v>204</v>
      </c>
      <c r="L267" s="2" t="s">
        <v>1382</v>
      </c>
      <c r="M267" s="2" t="s">
        <v>48</v>
      </c>
      <c r="N267" s="2">
        <v>1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124</v>
      </c>
      <c r="U267" s="2" t="s">
        <v>78</v>
      </c>
      <c r="V267" s="2" t="str">
        <f t="shared" si="12"/>
        <v>ORD-2024-1026614 Nov 202411/22/2024CUST-3974Priya MenonCorporateEastBiharPatnaFurnitureBookcasesBasic Bookcases 570Same Day1582.370.15495.01285.13209.88RefundedCancelled</v>
      </c>
      <c r="W267" s="2">
        <f t="shared" si="13"/>
        <v>1</v>
      </c>
      <c r="X267">
        <f t="shared" si="14"/>
        <v>1</v>
      </c>
    </row>
    <row r="268" spans="1:24">
      <c r="A268" s="2" t="s">
        <v>1383</v>
      </c>
      <c r="B268" s="2" t="s">
        <v>1384</v>
      </c>
      <c r="C268" s="2" t="s">
        <v>1385</v>
      </c>
      <c r="D268" s="2" t="s">
        <v>1386</v>
      </c>
      <c r="E268" s="2" t="s">
        <v>93</v>
      </c>
      <c r="F268" s="2" t="s">
        <v>115</v>
      </c>
      <c r="G268" s="2" t="s">
        <v>73</v>
      </c>
      <c r="H268" s="2" t="s">
        <v>74</v>
      </c>
      <c r="I268" s="2" t="s">
        <v>75</v>
      </c>
      <c r="J268" s="2" t="s">
        <v>30</v>
      </c>
      <c r="K268" s="2" t="s">
        <v>156</v>
      </c>
      <c r="L268" s="2" t="s">
        <v>1387</v>
      </c>
      <c r="M268" s="2" t="s">
        <v>33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34</v>
      </c>
      <c r="U268" s="2" t="s">
        <v>35</v>
      </c>
      <c r="V268" s="2" t="str">
        <f t="shared" si="12"/>
        <v>ORD-2025-102672025-05-032025-05-10CUST-7114Neha GuptaHome OfficeWestMaharashtraMumbaiOffice SuppliesStorageClassic Storage 926Second Class34339.24013017.7210170.572847.15PaidCompleted</v>
      </c>
      <c r="W268" s="2">
        <f t="shared" si="13"/>
        <v>1</v>
      </c>
      <c r="X268">
        <f t="shared" si="14"/>
        <v>1</v>
      </c>
    </row>
    <row r="269" spans="1:24">
      <c r="A269" s="2" t="s">
        <v>1388</v>
      </c>
      <c r="B269" s="2" t="s">
        <v>1018</v>
      </c>
      <c r="C269" s="2" t="s">
        <v>1389</v>
      </c>
      <c r="D269" s="2" t="s">
        <v>1390</v>
      </c>
      <c r="E269" s="2" t="s">
        <v>210</v>
      </c>
      <c r="F269" s="2" t="s">
        <v>108</v>
      </c>
      <c r="G269" s="2" t="s">
        <v>42</v>
      </c>
      <c r="H269" s="2" t="s">
        <v>311</v>
      </c>
      <c r="I269" s="2" t="s">
        <v>312</v>
      </c>
      <c r="J269" s="2" t="s">
        <v>45</v>
      </c>
      <c r="K269" s="2" t="s">
        <v>65</v>
      </c>
      <c r="L269" s="2" t="s">
        <v>1391</v>
      </c>
      <c r="M269" s="2" t="s">
        <v>56</v>
      </c>
      <c r="N269" s="2">
        <v>4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34</v>
      </c>
      <c r="U269" s="2" t="s">
        <v>35</v>
      </c>
      <c r="V269" s="2" t="str">
        <f t="shared" si="12"/>
        <v>ORD-2025-1026828 May 202504-06-2025CUST-4431Diya PatelCorporateEastJharkhandRanchiFurnitureFurnishingsBasic Furnishings 372First Class4261.80.25785.4557.22228.18PaidCompleted</v>
      </c>
      <c r="W269" s="2">
        <f t="shared" si="13"/>
        <v>1</v>
      </c>
      <c r="X269">
        <f t="shared" si="14"/>
        <v>1</v>
      </c>
    </row>
    <row r="270" spans="1:24">
      <c r="A270" s="2" t="s">
        <v>1392</v>
      </c>
      <c r="B270" s="2" t="s">
        <v>1393</v>
      </c>
      <c r="C270" s="2" t="s">
        <v>1393</v>
      </c>
      <c r="D270" s="2" t="s">
        <v>1394</v>
      </c>
      <c r="E270" s="2" t="s">
        <v>162</v>
      </c>
      <c r="F270" s="2" t="s">
        <v>115</v>
      </c>
      <c r="G270" s="2" t="s">
        <v>27</v>
      </c>
      <c r="H270" s="2" t="s">
        <v>154</v>
      </c>
      <c r="I270" s="2" t="s">
        <v>155</v>
      </c>
      <c r="J270" s="2" t="s">
        <v>86</v>
      </c>
      <c r="K270" s="2" t="s">
        <v>87</v>
      </c>
      <c r="L270" s="2" t="s">
        <v>1395</v>
      </c>
      <c r="M270" s="2" t="s">
        <v>56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34</v>
      </c>
      <c r="U270" s="2" t="s">
        <v>35</v>
      </c>
      <c r="V270" s="2" t="str">
        <f t="shared" si="12"/>
        <v>ORD-2025-1026908/17/202508/17/2025CUST-1488Aarav SharmaHome OfficeNorthPunjabLudhianaTechnologyAccessoriesPrime Accessories 367First Class7632.20.253319.052124.61194.45PaidCompleted</v>
      </c>
      <c r="W270" s="2">
        <f t="shared" si="13"/>
        <v>1</v>
      </c>
      <c r="X270">
        <f t="shared" si="14"/>
        <v>1</v>
      </c>
    </row>
    <row r="271" spans="1:24">
      <c r="A271" s="2" t="s">
        <v>1396</v>
      </c>
      <c r="B271" s="2" t="s">
        <v>1335</v>
      </c>
      <c r="C271" s="2" t="s">
        <v>1397</v>
      </c>
      <c r="D271" s="2" t="s">
        <v>1398</v>
      </c>
      <c r="E271" s="2" t="s">
        <v>148</v>
      </c>
      <c r="F271" s="2" t="s">
        <v>41</v>
      </c>
      <c r="G271" s="2" t="s">
        <v>73</v>
      </c>
      <c r="H271" s="2" t="s">
        <v>28</v>
      </c>
      <c r="I271" s="2" t="s">
        <v>135</v>
      </c>
      <c r="J271" s="2" t="s">
        <v>45</v>
      </c>
      <c r="K271" s="2" t="s">
        <v>46</v>
      </c>
      <c r="L271" s="2" t="s">
        <v>1399</v>
      </c>
      <c r="M271" s="2" t="s">
        <v>48</v>
      </c>
      <c r="N271" s="2">
        <v>1</v>
      </c>
      <c r="O271" s="2">
        <v>1925.86</v>
      </c>
      <c r="P271" s="2">
        <v>0</v>
      </c>
      <c r="Q271" s="2">
        <v>1925.86</v>
      </c>
      <c r="R271" s="2">
        <v>1321.89</v>
      </c>
      <c r="S271" s="2">
        <v>603.97</v>
      </c>
      <c r="T271" s="2" t="s">
        <v>34</v>
      </c>
      <c r="U271" s="2" t="s">
        <v>35</v>
      </c>
      <c r="V271" s="2" t="str">
        <f t="shared" si="12"/>
        <v>ORD-2025-1027002/10/202502/12/2025CUST-1586Rahul VermaSmall BusinessWestRajasthanUdaipurFurnitureTablesMax Tables 526Same Day11925.8601925.861321.89603.97PaidCompleted</v>
      </c>
      <c r="W271" s="2">
        <f t="shared" si="13"/>
        <v>1</v>
      </c>
      <c r="X271">
        <f t="shared" si="14"/>
        <v>1</v>
      </c>
    </row>
    <row r="272" spans="1:24">
      <c r="A272" s="2" t="s">
        <v>1400</v>
      </c>
      <c r="B272" s="2" t="s">
        <v>1258</v>
      </c>
      <c r="C272" s="2" t="s">
        <v>563</v>
      </c>
      <c r="D272" s="2" t="s">
        <v>1401</v>
      </c>
      <c r="E272" s="2" t="s">
        <v>107</v>
      </c>
      <c r="F272" s="2" t="s">
        <v>108</v>
      </c>
      <c r="G272" s="2" t="s">
        <v>27</v>
      </c>
      <c r="H272" s="2" t="s">
        <v>174</v>
      </c>
      <c r="I272" s="2" t="s">
        <v>175</v>
      </c>
      <c r="J272" s="2" t="s">
        <v>86</v>
      </c>
      <c r="K272" s="2" t="s">
        <v>382</v>
      </c>
      <c r="L272" s="2" t="s">
        <v>1402</v>
      </c>
      <c r="M272" s="2" t="s">
        <v>48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34</v>
      </c>
      <c r="U272" s="2" t="s">
        <v>35</v>
      </c>
      <c r="V272" s="2" t="str">
        <f t="shared" si="12"/>
        <v>ORD-2024-1027101/12/202413-01-2024CUST-2487Aditi SenCorporateNorthUttar PradeshNoidaTechnologyMachinesPrime Machines 794Same Day3827.4402482.321520.21962.11PaidCompleted</v>
      </c>
      <c r="W272" s="2">
        <f t="shared" si="13"/>
        <v>1</v>
      </c>
      <c r="X272">
        <f t="shared" si="14"/>
        <v>1</v>
      </c>
    </row>
    <row r="273" spans="1:25">
      <c r="A273" s="2" t="s">
        <v>1403</v>
      </c>
      <c r="B273" s="2" t="s">
        <v>1404</v>
      </c>
      <c r="C273" s="2" t="s">
        <v>1405</v>
      </c>
      <c r="D273" s="2" t="s">
        <v>1406</v>
      </c>
      <c r="E273" s="2" t="s">
        <v>107</v>
      </c>
      <c r="F273" s="2" t="s">
        <v>26</v>
      </c>
      <c r="G273" s="2" t="s">
        <v>62</v>
      </c>
      <c r="H273" s="2" t="s">
        <v>63</v>
      </c>
      <c r="I273" s="2" t="s">
        <v>64</v>
      </c>
      <c r="J273" s="2" t="s">
        <v>30</v>
      </c>
      <c r="K273" s="2" t="s">
        <v>198</v>
      </c>
      <c r="L273" s="2" t="s">
        <v>1407</v>
      </c>
      <c r="M273" s="2" t="s">
        <v>67</v>
      </c>
      <c r="N273" s="2">
        <v>7</v>
      </c>
      <c r="O273" s="2">
        <v>1667.75</v>
      </c>
      <c r="P273" s="2">
        <v>0</v>
      </c>
      <c r="Q273" s="2">
        <v>11674.25</v>
      </c>
      <c r="R273" s="2">
        <v>9621.19</v>
      </c>
      <c r="S273" s="2">
        <v>2053.06</v>
      </c>
      <c r="T273" s="2" t="s">
        <v>200</v>
      </c>
      <c r="U273" s="2" t="s">
        <v>78</v>
      </c>
      <c r="V273" s="2" t="str">
        <f t="shared" si="12"/>
        <v>ORD-2024-1027221 Dec 202425 Dec 2024CUST-8009Aditi SenConsumerSouthTelanganaHyderabadOffice SuppliesBindersMax Binders 927Standard Class71667.75011674.259621.192053.06FailedCancelled</v>
      </c>
      <c r="W273" s="2">
        <f t="shared" si="13"/>
        <v>1</v>
      </c>
      <c r="X273">
        <f t="shared" si="14"/>
        <v>1</v>
      </c>
    </row>
    <row r="274" spans="1:25">
      <c r="A274" s="2" t="s">
        <v>1408</v>
      </c>
      <c r="B274" s="2" t="s">
        <v>1409</v>
      </c>
      <c r="C274" s="2" t="s">
        <v>1410</v>
      </c>
      <c r="D274" s="2" t="s">
        <v>1411</v>
      </c>
      <c r="E274" s="2" t="s">
        <v>61</v>
      </c>
      <c r="F274" s="2" t="s">
        <v>26</v>
      </c>
      <c r="G274" s="2" t="s">
        <v>62</v>
      </c>
      <c r="H274" s="2" t="s">
        <v>100</v>
      </c>
      <c r="I274" s="2" t="s">
        <v>101</v>
      </c>
      <c r="J274" s="2" t="s">
        <v>45</v>
      </c>
      <c r="K274" s="2" t="s">
        <v>76</v>
      </c>
      <c r="L274" s="2" t="s">
        <v>1412</v>
      </c>
      <c r="M274" s="2" t="s">
        <v>56</v>
      </c>
      <c r="N274" s="2">
        <v>7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34</v>
      </c>
      <c r="U274" s="2" t="s">
        <v>35</v>
      </c>
      <c r="V274" s="2" t="str">
        <f t="shared" si="12"/>
        <v>ORD-2024-1027308/18/202424 Aug 2024CUST-7389Arjun BoseConsumerSouthAndhra PradeshVijayawadaFurnitureChairsEco Chairs 314First Class7557.210.13510.422191.51213.48PaidCompleted</v>
      </c>
      <c r="W274" s="2">
        <f t="shared" si="13"/>
        <v>1</v>
      </c>
      <c r="X274">
        <f t="shared" si="14"/>
        <v>2</v>
      </c>
      <c r="Y274" s="2" t="s">
        <v>4097</v>
      </c>
    </row>
    <row r="275" spans="1:25">
      <c r="A275" s="2" t="s">
        <v>1413</v>
      </c>
      <c r="B275" s="2" t="s">
        <v>1414</v>
      </c>
      <c r="C275" s="2" t="s">
        <v>1415</v>
      </c>
      <c r="D275" s="2" t="s">
        <v>1416</v>
      </c>
      <c r="E275" s="2" t="s">
        <v>53</v>
      </c>
      <c r="F275" s="2" t="s">
        <v>26</v>
      </c>
      <c r="G275" s="2" t="s">
        <v>42</v>
      </c>
      <c r="H275" s="2" t="s">
        <v>186</v>
      </c>
      <c r="I275" s="2" t="s">
        <v>187</v>
      </c>
      <c r="J275" s="2" t="s">
        <v>30</v>
      </c>
      <c r="K275" s="2" t="s">
        <v>31</v>
      </c>
      <c r="L275" s="2" t="s">
        <v>1417</v>
      </c>
      <c r="M275" s="2" t="s">
        <v>33</v>
      </c>
      <c r="N275" s="2">
        <v>9</v>
      </c>
      <c r="O275" s="2">
        <v>2521.63</v>
      </c>
      <c r="P275" s="2">
        <v>0</v>
      </c>
      <c r="Q275" s="2">
        <v>22694.67</v>
      </c>
      <c r="R275" s="2">
        <v>15405.36</v>
      </c>
      <c r="S275" s="2">
        <v>7289.31</v>
      </c>
      <c r="T275" s="2" t="s">
        <v>34</v>
      </c>
      <c r="U275" s="2" t="s">
        <v>125</v>
      </c>
      <c r="V275" s="2" t="str">
        <f t="shared" si="12"/>
        <v>ORD-2025-1027402/13/202513 Feb 2025CUST-8249Isha NairConsumerEastBiharPatnaOffice SuppliesPaperBasic Paper 657Second Class92521.63022694.6715405.367289.31PaidReturned</v>
      </c>
      <c r="W275" s="2">
        <f t="shared" si="13"/>
        <v>1</v>
      </c>
      <c r="X275">
        <f t="shared" si="14"/>
        <v>1</v>
      </c>
    </row>
    <row r="276" spans="1:25">
      <c r="A276" s="2" t="s">
        <v>1418</v>
      </c>
      <c r="B276" s="2" t="s">
        <v>1419</v>
      </c>
      <c r="C276" s="2" t="s">
        <v>1420</v>
      </c>
      <c r="D276" s="2" t="s">
        <v>1421</v>
      </c>
      <c r="E276" s="2" t="s">
        <v>180</v>
      </c>
      <c r="F276" s="2" t="s">
        <v>26</v>
      </c>
      <c r="G276" s="2" t="s">
        <v>62</v>
      </c>
      <c r="H276" s="2" t="s">
        <v>242</v>
      </c>
      <c r="I276" s="2" t="s">
        <v>243</v>
      </c>
      <c r="J276" s="2" t="s">
        <v>86</v>
      </c>
      <c r="K276" s="2" t="s">
        <v>94</v>
      </c>
      <c r="L276" s="2" t="s">
        <v>1422</v>
      </c>
      <c r="M276" s="2" t="s">
        <v>67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200</v>
      </c>
      <c r="U276" s="2" t="s">
        <v>125</v>
      </c>
      <c r="V276" s="2" t="str">
        <f t="shared" si="12"/>
        <v>ORD-2024-1027507-04-202414-04-2024CUST-4202Rohan MehtaConsumerSouthKeralaKochiTechnologyCopiersPro Copiers 406Standard Class64246.710.1521658.2215490.696167.53FailedReturned</v>
      </c>
      <c r="W276" s="2">
        <f t="shared" si="13"/>
        <v>1</v>
      </c>
      <c r="X276">
        <f t="shared" si="14"/>
        <v>1</v>
      </c>
    </row>
    <row r="277" spans="1:25">
      <c r="A277" s="2" t="s">
        <v>1423</v>
      </c>
      <c r="B277" s="2" t="s">
        <v>677</v>
      </c>
      <c r="C277" s="2" t="s">
        <v>1424</v>
      </c>
      <c r="D277" s="2" t="s">
        <v>1425</v>
      </c>
      <c r="E277" s="2" t="s">
        <v>142</v>
      </c>
      <c r="F277" s="2" t="s">
        <v>41</v>
      </c>
      <c r="G277" s="2" t="s">
        <v>42</v>
      </c>
      <c r="H277" s="2" t="s">
        <v>121</v>
      </c>
      <c r="I277" s="2" t="s">
        <v>122</v>
      </c>
      <c r="J277" s="2" t="s">
        <v>45</v>
      </c>
      <c r="K277" s="2" t="s">
        <v>65</v>
      </c>
      <c r="L277" s="2" t="s">
        <v>1426</v>
      </c>
      <c r="M277" s="2" t="s">
        <v>48</v>
      </c>
      <c r="N277" s="2">
        <v>1</v>
      </c>
      <c r="O277" s="2">
        <v>980.51</v>
      </c>
      <c r="P277" s="2">
        <v>0</v>
      </c>
      <c r="Q277" s="2">
        <v>980.51</v>
      </c>
      <c r="R277" s="2">
        <v>660.92</v>
      </c>
      <c r="S277" s="2">
        <v>319.58999999999997</v>
      </c>
      <c r="T277" s="2" t="s">
        <v>34</v>
      </c>
      <c r="U277" s="2" t="s">
        <v>35</v>
      </c>
      <c r="V277" s="2" t="str">
        <f t="shared" si="12"/>
        <v>ORD-2024-102762024-02-1502/22/2024CUST-2875Priya MenonSmall BusinessEastWest BengalKolkataFurnitureFurnishingsEco Furnishings 678Same Day1980.510980.51660.92319.59PaidCompleted</v>
      </c>
      <c r="W277" s="2">
        <f t="shared" si="13"/>
        <v>1</v>
      </c>
      <c r="X277">
        <f t="shared" si="14"/>
        <v>1</v>
      </c>
    </row>
    <row r="278" spans="1:25">
      <c r="A278" s="2" t="s">
        <v>1427</v>
      </c>
      <c r="B278" s="2" t="s">
        <v>1058</v>
      </c>
      <c r="C278" s="2" t="s">
        <v>1428</v>
      </c>
      <c r="D278" s="2" t="s">
        <v>1429</v>
      </c>
      <c r="E278" s="2" t="s">
        <v>162</v>
      </c>
      <c r="F278" s="2" t="s">
        <v>41</v>
      </c>
      <c r="H278" s="2" t="s">
        <v>216</v>
      </c>
      <c r="I278" s="2" t="s">
        <v>217</v>
      </c>
      <c r="J278" s="2" t="s">
        <v>45</v>
      </c>
      <c r="K278" s="2" t="s">
        <v>76</v>
      </c>
      <c r="L278" s="2" t="s">
        <v>1430</v>
      </c>
      <c r="M278" s="2" t="s">
        <v>33</v>
      </c>
      <c r="N278" s="2">
        <v>6</v>
      </c>
      <c r="O278" s="2">
        <v>3391.53</v>
      </c>
      <c r="P278" s="2">
        <v>-0.14000000000000001</v>
      </c>
      <c r="Q278" s="2">
        <v>15261.89</v>
      </c>
      <c r="R278" s="2">
        <v>8413.5300000000007</v>
      </c>
      <c r="S278" s="2">
        <v>6848.36</v>
      </c>
      <c r="T278" s="2" t="s">
        <v>34</v>
      </c>
      <c r="U278" s="2" t="s">
        <v>35</v>
      </c>
      <c r="V278" s="2" t="str">
        <f t="shared" si="12"/>
        <v>ORD-2024-1027722-01-202423-01-2024CUST-7039Aarav SharmaSmall BusinessAssamGuwahatiFurnitureChairsBasic Chairs 141Second Class63391.53-0.1415261.898413.536848.36PaidCompleted</v>
      </c>
      <c r="W278" s="2">
        <f t="shared" si="13"/>
        <v>2</v>
      </c>
      <c r="X278">
        <f t="shared" si="14"/>
        <v>2</v>
      </c>
      <c r="Y278" s="2" t="s">
        <v>4096</v>
      </c>
    </row>
    <row r="279" spans="1:25">
      <c r="A279" s="2" t="s">
        <v>1431</v>
      </c>
      <c r="B279" s="2" t="s">
        <v>1432</v>
      </c>
      <c r="C279" s="2" t="s">
        <v>1432</v>
      </c>
      <c r="D279" s="2" t="s">
        <v>1206</v>
      </c>
      <c r="E279" s="2" t="s">
        <v>53</v>
      </c>
      <c r="F279" s="2" t="s">
        <v>108</v>
      </c>
      <c r="G279" s="2" t="s">
        <v>27</v>
      </c>
      <c r="H279" s="2" t="s">
        <v>323</v>
      </c>
      <c r="I279" s="2" t="s">
        <v>324</v>
      </c>
      <c r="J279" s="2" t="s">
        <v>86</v>
      </c>
      <c r="K279" s="2" t="s">
        <v>87</v>
      </c>
      <c r="L279" s="2" t="s">
        <v>1433</v>
      </c>
      <c r="M279" s="2" t="s">
        <v>33</v>
      </c>
      <c r="N279" s="2">
        <v>1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137</v>
      </c>
      <c r="U279" s="2" t="s">
        <v>78</v>
      </c>
      <c r="V279" s="2" t="str">
        <f t="shared" si="12"/>
        <v>ORD-2025-1027804 Jun 202504 Jun 2025CUST-2819Isha NairCorporateNorthHaryanaGurugramTechnologyAccessoriesElite Accessories 291Second Class12133.730.152008.391002.57811.1PendingCancelled</v>
      </c>
      <c r="W279" s="2">
        <f t="shared" si="13"/>
        <v>1</v>
      </c>
      <c r="X279">
        <f t="shared" si="14"/>
        <v>1</v>
      </c>
    </row>
    <row r="280" spans="1:25">
      <c r="A280" s="2" t="s">
        <v>1434</v>
      </c>
      <c r="B280" s="2" t="s">
        <v>787</v>
      </c>
      <c r="C280" s="2" t="s">
        <v>1435</v>
      </c>
      <c r="D280" s="2" t="s">
        <v>1436</v>
      </c>
      <c r="E280" s="2" t="s">
        <v>142</v>
      </c>
      <c r="F280" s="2" t="s">
        <v>41</v>
      </c>
      <c r="G280" s="2" t="s">
        <v>27</v>
      </c>
      <c r="H280" s="2" t="s">
        <v>506</v>
      </c>
      <c r="I280" s="2" t="s">
        <v>507</v>
      </c>
      <c r="J280" s="2" t="s">
        <v>86</v>
      </c>
      <c r="K280" s="2" t="s">
        <v>87</v>
      </c>
      <c r="L280" s="2" t="s">
        <v>1437</v>
      </c>
      <c r="M280" s="2" t="s">
        <v>48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34</v>
      </c>
      <c r="U280" s="2" t="s">
        <v>125</v>
      </c>
      <c r="V280" s="2" t="str">
        <f t="shared" si="12"/>
        <v>ORD-2025-1027907-03-20252025-03-14CUST-8242Priya MenonSmall BusinessNorthDelhiNew DelhiTechnologyAccessoriesPro Accessories 207Same Day13979.640.053780.662148.311632.35PaidReturned</v>
      </c>
      <c r="W280" s="2">
        <f t="shared" si="13"/>
        <v>1</v>
      </c>
      <c r="X280">
        <f t="shared" si="14"/>
        <v>1</v>
      </c>
    </row>
    <row r="281" spans="1:25">
      <c r="A281" s="2" t="s">
        <v>1438</v>
      </c>
      <c r="B281" s="2" t="s">
        <v>1439</v>
      </c>
      <c r="C281" s="2" t="s">
        <v>1440</v>
      </c>
      <c r="D281" s="2" t="s">
        <v>1441</v>
      </c>
      <c r="E281" s="2" t="s">
        <v>180</v>
      </c>
      <c r="F281" s="2" t="s">
        <v>41</v>
      </c>
      <c r="G281" s="2" t="s">
        <v>73</v>
      </c>
      <c r="H281" s="2" t="s">
        <v>74</v>
      </c>
      <c r="I281" s="2" t="s">
        <v>75</v>
      </c>
      <c r="J281" s="2" t="s">
        <v>30</v>
      </c>
      <c r="K281" s="2" t="s">
        <v>156</v>
      </c>
      <c r="L281" s="2" t="s">
        <v>1442</v>
      </c>
      <c r="M281" s="2" t="s">
        <v>56</v>
      </c>
      <c r="N281" s="2">
        <v>1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34</v>
      </c>
      <c r="U281" s="2" t="s">
        <v>35</v>
      </c>
      <c r="V281" s="2" t="str">
        <f t="shared" si="12"/>
        <v>ORD-2024-1028004/09/202410 Apr 2024CUST-4571Rohan MehtaSmall BusinessWestMaharashtraMumbaiOffice SuppliesStorageMax Storage 564First Class14359.120.054141.162754.171386.99PaidCompleted</v>
      </c>
      <c r="W281" s="2">
        <f t="shared" si="13"/>
        <v>1</v>
      </c>
      <c r="X281">
        <f t="shared" si="14"/>
        <v>1</v>
      </c>
    </row>
    <row r="282" spans="1:25">
      <c r="A282" s="2" t="s">
        <v>1443</v>
      </c>
      <c r="B282" s="2" t="s">
        <v>1444</v>
      </c>
      <c r="C282" s="2" t="s">
        <v>1445</v>
      </c>
      <c r="D282" s="2" t="s">
        <v>1446</v>
      </c>
      <c r="E282" s="2" t="s">
        <v>107</v>
      </c>
      <c r="F282" s="2" t="s">
        <v>26</v>
      </c>
      <c r="G282" s="2" t="s">
        <v>62</v>
      </c>
      <c r="H282" s="2" t="s">
        <v>229</v>
      </c>
      <c r="I282" s="2" t="s">
        <v>230</v>
      </c>
      <c r="J282" s="2" t="s">
        <v>86</v>
      </c>
      <c r="K282" s="2" t="s">
        <v>94</v>
      </c>
      <c r="L282" s="2" t="s">
        <v>1447</v>
      </c>
      <c r="M282" s="2" t="s">
        <v>67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34</v>
      </c>
      <c r="U282" s="2" t="s">
        <v>35</v>
      </c>
      <c r="V282" s="2" t="str">
        <f t="shared" si="12"/>
        <v>ORD-2024-1028112/23/202426-12-2024CUST-4098Aditi SenConsumerSouthKarnatakaBengaluruTechnologyCopiersPrime Copiers 961Standard Class9993.6708943.035165.383777.65PaidCompleted</v>
      </c>
      <c r="W282" s="2">
        <f t="shared" si="13"/>
        <v>2</v>
      </c>
      <c r="X282">
        <f t="shared" si="14"/>
        <v>2</v>
      </c>
      <c r="Y282" s="2" t="s">
        <v>4096</v>
      </c>
    </row>
    <row r="283" spans="1:25">
      <c r="A283" s="2" t="s">
        <v>1448</v>
      </c>
      <c r="B283" s="2" t="s">
        <v>1449</v>
      </c>
      <c r="C283" s="2" t="s">
        <v>1450</v>
      </c>
      <c r="D283" s="2" t="s">
        <v>1451</v>
      </c>
      <c r="E283" s="2" t="s">
        <v>366</v>
      </c>
      <c r="F283" s="2" t="s">
        <v>26</v>
      </c>
      <c r="G283" s="2" t="s">
        <v>42</v>
      </c>
      <c r="H283" s="2" t="s">
        <v>311</v>
      </c>
      <c r="I283" s="2" t="s">
        <v>312</v>
      </c>
      <c r="J283" s="2" t="s">
        <v>30</v>
      </c>
      <c r="K283" s="2" t="s">
        <v>198</v>
      </c>
      <c r="L283" s="2" t="s">
        <v>1452</v>
      </c>
      <c r="M283" s="2" t="s">
        <v>33</v>
      </c>
      <c r="N283" s="2">
        <v>6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34</v>
      </c>
      <c r="U283" s="2" t="s">
        <v>35</v>
      </c>
      <c r="V283" s="2" t="str">
        <f t="shared" si="12"/>
        <v>ORD-2025-1028225-07-202507/27/2025CUST-2052Kabir SinghConsumerEastJharkhandRanchiOffice SuppliesBindersBasic Binders 637Second Class63438.380.216504.2211262.715241.51PaidCompleted</v>
      </c>
      <c r="W283" s="2">
        <f t="shared" si="13"/>
        <v>1</v>
      </c>
      <c r="X283">
        <f t="shared" si="14"/>
        <v>1</v>
      </c>
    </row>
    <row r="284" spans="1:25">
      <c r="A284" s="2" t="s">
        <v>1453</v>
      </c>
      <c r="B284" s="2" t="s">
        <v>1454</v>
      </c>
      <c r="C284" s="2" t="s">
        <v>1455</v>
      </c>
      <c r="D284" s="2" t="s">
        <v>1456</v>
      </c>
      <c r="E284" s="2" t="s">
        <v>25</v>
      </c>
      <c r="F284" s="2" t="s">
        <v>115</v>
      </c>
      <c r="G284" s="2" t="s">
        <v>42</v>
      </c>
      <c r="H284" s="2" t="s">
        <v>216</v>
      </c>
      <c r="I284" s="2" t="s">
        <v>217</v>
      </c>
      <c r="J284" s="2" t="s">
        <v>45</v>
      </c>
      <c r="K284" s="2" t="s">
        <v>46</v>
      </c>
      <c r="L284" s="2" t="s">
        <v>1457</v>
      </c>
      <c r="M284" s="2" t="s">
        <v>33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34</v>
      </c>
      <c r="U284" s="2" t="s">
        <v>35</v>
      </c>
      <c r="V284" s="2" t="str">
        <f t="shared" si="12"/>
        <v>ORD-2024-102832024-10-0110/02/2024CUST-9445Karan MalhotraHome OfficeEastAssamGuwahatiFurnitureTablesClassic Tables 811Second Class22298045963220.331375.67PaidCompleted</v>
      </c>
      <c r="W284" s="2">
        <f t="shared" si="13"/>
        <v>1</v>
      </c>
      <c r="X284">
        <f t="shared" si="14"/>
        <v>1</v>
      </c>
    </row>
    <row r="285" spans="1:25">
      <c r="A285" s="2" t="s">
        <v>1458</v>
      </c>
      <c r="B285" s="2" t="s">
        <v>1459</v>
      </c>
      <c r="C285" s="2" t="s">
        <v>1460</v>
      </c>
      <c r="D285" s="2" t="s">
        <v>1461</v>
      </c>
      <c r="E285" s="2" t="s">
        <v>83</v>
      </c>
      <c r="F285" s="2" t="s">
        <v>26</v>
      </c>
      <c r="G285" s="2" t="s">
        <v>73</v>
      </c>
      <c r="H285" s="2" t="s">
        <v>74</v>
      </c>
      <c r="I285" s="2" t="s">
        <v>75</v>
      </c>
      <c r="J285" s="2" t="s">
        <v>45</v>
      </c>
      <c r="K285" s="2" t="s">
        <v>65</v>
      </c>
      <c r="L285" s="2" t="s">
        <v>1462</v>
      </c>
      <c r="M285" s="2" t="s">
        <v>56</v>
      </c>
      <c r="N285" s="2">
        <v>1</v>
      </c>
      <c r="O285" s="2">
        <v>1814.01</v>
      </c>
      <c r="P285" s="2">
        <v>0</v>
      </c>
      <c r="Q285" s="2">
        <v>1814.01</v>
      </c>
      <c r="R285" s="2">
        <v>1033.47</v>
      </c>
      <c r="S285" s="2">
        <v>780.54</v>
      </c>
      <c r="T285" s="2" t="s">
        <v>34</v>
      </c>
      <c r="U285" s="2" t="s">
        <v>35</v>
      </c>
      <c r="V285" s="2" t="str">
        <f t="shared" si="12"/>
        <v>ORD-2025-1028403/13/202520-03-2025CUST-6568Vikram IyerConsumerWestMaharashtraMumbaiFurnitureFurnishingsClassic Furnishings 819First Class11814.0101814.011033.47780.54PaidCompleted</v>
      </c>
      <c r="W285" s="2">
        <f t="shared" si="13"/>
        <v>1</v>
      </c>
      <c r="X285">
        <f t="shared" si="14"/>
        <v>1</v>
      </c>
    </row>
    <row r="286" spans="1:25">
      <c r="A286" s="2" t="s">
        <v>1463</v>
      </c>
      <c r="B286" s="2" t="s">
        <v>1464</v>
      </c>
      <c r="C286" s="2" t="s">
        <v>1465</v>
      </c>
      <c r="D286" s="2" t="s">
        <v>1466</v>
      </c>
      <c r="E286" s="2" t="s">
        <v>25</v>
      </c>
      <c r="F286" s="2" t="s">
        <v>26</v>
      </c>
      <c r="G286" s="2" t="s">
        <v>42</v>
      </c>
      <c r="H286" s="2" t="s">
        <v>43</v>
      </c>
      <c r="I286" s="2" t="s">
        <v>44</v>
      </c>
      <c r="J286" s="2" t="s">
        <v>45</v>
      </c>
      <c r="K286" s="2" t="s">
        <v>46</v>
      </c>
      <c r="L286" s="2" t="s">
        <v>1467</v>
      </c>
      <c r="M286" s="2" t="s">
        <v>48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34</v>
      </c>
      <c r="U286" s="2" t="s">
        <v>125</v>
      </c>
      <c r="V286" s="2" t="str">
        <f t="shared" si="12"/>
        <v>ORD-2024-1028512/08/202412/14/2024CUST-2076Karan MalhotraConsumerEastOdishaBhubaneswarFurnitureTablesPrime Tables 542Same Day31576.9204730.763139.731591.03PaidReturned</v>
      </c>
      <c r="W286" s="2">
        <f t="shared" si="13"/>
        <v>1</v>
      </c>
      <c r="X286">
        <f t="shared" si="14"/>
        <v>1</v>
      </c>
    </row>
    <row r="287" spans="1:25">
      <c r="A287" s="2" t="s">
        <v>1468</v>
      </c>
      <c r="B287" s="2" t="s">
        <v>1469</v>
      </c>
      <c r="C287" s="2" t="s">
        <v>1470</v>
      </c>
      <c r="D287" s="2" t="s">
        <v>1471</v>
      </c>
      <c r="E287" s="2" t="s">
        <v>93</v>
      </c>
      <c r="F287" s="2" t="s">
        <v>115</v>
      </c>
      <c r="G287" s="2" t="s">
        <v>27</v>
      </c>
      <c r="H287" s="2" t="s">
        <v>28</v>
      </c>
      <c r="I287" s="2" t="s">
        <v>29</v>
      </c>
      <c r="J287" s="2" t="s">
        <v>30</v>
      </c>
      <c r="K287" s="2" t="s">
        <v>156</v>
      </c>
      <c r="L287" s="2" t="s">
        <v>1472</v>
      </c>
      <c r="M287" s="2" t="s">
        <v>67</v>
      </c>
      <c r="N287" s="2">
        <v>9</v>
      </c>
      <c r="O287" s="2">
        <v>4081.77</v>
      </c>
      <c r="P287" s="2">
        <v>0</v>
      </c>
      <c r="Q287" s="2">
        <v>36735.93</v>
      </c>
      <c r="R287" s="2">
        <v>30820.84</v>
      </c>
      <c r="S287" s="2">
        <v>5915.09</v>
      </c>
      <c r="T287" s="2" t="s">
        <v>34</v>
      </c>
      <c r="U287" s="2" t="s">
        <v>35</v>
      </c>
      <c r="V287" s="2" t="str">
        <f t="shared" si="12"/>
        <v>ORD-2025-102862025-08-152025-08-20CUST-5610Neha GuptaHome OfficeNorthRajasthanJaipurOffice SuppliesStorageBasic Storage 771Standard Class94081.77036735.9330820.845915.09PaidCompleted</v>
      </c>
      <c r="W287" s="2">
        <f t="shared" si="13"/>
        <v>1</v>
      </c>
      <c r="X287">
        <f t="shared" si="14"/>
        <v>1</v>
      </c>
    </row>
    <row r="288" spans="1:25">
      <c r="A288" s="2" t="s">
        <v>1473</v>
      </c>
      <c r="B288" s="2" t="s">
        <v>1474</v>
      </c>
      <c r="C288" s="2" t="s">
        <v>1475</v>
      </c>
      <c r="D288" s="2" t="s">
        <v>1476</v>
      </c>
      <c r="E288" s="2" t="s">
        <v>142</v>
      </c>
      <c r="F288" s="2" t="s">
        <v>41</v>
      </c>
      <c r="G288" s="2" t="s">
        <v>27</v>
      </c>
      <c r="H288" s="2" t="s">
        <v>506</v>
      </c>
      <c r="I288" s="2" t="s">
        <v>507</v>
      </c>
      <c r="J288" s="2" t="s">
        <v>45</v>
      </c>
      <c r="K288" s="2" t="s">
        <v>65</v>
      </c>
      <c r="L288" s="2" t="s">
        <v>1477</v>
      </c>
      <c r="M288" s="2" t="s">
        <v>56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137</v>
      </c>
      <c r="U288" s="2" t="s">
        <v>125</v>
      </c>
      <c r="V288" s="2" t="str">
        <f t="shared" si="12"/>
        <v>ORD-2024-1028728-02-202403/02/2024CUST-5823Priya MenonSmall BusinessNorthDelhiNew DelhiFurnitureFurnishingsPro Furnishings 848First Class7701.80.14421.342489.981931.36PendingReturned</v>
      </c>
      <c r="W288" s="2">
        <f t="shared" si="13"/>
        <v>1</v>
      </c>
      <c r="X288">
        <f t="shared" si="14"/>
        <v>1</v>
      </c>
    </row>
    <row r="289" spans="1:24">
      <c r="A289" s="2" t="s">
        <v>1478</v>
      </c>
      <c r="B289" s="2" t="s">
        <v>1479</v>
      </c>
      <c r="C289" s="2" t="s">
        <v>1480</v>
      </c>
      <c r="D289" s="2" t="s">
        <v>1481</v>
      </c>
      <c r="E289" s="2" t="s">
        <v>93</v>
      </c>
      <c r="F289" s="2" t="s">
        <v>41</v>
      </c>
      <c r="G289" s="2" t="s">
        <v>62</v>
      </c>
      <c r="H289" s="2" t="s">
        <v>339</v>
      </c>
      <c r="I289" s="2" t="s">
        <v>340</v>
      </c>
      <c r="J289" s="2" t="s">
        <v>86</v>
      </c>
      <c r="K289" s="2" t="s">
        <v>94</v>
      </c>
      <c r="L289" s="2" t="s">
        <v>1482</v>
      </c>
      <c r="M289" s="2" t="s">
        <v>67</v>
      </c>
      <c r="N289" s="2">
        <v>3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34</v>
      </c>
      <c r="U289" s="2" t="s">
        <v>78</v>
      </c>
      <c r="V289" s="2" t="str">
        <f t="shared" si="12"/>
        <v>ORD-2024-1028809/05/202407-09-2024CUST-7095Neha GuptaSmall BusinessSouthTamil NaduChennaiTechnologyCopiersPrime Copiers 924Standard Class32555.660.156516.934511.542005.39PaidCancelled</v>
      </c>
      <c r="W289" s="2">
        <f t="shared" si="13"/>
        <v>1</v>
      </c>
      <c r="X289">
        <f t="shared" si="14"/>
        <v>1</v>
      </c>
    </row>
    <row r="290" spans="1:24">
      <c r="A290" s="2" t="s">
        <v>1483</v>
      </c>
      <c r="B290" s="2" t="s">
        <v>1484</v>
      </c>
      <c r="C290" s="2" t="s">
        <v>1484</v>
      </c>
      <c r="D290" s="2" t="s">
        <v>1485</v>
      </c>
      <c r="E290" s="2" t="s">
        <v>180</v>
      </c>
      <c r="F290" s="2" t="s">
        <v>41</v>
      </c>
      <c r="G290" s="2" t="s">
        <v>42</v>
      </c>
      <c r="H290" s="2" t="s">
        <v>186</v>
      </c>
      <c r="I290" s="2" t="s">
        <v>187</v>
      </c>
      <c r="J290" s="2" t="s">
        <v>30</v>
      </c>
      <c r="K290" s="2" t="s">
        <v>198</v>
      </c>
      <c r="L290" s="2" t="s">
        <v>1486</v>
      </c>
      <c r="M290" s="2" t="s">
        <v>48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34</v>
      </c>
      <c r="U290" s="2" t="s">
        <v>35</v>
      </c>
      <c r="V290" s="2" t="str">
        <f t="shared" si="12"/>
        <v>ORD-2024-102892024-06-242024-06-24CUST-4805Rohan MehtaSmall BusinessEastBiharPatnaOffice SuppliesBindersClassic Binders 721Same Day24359.90.157411.834904.632507.2PaidCompleted</v>
      </c>
      <c r="W290" s="2">
        <f t="shared" si="13"/>
        <v>1</v>
      </c>
      <c r="X290">
        <f t="shared" si="14"/>
        <v>1</v>
      </c>
    </row>
    <row r="291" spans="1:24">
      <c r="A291" s="2" t="s">
        <v>1487</v>
      </c>
      <c r="B291" s="2" t="s">
        <v>254</v>
      </c>
      <c r="C291" s="2" t="s">
        <v>649</v>
      </c>
      <c r="D291" s="2" t="s">
        <v>1488</v>
      </c>
      <c r="E291" s="2" t="s">
        <v>25</v>
      </c>
      <c r="F291" s="2" t="s">
        <v>115</v>
      </c>
      <c r="G291" s="2" t="s">
        <v>62</v>
      </c>
      <c r="H291" s="2" t="s">
        <v>339</v>
      </c>
      <c r="I291" s="2" t="s">
        <v>340</v>
      </c>
      <c r="J291" s="2" t="s">
        <v>45</v>
      </c>
      <c r="K291" s="2" t="s">
        <v>204</v>
      </c>
      <c r="L291" s="2" t="s">
        <v>1489</v>
      </c>
      <c r="M291" s="2" t="s">
        <v>56</v>
      </c>
      <c r="N291" s="2">
        <v>2</v>
      </c>
      <c r="O291" s="2">
        <v>4346.6899999999996</v>
      </c>
      <c r="P291" s="2">
        <v>0.05</v>
      </c>
      <c r="Q291" s="2">
        <v>8258.7099999999991</v>
      </c>
      <c r="R291" s="2">
        <v>7018.97</v>
      </c>
      <c r="S291" s="2">
        <v>1239.74</v>
      </c>
      <c r="T291" s="2" t="s">
        <v>34</v>
      </c>
      <c r="U291" s="2" t="s">
        <v>35</v>
      </c>
      <c r="V291" s="2" t="str">
        <f t="shared" si="12"/>
        <v>ORD-2025-1029019-06-202506/27/2025CUST-9114Karan MalhotraHome OfficeSouthTamil NaduChennaiFurnitureBookcasesBasic Bookcases 823First Class24346.690.058258.717018.971239.74PaidCompleted</v>
      </c>
      <c r="W291" s="2">
        <f t="shared" si="13"/>
        <v>1</v>
      </c>
      <c r="X291">
        <f t="shared" si="14"/>
        <v>1</v>
      </c>
    </row>
    <row r="292" spans="1:24">
      <c r="A292" s="2" t="s">
        <v>1490</v>
      </c>
      <c r="B292" s="2" t="s">
        <v>1491</v>
      </c>
      <c r="C292" s="2" t="s">
        <v>1492</v>
      </c>
      <c r="D292" s="2" t="s">
        <v>1493</v>
      </c>
      <c r="E292" s="2" t="s">
        <v>210</v>
      </c>
      <c r="F292" s="2" t="s">
        <v>115</v>
      </c>
      <c r="G292" s="2" t="s">
        <v>42</v>
      </c>
      <c r="H292" s="2" t="s">
        <v>311</v>
      </c>
      <c r="I292" s="2" t="s">
        <v>312</v>
      </c>
      <c r="J292" s="2" t="s">
        <v>45</v>
      </c>
      <c r="K292" s="2" t="s">
        <v>46</v>
      </c>
      <c r="L292" s="2" t="s">
        <v>1494</v>
      </c>
      <c r="M292" s="2" t="s">
        <v>67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34</v>
      </c>
      <c r="U292" s="2" t="s">
        <v>35</v>
      </c>
      <c r="V292" s="2" t="str">
        <f t="shared" si="12"/>
        <v>ORD-2025-1029122 Aug 20252025-08-26CUST-8557Diya PatelHome OfficeEastJharkhandRanchiFurnitureTablesClassic Tables 178Standard Class11842.630.11658.37971.12687.25PaidCompleted</v>
      </c>
      <c r="W292" s="2">
        <f t="shared" si="13"/>
        <v>1</v>
      </c>
      <c r="X292">
        <f t="shared" si="14"/>
        <v>1</v>
      </c>
    </row>
    <row r="293" spans="1:24">
      <c r="A293" s="2" t="s">
        <v>1495</v>
      </c>
      <c r="B293" s="2" t="s">
        <v>1496</v>
      </c>
      <c r="C293" s="2" t="s">
        <v>1497</v>
      </c>
      <c r="D293" s="2" t="s">
        <v>1498</v>
      </c>
      <c r="E293" s="2" t="s">
        <v>142</v>
      </c>
      <c r="F293" s="2" t="s">
        <v>115</v>
      </c>
      <c r="G293" s="2" t="s">
        <v>27</v>
      </c>
      <c r="H293" s="2" t="s">
        <v>28</v>
      </c>
      <c r="I293" s="2" t="s">
        <v>29</v>
      </c>
      <c r="J293" s="2" t="s">
        <v>30</v>
      </c>
      <c r="K293" s="2" t="s">
        <v>198</v>
      </c>
      <c r="L293" s="2" t="s">
        <v>1499</v>
      </c>
      <c r="M293" s="2" t="s">
        <v>67</v>
      </c>
      <c r="N293" s="2">
        <v>4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34</v>
      </c>
      <c r="U293" s="2" t="s">
        <v>35</v>
      </c>
      <c r="V293" s="2" t="str">
        <f t="shared" si="12"/>
        <v>ORD-2024-1029204/05/20242024-04-10CUST-2860Priya MenonHome OfficeNorthRajasthanJaipurOffice SuppliesBindersEco Binders 153Standard Class43228.660.259685.987730.041955.94PaidCompleted</v>
      </c>
      <c r="W293" s="2">
        <f t="shared" si="13"/>
        <v>1</v>
      </c>
      <c r="X293">
        <f t="shared" si="14"/>
        <v>1</v>
      </c>
    </row>
    <row r="294" spans="1:24">
      <c r="A294" s="2" t="s">
        <v>1500</v>
      </c>
      <c r="B294" s="2" t="s">
        <v>1501</v>
      </c>
      <c r="C294" s="2" t="s">
        <v>1502</v>
      </c>
      <c r="D294" s="2" t="s">
        <v>1503</v>
      </c>
      <c r="E294" s="2" t="s">
        <v>366</v>
      </c>
      <c r="F294" s="2" t="s">
        <v>115</v>
      </c>
      <c r="G294" s="2" t="s">
        <v>27</v>
      </c>
      <c r="H294" s="2" t="s">
        <v>323</v>
      </c>
      <c r="I294" s="2" t="s">
        <v>324</v>
      </c>
      <c r="J294" s="2" t="s">
        <v>30</v>
      </c>
      <c r="K294" s="2" t="s">
        <v>54</v>
      </c>
      <c r="L294" s="2" t="s">
        <v>1504</v>
      </c>
      <c r="M294" s="2" t="s">
        <v>48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137</v>
      </c>
      <c r="U294" s="2" t="s">
        <v>78</v>
      </c>
      <c r="V294" s="2" t="str">
        <f t="shared" si="12"/>
        <v>ORD-2025-1029328 Feb 202503-03-2025CUST-7837Kabir SinghHome OfficeNorthHaryanaGurugramOffice SuppliesArtClassic Art 183Same Day93748.95033740.5524621.899118.66PendingCancelled</v>
      </c>
      <c r="W294" s="2">
        <f t="shared" si="13"/>
        <v>1</v>
      </c>
      <c r="X294">
        <f t="shared" si="14"/>
        <v>1</v>
      </c>
    </row>
    <row r="295" spans="1:24">
      <c r="A295" s="2" t="s">
        <v>1505</v>
      </c>
      <c r="B295" s="2" t="s">
        <v>1506</v>
      </c>
      <c r="C295" s="2" t="s">
        <v>1507</v>
      </c>
      <c r="D295" s="2" t="s">
        <v>1508</v>
      </c>
      <c r="E295" s="2" t="s">
        <v>61</v>
      </c>
      <c r="F295" s="2" t="s">
        <v>115</v>
      </c>
      <c r="G295" s="2" t="s">
        <v>62</v>
      </c>
      <c r="H295" s="2" t="s">
        <v>63</v>
      </c>
      <c r="I295" s="2" t="s">
        <v>64</v>
      </c>
      <c r="J295" s="2" t="s">
        <v>86</v>
      </c>
      <c r="K295" s="2" t="s">
        <v>223</v>
      </c>
      <c r="L295" s="2" t="s">
        <v>1509</v>
      </c>
      <c r="M295" s="2" t="s">
        <v>56</v>
      </c>
      <c r="N295" s="2">
        <v>2</v>
      </c>
      <c r="O295" s="2">
        <v>4401.51</v>
      </c>
      <c r="P295" s="2">
        <v>0.65</v>
      </c>
      <c r="Q295" s="2">
        <v>8362.8700000000008</v>
      </c>
      <c r="R295" s="2">
        <v>6541.04</v>
      </c>
      <c r="S295" s="2">
        <v>1821.83</v>
      </c>
      <c r="T295" s="2" t="s">
        <v>34</v>
      </c>
      <c r="U295" s="2" t="s">
        <v>35</v>
      </c>
      <c r="V295" s="2" t="str">
        <f t="shared" si="12"/>
        <v>ORD-2024-1029403/07/202411-03-2024CUST-7010Arjun BoseHome OfficeSouthTelanganaHyderabadTechnologyPhonesPro Phones 455First Class24401.510.658362.876541.041821.83PaidCompleted</v>
      </c>
      <c r="W295" s="2">
        <f t="shared" si="13"/>
        <v>1</v>
      </c>
      <c r="X295">
        <f t="shared" si="14"/>
        <v>1</v>
      </c>
    </row>
    <row r="296" spans="1:24">
      <c r="A296" s="2" t="s">
        <v>1510</v>
      </c>
      <c r="B296" s="2" t="s">
        <v>1511</v>
      </c>
      <c r="C296" s="2" t="s">
        <v>1512</v>
      </c>
      <c r="D296" s="2" t="s">
        <v>1513</v>
      </c>
      <c r="E296" s="2" t="s">
        <v>142</v>
      </c>
      <c r="F296" s="2" t="s">
        <v>26</v>
      </c>
      <c r="G296" s="2" t="s">
        <v>42</v>
      </c>
      <c r="H296" s="2" t="s">
        <v>43</v>
      </c>
      <c r="I296" s="2" t="s">
        <v>44</v>
      </c>
      <c r="J296" s="2" t="s">
        <v>86</v>
      </c>
      <c r="K296" s="2" t="s">
        <v>223</v>
      </c>
      <c r="L296" s="2" t="s">
        <v>1514</v>
      </c>
      <c r="M296" s="2" t="s">
        <v>33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34</v>
      </c>
      <c r="U296" s="2" t="s">
        <v>125</v>
      </c>
      <c r="V296" s="2" t="str">
        <f t="shared" si="12"/>
        <v>ORD-2025-1029516 Jul 202507/22/2025CUST-4755Priya MenonConsumerEastOdishaBhubaneswarTechnologyPhonesBasic Phones 326Second Class64159.330.2518716.9912282.436434.56PaidReturned</v>
      </c>
      <c r="W296" s="2">
        <f t="shared" si="13"/>
        <v>1</v>
      </c>
      <c r="X296">
        <f t="shared" si="14"/>
        <v>1</v>
      </c>
    </row>
    <row r="297" spans="1:24">
      <c r="A297" s="2" t="s">
        <v>1515</v>
      </c>
      <c r="B297" s="2" t="s">
        <v>1516</v>
      </c>
      <c r="C297" s="2" t="s">
        <v>1517</v>
      </c>
      <c r="D297" s="2" t="s">
        <v>1518</v>
      </c>
      <c r="E297" s="2" t="s">
        <v>107</v>
      </c>
      <c r="F297" s="2" t="s">
        <v>41</v>
      </c>
      <c r="G297" s="2" t="s">
        <v>42</v>
      </c>
      <c r="H297" s="2" t="s">
        <v>216</v>
      </c>
      <c r="I297" s="2" t="s">
        <v>217</v>
      </c>
      <c r="J297" s="2" t="s">
        <v>30</v>
      </c>
      <c r="K297" s="2" t="s">
        <v>198</v>
      </c>
      <c r="L297" s="2" t="s">
        <v>1519</v>
      </c>
      <c r="M297" s="2" t="s">
        <v>67</v>
      </c>
      <c r="N297" s="2">
        <v>3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34</v>
      </c>
      <c r="U297" s="2" t="s">
        <v>35</v>
      </c>
      <c r="V297" s="2" t="str">
        <f t="shared" si="12"/>
        <v>ORD-2025-1029625 Jun 202528 Jun 2025CUST-6778Aditi SenSmall BusinessEastAssamGuwahatiOffice SuppliesBindersMax Binders 587Standard Class33476.050.19385.345828.543556.8PaidCompleted</v>
      </c>
      <c r="W297" s="2">
        <f t="shared" si="13"/>
        <v>1</v>
      </c>
      <c r="X297">
        <f t="shared" si="14"/>
        <v>1</v>
      </c>
    </row>
    <row r="298" spans="1:24">
      <c r="A298" s="2" t="s">
        <v>1520</v>
      </c>
      <c r="B298" s="2" t="s">
        <v>1521</v>
      </c>
      <c r="C298" s="2" t="s">
        <v>1522</v>
      </c>
      <c r="D298" s="2" t="s">
        <v>1523</v>
      </c>
      <c r="E298" s="2" t="s">
        <v>107</v>
      </c>
      <c r="F298" s="2" t="s">
        <v>115</v>
      </c>
      <c r="G298" s="2" t="s">
        <v>27</v>
      </c>
      <c r="H298" s="2" t="s">
        <v>323</v>
      </c>
      <c r="I298" s="2" t="s">
        <v>324</v>
      </c>
      <c r="J298" s="2" t="s">
        <v>45</v>
      </c>
      <c r="K298" s="2" t="s">
        <v>65</v>
      </c>
      <c r="L298" s="2" t="s">
        <v>1524</v>
      </c>
      <c r="M298" s="2" t="s">
        <v>48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34</v>
      </c>
      <c r="U298" s="2" t="s">
        <v>35</v>
      </c>
      <c r="V298" s="2" t="str">
        <f t="shared" si="12"/>
        <v>ORD-2025-1029724 May 202505/26/2025CUST-7629Aditi SenHome OfficeNorthHaryanaGurugramFurnitureFurnishingsBasic Furnishings 617Same Day63495.410.1517826.5910855.356971.24PaidCompleted</v>
      </c>
      <c r="W298" s="2">
        <f t="shared" si="13"/>
        <v>1</v>
      </c>
      <c r="X298">
        <f t="shared" si="14"/>
        <v>1</v>
      </c>
    </row>
    <row r="299" spans="1:24">
      <c r="A299" s="2" t="s">
        <v>1525</v>
      </c>
      <c r="B299" s="2" t="s">
        <v>1526</v>
      </c>
      <c r="C299" s="2" t="s">
        <v>1527</v>
      </c>
      <c r="D299" s="2" t="s">
        <v>1528</v>
      </c>
      <c r="E299" s="2" t="s">
        <v>168</v>
      </c>
      <c r="F299" s="2" t="s">
        <v>108</v>
      </c>
      <c r="G299" s="2" t="s">
        <v>62</v>
      </c>
      <c r="H299" s="2" t="s">
        <v>339</v>
      </c>
      <c r="I299" s="2" t="s">
        <v>340</v>
      </c>
      <c r="J299" s="2" t="s">
        <v>86</v>
      </c>
      <c r="K299" s="2" t="s">
        <v>94</v>
      </c>
      <c r="L299" s="2" t="s">
        <v>1529</v>
      </c>
      <c r="M299" s="2" t="s">
        <v>48</v>
      </c>
      <c r="N299" s="2">
        <v>6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34</v>
      </c>
      <c r="U299" s="2" t="s">
        <v>35</v>
      </c>
      <c r="V299" s="2" t="str">
        <f t="shared" si="12"/>
        <v>ORD-2024-102982024-10-2906-11-2024CUST-6724Sneha KapoorCorporateSouthTamil NaduChennaiTechnologyCopiersPrime Copiers 669Same Day61169.920.155966.593994.721971.87PaidCompleted</v>
      </c>
      <c r="W299" s="2">
        <f t="shared" si="13"/>
        <v>1</v>
      </c>
      <c r="X299">
        <f t="shared" si="14"/>
        <v>1</v>
      </c>
    </row>
    <row r="300" spans="1:24">
      <c r="A300" s="2" t="s">
        <v>1530</v>
      </c>
      <c r="B300" s="2" t="s">
        <v>1531</v>
      </c>
      <c r="C300" s="2" t="s">
        <v>1532</v>
      </c>
      <c r="D300" s="2" t="s">
        <v>1533</v>
      </c>
      <c r="E300" s="2" t="s">
        <v>53</v>
      </c>
      <c r="F300" s="2" t="s">
        <v>26</v>
      </c>
      <c r="G300" s="2" t="s">
        <v>62</v>
      </c>
      <c r="H300" s="2" t="s">
        <v>242</v>
      </c>
      <c r="I300" s="2" t="s">
        <v>243</v>
      </c>
      <c r="J300" s="2" t="s">
        <v>86</v>
      </c>
      <c r="K300" s="2" t="s">
        <v>94</v>
      </c>
      <c r="L300" s="2" t="s">
        <v>1534</v>
      </c>
      <c r="M300" s="2" t="s">
        <v>56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200</v>
      </c>
      <c r="U300" s="2" t="s">
        <v>125</v>
      </c>
      <c r="V300" s="2" t="str">
        <f t="shared" si="12"/>
        <v>ORD-2025-1029923-01-20252025-01-26CUST-2141Isha NairConsumerSouthKeralaKochiTechnologyCopiersEco Copiers 894First Class7348.490.21951.541609.95341.59FailedReturned</v>
      </c>
      <c r="W300" s="2">
        <f t="shared" si="13"/>
        <v>1</v>
      </c>
      <c r="X300">
        <f t="shared" si="14"/>
        <v>1</v>
      </c>
    </row>
    <row r="301" spans="1:24">
      <c r="A301" s="2" t="s">
        <v>1535</v>
      </c>
      <c r="B301" s="2" t="s">
        <v>1527</v>
      </c>
      <c r="C301" s="2" t="s">
        <v>1536</v>
      </c>
      <c r="D301" s="2" t="s">
        <v>1537</v>
      </c>
      <c r="E301" s="2" t="s">
        <v>148</v>
      </c>
      <c r="F301" s="2" t="s">
        <v>41</v>
      </c>
      <c r="G301" s="2" t="s">
        <v>73</v>
      </c>
      <c r="H301" s="2" t="s">
        <v>235</v>
      </c>
      <c r="I301" s="2" t="s">
        <v>236</v>
      </c>
      <c r="J301" s="2" t="s">
        <v>86</v>
      </c>
      <c r="K301" s="2" t="s">
        <v>87</v>
      </c>
      <c r="L301" s="2" t="s">
        <v>1538</v>
      </c>
      <c r="M301" s="2" t="s">
        <v>67</v>
      </c>
      <c r="N301" s="2">
        <v>7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34</v>
      </c>
      <c r="U301" s="2" t="s">
        <v>35</v>
      </c>
      <c r="V301" s="2" t="str">
        <f t="shared" si="12"/>
        <v>ORD-2024-1030006-11-20242024-11-12CUST-7264Rahul VermaSmall BusinessWestGujaratAhmedabadTechnologyAccessoriesMax Accessories 145Standard Class71719.050.110830.027055.313774.71PaidCompleted</v>
      </c>
      <c r="W301" s="2">
        <f t="shared" si="13"/>
        <v>1</v>
      </c>
      <c r="X301">
        <f t="shared" si="14"/>
        <v>1</v>
      </c>
    </row>
    <row r="302" spans="1:24">
      <c r="A302" s="2" t="s">
        <v>1539</v>
      </c>
      <c r="B302" s="2" t="s">
        <v>1540</v>
      </c>
      <c r="C302" s="2" t="s">
        <v>1541</v>
      </c>
      <c r="D302" s="2" t="s">
        <v>1542</v>
      </c>
      <c r="E302" s="2" t="s">
        <v>210</v>
      </c>
      <c r="F302" s="2" t="s">
        <v>41</v>
      </c>
      <c r="G302" s="2" t="s">
        <v>27</v>
      </c>
      <c r="H302" s="2" t="s">
        <v>154</v>
      </c>
      <c r="I302" s="2" t="s">
        <v>155</v>
      </c>
      <c r="J302" s="2" t="s">
        <v>86</v>
      </c>
      <c r="K302" s="2" t="s">
        <v>87</v>
      </c>
      <c r="L302" s="2" t="s">
        <v>1543</v>
      </c>
      <c r="M302" s="2" t="s">
        <v>33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34</v>
      </c>
      <c r="U302" s="2" t="s">
        <v>35</v>
      </c>
      <c r="V302" s="2" t="str">
        <f t="shared" si="12"/>
        <v>ORD-2024-1030115-04-202404/23/2024CUST-2668Diya PatelSmall BusinessNorthPunjabLudhianaTechnologyAccessoriesClassic Accessories 126Second Class93893.740.131539.2922100.149439.15PaidCompleted</v>
      </c>
      <c r="W302" s="2">
        <f t="shared" si="13"/>
        <v>1</v>
      </c>
      <c r="X302">
        <f t="shared" si="14"/>
        <v>1</v>
      </c>
    </row>
    <row r="303" spans="1:24">
      <c r="A303" s="2" t="s">
        <v>1544</v>
      </c>
      <c r="B303" s="2" t="s">
        <v>1018</v>
      </c>
      <c r="C303" s="2" t="s">
        <v>1545</v>
      </c>
      <c r="D303" s="2" t="s">
        <v>1546</v>
      </c>
      <c r="E303" s="2" t="s">
        <v>53</v>
      </c>
      <c r="F303" s="2" t="s">
        <v>115</v>
      </c>
      <c r="G303" s="2" t="s">
        <v>42</v>
      </c>
      <c r="H303" s="2" t="s">
        <v>186</v>
      </c>
      <c r="I303" s="2" t="s">
        <v>187</v>
      </c>
      <c r="J303" s="2" t="s">
        <v>86</v>
      </c>
      <c r="K303" s="2" t="s">
        <v>223</v>
      </c>
      <c r="L303" s="2" t="s">
        <v>1547</v>
      </c>
      <c r="M303" s="2" t="s">
        <v>48</v>
      </c>
      <c r="N303" s="2">
        <v>4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2580.2399999999998</v>
      </c>
      <c r="T303" s="2" t="s">
        <v>34</v>
      </c>
      <c r="U303" s="2" t="s">
        <v>35</v>
      </c>
      <c r="V303" s="2" t="str">
        <f t="shared" si="12"/>
        <v>ORD-2025-1030228 May 202501-06-2025CUST-5599Isha NairHome OfficeEastBiharPatnaTechnologyPhonesElite Phones 202Same Day41654.110.056285.623705.382580.24PaidCompleted</v>
      </c>
      <c r="W303" s="2">
        <f t="shared" si="13"/>
        <v>1</v>
      </c>
      <c r="X303">
        <f t="shared" si="14"/>
        <v>1</v>
      </c>
    </row>
    <row r="304" spans="1:24">
      <c r="A304" s="2" t="s">
        <v>1548</v>
      </c>
      <c r="B304" s="2" t="s">
        <v>1389</v>
      </c>
      <c r="C304" s="2" t="s">
        <v>1549</v>
      </c>
      <c r="D304" s="2" t="s">
        <v>1550</v>
      </c>
      <c r="E304" s="2" t="s">
        <v>93</v>
      </c>
      <c r="F304" s="2" t="s">
        <v>26</v>
      </c>
      <c r="G304" s="2" t="s">
        <v>73</v>
      </c>
      <c r="H304" s="2" t="s">
        <v>249</v>
      </c>
      <c r="I304" s="2" t="s">
        <v>250</v>
      </c>
      <c r="J304" s="2" t="s">
        <v>918</v>
      </c>
      <c r="K304" s="2" t="s">
        <v>156</v>
      </c>
      <c r="L304" s="2" t="s">
        <v>1551</v>
      </c>
      <c r="M304" s="2" t="s">
        <v>48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34</v>
      </c>
      <c r="U304" s="2" t="s">
        <v>35</v>
      </c>
      <c r="V304" s="2" t="str">
        <f t="shared" si="12"/>
        <v>ORD-2025-1030304-06-20252025-06-12CUST-1623Neha GuptaConsumerWestGoaPanajiOFFICE SUPPLIESStorageElite Storage 535Same Day22703.280.254054.922424.831630.09PaidCompleted</v>
      </c>
      <c r="W304" s="2">
        <f t="shared" si="13"/>
        <v>1</v>
      </c>
      <c r="X304">
        <f t="shared" si="14"/>
        <v>1</v>
      </c>
    </row>
    <row r="305" spans="1:25">
      <c r="A305" s="2" t="s">
        <v>1552</v>
      </c>
      <c r="B305" s="2" t="s">
        <v>1553</v>
      </c>
      <c r="C305" s="2" t="s">
        <v>1043</v>
      </c>
      <c r="D305" s="2" t="s">
        <v>1554</v>
      </c>
      <c r="E305" s="2" t="s">
        <v>210</v>
      </c>
      <c r="F305" s="2" t="s">
        <v>115</v>
      </c>
      <c r="G305" s="2" t="s">
        <v>73</v>
      </c>
      <c r="H305" s="2" t="s">
        <v>235</v>
      </c>
      <c r="I305" s="2" t="s">
        <v>236</v>
      </c>
      <c r="J305" s="2" t="s">
        <v>45</v>
      </c>
      <c r="K305" s="2" t="s">
        <v>76</v>
      </c>
      <c r="L305" s="2" t="s">
        <v>1555</v>
      </c>
      <c r="M305" s="2" t="s">
        <v>67</v>
      </c>
      <c r="N305" s="2">
        <v>2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137</v>
      </c>
      <c r="U305" s="2" t="s">
        <v>125</v>
      </c>
      <c r="V305" s="2" t="str">
        <f t="shared" si="12"/>
        <v>ORD-2024-1030423 Jun 202428-06-2024CUST-9035Diya PatelHome OfficeWestGujaratAhmedabadFurnitureChairsElite Chairs 107Standard Class21313.140.12363.651876.1487.55PendingReturned</v>
      </c>
      <c r="W305" s="2">
        <f t="shared" si="13"/>
        <v>1</v>
      </c>
      <c r="X305">
        <f t="shared" si="14"/>
        <v>1</v>
      </c>
    </row>
    <row r="306" spans="1:25">
      <c r="A306" s="2" t="s">
        <v>1556</v>
      </c>
      <c r="B306" s="2" t="s">
        <v>1557</v>
      </c>
      <c r="C306" s="2" t="s">
        <v>1558</v>
      </c>
      <c r="D306" s="2" t="s">
        <v>1559</v>
      </c>
      <c r="E306" s="2" t="s">
        <v>25</v>
      </c>
      <c r="F306" s="2" t="s">
        <v>26</v>
      </c>
      <c r="G306" s="2" t="s">
        <v>27</v>
      </c>
      <c r="H306" s="2" t="s">
        <v>154</v>
      </c>
      <c r="I306" s="2" t="s">
        <v>155</v>
      </c>
      <c r="J306" s="2" t="s">
        <v>45</v>
      </c>
      <c r="K306" s="2" t="s">
        <v>65</v>
      </c>
      <c r="L306" s="2" t="s">
        <v>1560</v>
      </c>
      <c r="M306" s="2" t="s">
        <v>67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34</v>
      </c>
      <c r="U306" s="2" t="s">
        <v>35</v>
      </c>
      <c r="V306" s="2" t="str">
        <f t="shared" si="12"/>
        <v>ORD-2024-1030503/06/20242024-03-13CUST-6286Karan MalhotraConsumerNorthPunjabLudhianaFurnitureFurnishingsPro Furnishings 991Standard Class62403.050.112976.4710019.982956.49PaidCompleted</v>
      </c>
      <c r="W306" s="2">
        <f t="shared" si="13"/>
        <v>1</v>
      </c>
      <c r="X306">
        <f t="shared" si="14"/>
        <v>1</v>
      </c>
    </row>
    <row r="307" spans="1:25">
      <c r="A307" s="2" t="s">
        <v>1561</v>
      </c>
      <c r="B307" s="2" t="s">
        <v>1562</v>
      </c>
      <c r="C307" s="2" t="s">
        <v>1225</v>
      </c>
      <c r="D307" s="2" t="s">
        <v>1563</v>
      </c>
      <c r="E307" s="2" t="s">
        <v>72</v>
      </c>
      <c r="F307" s="2" t="s">
        <v>26</v>
      </c>
      <c r="G307" s="2" t="s">
        <v>42</v>
      </c>
      <c r="H307" s="2" t="s">
        <v>216</v>
      </c>
      <c r="I307" s="2" t="s">
        <v>217</v>
      </c>
      <c r="J307" s="2" t="s">
        <v>45</v>
      </c>
      <c r="K307" s="2" t="s">
        <v>76</v>
      </c>
      <c r="L307" s="2" t="s">
        <v>1564</v>
      </c>
      <c r="M307" s="2" t="s">
        <v>56</v>
      </c>
      <c r="N307" s="2">
        <v>4</v>
      </c>
      <c r="O307" s="2">
        <v>4156.0600000000004</v>
      </c>
      <c r="P307" s="2">
        <v>0.55000000000000004</v>
      </c>
      <c r="Q307" s="2">
        <v>13299.39</v>
      </c>
      <c r="R307" s="2">
        <v>9851.91</v>
      </c>
      <c r="S307" s="2">
        <v>3447.48</v>
      </c>
      <c r="T307" s="2" t="s">
        <v>34</v>
      </c>
      <c r="U307" s="2" t="s">
        <v>78</v>
      </c>
      <c r="V307" s="2" t="str">
        <f t="shared" si="12"/>
        <v>ORD-2024-1030601 May 202405/02/2024CUST-7246Ananya RaoConsumerEastAssamGuwahatiFurnitureChairsEco Chairs 105First Class44156.060.5513299.399851.913447.48PaidCancelled</v>
      </c>
      <c r="W307" s="2">
        <f t="shared" si="13"/>
        <v>1</v>
      </c>
      <c r="X307">
        <f t="shared" si="14"/>
        <v>1</v>
      </c>
    </row>
    <row r="308" spans="1:25">
      <c r="A308" s="2" t="s">
        <v>1565</v>
      </c>
      <c r="B308" s="2" t="s">
        <v>1566</v>
      </c>
      <c r="C308" s="2" t="s">
        <v>97</v>
      </c>
      <c r="D308" s="2" t="s">
        <v>1567</v>
      </c>
      <c r="E308" s="2" t="s">
        <v>162</v>
      </c>
      <c r="F308" s="2" t="s">
        <v>26</v>
      </c>
      <c r="G308" s="2" t="s">
        <v>27</v>
      </c>
      <c r="H308" s="2" t="s">
        <v>28</v>
      </c>
      <c r="I308" s="2" t="s">
        <v>29</v>
      </c>
      <c r="J308" s="2" t="s">
        <v>86</v>
      </c>
      <c r="K308" s="2" t="s">
        <v>223</v>
      </c>
      <c r="L308" s="2" t="s">
        <v>1568</v>
      </c>
      <c r="M308" s="2" t="s">
        <v>33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34</v>
      </c>
      <c r="U308" s="2" t="s">
        <v>35</v>
      </c>
      <c r="V308" s="2" t="str">
        <f t="shared" si="12"/>
        <v>ORD-2025-1030720 Feb 20252025-02-23CUST-2589Aarav SharmaConsumerNorthRajasthanJaipurTechnologyPhonesPro Phones 530Second Class43673.11014692.4410082.194610.25PaidCompleted</v>
      </c>
      <c r="W308" s="2">
        <f t="shared" si="13"/>
        <v>1</v>
      </c>
      <c r="X308">
        <f t="shared" si="14"/>
        <v>1</v>
      </c>
    </row>
    <row r="309" spans="1:25">
      <c r="A309" s="2" t="s">
        <v>1569</v>
      </c>
      <c r="B309" s="2" t="s">
        <v>1570</v>
      </c>
      <c r="C309" s="2" t="s">
        <v>1571</v>
      </c>
      <c r="D309" s="2" t="s">
        <v>1572</v>
      </c>
      <c r="E309" s="2" t="s">
        <v>72</v>
      </c>
      <c r="F309" s="2" t="s">
        <v>108</v>
      </c>
      <c r="G309" s="2" t="s">
        <v>27</v>
      </c>
      <c r="H309" s="2" t="s">
        <v>174</v>
      </c>
      <c r="I309" s="2" t="s">
        <v>175</v>
      </c>
      <c r="J309" s="2" t="s">
        <v>45</v>
      </c>
      <c r="K309" s="2" t="s">
        <v>46</v>
      </c>
      <c r="L309" s="2" t="s">
        <v>1573</v>
      </c>
      <c r="M309" s="2" t="s">
        <v>56</v>
      </c>
      <c r="N309" s="2">
        <v>9</v>
      </c>
      <c r="O309" s="2">
        <v>4093.04</v>
      </c>
      <c r="P309" s="2">
        <v>0.2</v>
      </c>
      <c r="Q309" s="2">
        <v>29469.89</v>
      </c>
      <c r="R309" s="2">
        <v>18935.509999999998</v>
      </c>
      <c r="S309" s="2">
        <v>10534.38</v>
      </c>
      <c r="T309" s="2" t="s">
        <v>1574</v>
      </c>
      <c r="U309" s="2" t="s">
        <v>78</v>
      </c>
      <c r="V309" s="2" t="str">
        <f t="shared" si="12"/>
        <v>ORD-2025-103082025-07-1219 Jul 2025CUST-4153Ananya RaoCorporateNorthUttar PradeshNoidaFurnitureTablesBasic Tables 911First Class94093.040.229469.8918935.5110534.38PENDINGCancelled</v>
      </c>
      <c r="W309" s="2">
        <f t="shared" si="13"/>
        <v>1</v>
      </c>
      <c r="X309">
        <f t="shared" si="14"/>
        <v>1</v>
      </c>
    </row>
    <row r="310" spans="1:25">
      <c r="A310" s="2" t="s">
        <v>1575</v>
      </c>
      <c r="B310" s="2" t="s">
        <v>1576</v>
      </c>
      <c r="C310" s="2" t="s">
        <v>1577</v>
      </c>
      <c r="D310" s="2" t="s">
        <v>1578</v>
      </c>
      <c r="E310" s="2" t="s">
        <v>180</v>
      </c>
      <c r="F310" s="2" t="s">
        <v>26</v>
      </c>
      <c r="G310" s="2" t="s">
        <v>27</v>
      </c>
      <c r="H310" s="2" t="s">
        <v>28</v>
      </c>
      <c r="I310" s="2" t="s">
        <v>29</v>
      </c>
      <c r="J310" s="2" t="s">
        <v>45</v>
      </c>
      <c r="K310" s="2" t="s">
        <v>46</v>
      </c>
      <c r="L310" s="2" t="s">
        <v>1579</v>
      </c>
      <c r="M310" s="2" t="s">
        <v>56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34</v>
      </c>
      <c r="U310" s="2" t="s">
        <v>35</v>
      </c>
      <c r="V310" s="2" t="str">
        <f t="shared" si="12"/>
        <v>ORD-2025-103092025-06-132025-06-19CUST-6727Rohan MehtaConsumerNorthRajasthanJaipurFurnitureTablesClassic Tables 224First Class4731.570.22341.021565.49775.53PaidCompleted</v>
      </c>
      <c r="W310" s="2">
        <f t="shared" si="13"/>
        <v>1</v>
      </c>
      <c r="X310">
        <f t="shared" si="14"/>
        <v>1</v>
      </c>
    </row>
    <row r="311" spans="1:25">
      <c r="A311" s="2" t="s">
        <v>1580</v>
      </c>
      <c r="B311" s="2" t="s">
        <v>1581</v>
      </c>
      <c r="C311" s="2" t="s">
        <v>127</v>
      </c>
      <c r="D311" s="2" t="s">
        <v>1582</v>
      </c>
      <c r="E311" s="2" t="s">
        <v>72</v>
      </c>
      <c r="F311" s="2" t="s">
        <v>26</v>
      </c>
      <c r="G311" s="2" t="s">
        <v>62</v>
      </c>
      <c r="H311" s="2" t="s">
        <v>339</v>
      </c>
      <c r="I311" s="2" t="s">
        <v>340</v>
      </c>
      <c r="J311" s="2" t="s">
        <v>45</v>
      </c>
      <c r="K311" s="2" t="s">
        <v>46</v>
      </c>
      <c r="L311" s="2" t="s">
        <v>1583</v>
      </c>
      <c r="M311" s="2" t="s">
        <v>56</v>
      </c>
      <c r="N311" s="2">
        <v>7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34</v>
      </c>
      <c r="U311" s="2" t="s">
        <v>78</v>
      </c>
      <c r="V311" s="2" t="str">
        <f t="shared" si="12"/>
        <v>ORD-2024-1031007/20/20242024-07-22CUST-8860Ananya RaoConsumerSouthTamil NaduChennaiFurnitureTablesPrime Tables 214First Class72060.730.112982.67246.365736.24PaidCancelled</v>
      </c>
      <c r="W311" s="2">
        <f t="shared" si="13"/>
        <v>1</v>
      </c>
      <c r="X311">
        <f t="shared" si="14"/>
        <v>1</v>
      </c>
    </row>
    <row r="312" spans="1:25">
      <c r="A312" s="2" t="s">
        <v>1584</v>
      </c>
      <c r="B312" s="2" t="s">
        <v>1585</v>
      </c>
      <c r="C312" s="2" t="s">
        <v>1586</v>
      </c>
      <c r="D312" s="2" t="s">
        <v>1587</v>
      </c>
      <c r="E312" s="2" t="s">
        <v>180</v>
      </c>
      <c r="F312" s="2" t="s">
        <v>41</v>
      </c>
      <c r="G312" s="2" t="s">
        <v>62</v>
      </c>
      <c r="H312" s="2" t="s">
        <v>339</v>
      </c>
      <c r="I312" s="2" t="s">
        <v>340</v>
      </c>
      <c r="J312" s="2" t="s">
        <v>86</v>
      </c>
      <c r="K312" s="2" t="s">
        <v>382</v>
      </c>
      <c r="L312" s="2" t="s">
        <v>1588</v>
      </c>
      <c r="M312" s="2" t="s">
        <v>56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34</v>
      </c>
      <c r="U312" s="2" t="s">
        <v>35</v>
      </c>
      <c r="V312" s="2" t="str">
        <f t="shared" si="12"/>
        <v>ORD-2024-1031104-07-202408-07-2024CUST-3784Rohan MehtaSmall BusinessSouthTamil NaduChennaiTechnologyMachinesMax Machines 988First Class82034.250162749424.256849.75PaidCompleted</v>
      </c>
      <c r="W312" s="2">
        <f t="shared" si="13"/>
        <v>1</v>
      </c>
      <c r="X312">
        <f t="shared" si="14"/>
        <v>1</v>
      </c>
    </row>
    <row r="313" spans="1:25">
      <c r="A313" s="2" t="s">
        <v>1589</v>
      </c>
      <c r="B313" s="2" t="s">
        <v>1590</v>
      </c>
      <c r="C313" s="2" t="s">
        <v>948</v>
      </c>
      <c r="D313" s="2" t="s">
        <v>1591</v>
      </c>
      <c r="E313" s="2" t="s">
        <v>40</v>
      </c>
      <c r="F313" s="2" t="s">
        <v>108</v>
      </c>
      <c r="G313" s="2" t="s">
        <v>62</v>
      </c>
      <c r="H313" s="2" t="s">
        <v>229</v>
      </c>
      <c r="I313" s="2" t="s">
        <v>230</v>
      </c>
      <c r="J313" s="2" t="s">
        <v>30</v>
      </c>
      <c r="K313" s="2" t="s">
        <v>198</v>
      </c>
      <c r="L313" s="2" t="s">
        <v>1592</v>
      </c>
      <c r="M313" s="2" t="s">
        <v>33</v>
      </c>
      <c r="N313" s="2">
        <v>5</v>
      </c>
      <c r="O313" s="2">
        <v>554.04</v>
      </c>
      <c r="P313" s="2">
        <v>0.1</v>
      </c>
      <c r="Q313" s="2">
        <v>2493.1799999999998</v>
      </c>
      <c r="R313" s="2">
        <v>1764</v>
      </c>
      <c r="S313" s="2">
        <v>729.18</v>
      </c>
      <c r="T313" s="2" t="s">
        <v>34</v>
      </c>
      <c r="U313" s="2" t="s">
        <v>35</v>
      </c>
      <c r="V313" s="2" t="str">
        <f t="shared" si="12"/>
        <v>ORD-2024-1031227-04-202402-05-2024CUST-3545Mira DasCorporateSouthKarnatakaBengaluruOffice SuppliesBindersMax Binders 425Second Class5554.040.12493.181764729.18PaidCompleted</v>
      </c>
      <c r="W313" s="2">
        <f t="shared" si="13"/>
        <v>1</v>
      </c>
      <c r="X313">
        <f t="shared" si="14"/>
        <v>1</v>
      </c>
    </row>
    <row r="314" spans="1:25">
      <c r="A314" s="2" t="s">
        <v>1593</v>
      </c>
      <c r="B314" s="2" t="s">
        <v>1594</v>
      </c>
      <c r="C314" s="2" t="s">
        <v>516</v>
      </c>
      <c r="D314" s="2" t="s">
        <v>1595</v>
      </c>
      <c r="E314" s="2" t="s">
        <v>25</v>
      </c>
      <c r="F314" s="2" t="s">
        <v>41</v>
      </c>
      <c r="G314" s="2" t="s">
        <v>42</v>
      </c>
      <c r="H314" s="2" t="s">
        <v>216</v>
      </c>
      <c r="I314" s="2" t="s">
        <v>217</v>
      </c>
      <c r="J314" s="2" t="s">
        <v>86</v>
      </c>
      <c r="K314" s="2" t="s">
        <v>223</v>
      </c>
      <c r="L314" s="2" t="s">
        <v>1596</v>
      </c>
      <c r="M314" s="2" t="s">
        <v>67</v>
      </c>
      <c r="N314" s="2">
        <v>8</v>
      </c>
      <c r="O314" s="2">
        <v>2614.7399999999998</v>
      </c>
      <c r="Q314" s="2">
        <v>15688.44</v>
      </c>
      <c r="R314" s="2">
        <v>10047.33</v>
      </c>
      <c r="S314" s="2">
        <v>5641.11</v>
      </c>
      <c r="T314" s="2" t="s">
        <v>34</v>
      </c>
      <c r="U314" s="2" t="s">
        <v>78</v>
      </c>
      <c r="V314" s="2" t="str">
        <f t="shared" si="12"/>
        <v>ORD-2024-1031307/31/202404-08-2024CUST-4851Karan MalhotraSmall BusinessEastAssamGuwahatiTechnologyPhonesElite Phones 679Standard Class82614.7415688.4410047.335641.11PaidCancelled</v>
      </c>
      <c r="W314" s="2">
        <f t="shared" si="13"/>
        <v>1</v>
      </c>
      <c r="X314">
        <f t="shared" si="14"/>
        <v>1</v>
      </c>
    </row>
    <row r="315" spans="1:25">
      <c r="A315" s="2" t="s">
        <v>1597</v>
      </c>
      <c r="B315" s="2" t="s">
        <v>1598</v>
      </c>
      <c r="C315" s="2" t="s">
        <v>1599</v>
      </c>
      <c r="D315" s="2" t="s">
        <v>1600</v>
      </c>
      <c r="E315" s="2" t="s">
        <v>148</v>
      </c>
      <c r="F315" s="2" t="s">
        <v>108</v>
      </c>
      <c r="G315" s="2" t="s">
        <v>27</v>
      </c>
      <c r="H315" s="2" t="s">
        <v>174</v>
      </c>
      <c r="I315" s="2" t="s">
        <v>175</v>
      </c>
      <c r="J315" s="2" t="s">
        <v>86</v>
      </c>
      <c r="K315" s="2" t="s">
        <v>223</v>
      </c>
      <c r="L315" s="2" t="s">
        <v>1601</v>
      </c>
      <c r="M315" s="2" t="s">
        <v>56</v>
      </c>
      <c r="N315" s="2">
        <v>8</v>
      </c>
      <c r="O315" s="2">
        <v>2081.4299999999998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124</v>
      </c>
      <c r="U315" s="2" t="s">
        <v>78</v>
      </c>
      <c r="V315" s="2" t="str">
        <f t="shared" si="12"/>
        <v>ORD-2025-103142025-05-3031-05-2025CUST-4770Rahul VermaCorporateNorthUttar PradeshNoidaTechnologyPhonesPro Phones 764First Class82081.430.2512488.5810717.41771.18RefundedCancelled</v>
      </c>
      <c r="W315" s="2">
        <f t="shared" si="13"/>
        <v>1</v>
      </c>
      <c r="X315">
        <f t="shared" si="14"/>
        <v>1</v>
      </c>
    </row>
    <row r="316" spans="1:25">
      <c r="A316" s="2" t="s">
        <v>1602</v>
      </c>
      <c r="B316" s="2" t="s">
        <v>1104</v>
      </c>
      <c r="C316" s="2" t="s">
        <v>118</v>
      </c>
      <c r="D316" s="2" t="s">
        <v>1603</v>
      </c>
      <c r="E316" s="2" t="s">
        <v>53</v>
      </c>
      <c r="F316" s="2" t="s">
        <v>108</v>
      </c>
      <c r="G316" s="2" t="s">
        <v>73</v>
      </c>
      <c r="H316" s="2" t="s">
        <v>84</v>
      </c>
      <c r="I316" s="2" t="s">
        <v>85</v>
      </c>
      <c r="J316" s="2" t="s">
        <v>30</v>
      </c>
      <c r="K316" s="2" t="s">
        <v>109</v>
      </c>
      <c r="L316" s="2" t="s">
        <v>1604</v>
      </c>
      <c r="M316" s="2" t="s">
        <v>67</v>
      </c>
      <c r="N316" s="2">
        <v>9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200</v>
      </c>
      <c r="U316" s="2" t="s">
        <v>125</v>
      </c>
      <c r="V316" s="2" t="str">
        <f t="shared" si="12"/>
        <v>ORD-2025-1031505/18/202520 May 2025CUST-1945Isha NairCorporateWestMadhya PradeshIndoreOffice SuppliesLabelsElite Labels 544Standard Class9847.760.156485.365376.171109.19FailedReturned</v>
      </c>
      <c r="W316" s="2">
        <f t="shared" si="13"/>
        <v>1</v>
      </c>
      <c r="X316">
        <f t="shared" si="14"/>
        <v>2</v>
      </c>
      <c r="Y316" s="2" t="s">
        <v>4097</v>
      </c>
    </row>
    <row r="317" spans="1:25">
      <c r="A317" s="2" t="s">
        <v>1605</v>
      </c>
      <c r="B317" s="2" t="s">
        <v>1606</v>
      </c>
      <c r="C317" s="2" t="s">
        <v>1607</v>
      </c>
      <c r="D317" s="2" t="s">
        <v>1608</v>
      </c>
      <c r="E317" s="2" t="s">
        <v>180</v>
      </c>
      <c r="F317" s="2" t="s">
        <v>26</v>
      </c>
      <c r="G317" s="2" t="s">
        <v>27</v>
      </c>
      <c r="H317" s="2" t="s">
        <v>506</v>
      </c>
      <c r="I317" s="2" t="s">
        <v>507</v>
      </c>
      <c r="J317" s="2" t="s">
        <v>30</v>
      </c>
      <c r="K317" s="2" t="s">
        <v>31</v>
      </c>
      <c r="L317" s="2" t="s">
        <v>1609</v>
      </c>
      <c r="M317" s="2" t="s">
        <v>67</v>
      </c>
      <c r="N317" s="2">
        <v>9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137</v>
      </c>
      <c r="U317" s="2" t="s">
        <v>125</v>
      </c>
      <c r="V317" s="2" t="str">
        <f t="shared" si="12"/>
        <v>ORD-2024-103162024-07-022024-07-08CUST-7565Rohan MehtaConsumerNorthDelhiNew DelhiOffice SuppliesPaperSmart Paper 817Standard Class93450.40.0529500.9217989.6811511.24PendingReturned</v>
      </c>
      <c r="W317" s="2">
        <f t="shared" si="13"/>
        <v>1</v>
      </c>
      <c r="X317">
        <f t="shared" si="14"/>
        <v>1</v>
      </c>
    </row>
    <row r="318" spans="1:25">
      <c r="A318" s="2" t="s">
        <v>1610</v>
      </c>
      <c r="B318" s="2" t="s">
        <v>1611</v>
      </c>
      <c r="C318" s="2" t="s">
        <v>1612</v>
      </c>
      <c r="D318" s="2" t="s">
        <v>1613</v>
      </c>
      <c r="E318" s="2" t="s">
        <v>25</v>
      </c>
      <c r="F318" s="2" t="s">
        <v>108</v>
      </c>
      <c r="G318" s="2" t="s">
        <v>27</v>
      </c>
      <c r="H318" s="2" t="s">
        <v>154</v>
      </c>
      <c r="I318" s="2" t="s">
        <v>155</v>
      </c>
      <c r="J318" s="2" t="s">
        <v>30</v>
      </c>
      <c r="K318" s="2" t="s">
        <v>109</v>
      </c>
      <c r="L318" s="2" t="s">
        <v>1614</v>
      </c>
      <c r="M318" s="2" t="s">
        <v>67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34</v>
      </c>
      <c r="U318" s="2" t="s">
        <v>78</v>
      </c>
      <c r="V318" s="2" t="str">
        <f t="shared" si="12"/>
        <v>ORD-2024-1031716-02-202402/18/2024CUST-9913Karan MalhotraCorporateNorthPunjabLudhianaOffice SuppliesLabelsClassic Labels 466Standard Class21947.530.23116.051956.631159.42PaidCancelled</v>
      </c>
      <c r="W318" s="2">
        <f t="shared" si="13"/>
        <v>1</v>
      </c>
      <c r="X318">
        <f t="shared" si="14"/>
        <v>1</v>
      </c>
    </row>
    <row r="319" spans="1:25">
      <c r="A319" s="2" t="s">
        <v>1615</v>
      </c>
      <c r="B319" s="2" t="s">
        <v>1616</v>
      </c>
      <c r="C319" s="2" t="s">
        <v>1617</v>
      </c>
      <c r="D319" s="2" t="s">
        <v>1618</v>
      </c>
      <c r="E319" s="2" t="s">
        <v>93</v>
      </c>
      <c r="F319" s="2" t="s">
        <v>108</v>
      </c>
      <c r="G319" s="2" t="s">
        <v>62</v>
      </c>
      <c r="H319" s="2" t="s">
        <v>242</v>
      </c>
      <c r="I319" s="2" t="s">
        <v>243</v>
      </c>
      <c r="J319" s="2" t="s">
        <v>45</v>
      </c>
      <c r="K319" s="2" t="s">
        <v>46</v>
      </c>
      <c r="L319" s="2" t="s">
        <v>1619</v>
      </c>
      <c r="M319" s="2" t="s">
        <v>56</v>
      </c>
      <c r="N319" s="2">
        <v>9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34</v>
      </c>
      <c r="U319" s="2" t="s">
        <v>35</v>
      </c>
      <c r="V319" s="2" t="str">
        <f t="shared" si="12"/>
        <v>ORD-2025-1031829-08-202504 Sep 2025CUST-7992Neha GuptaCorporateSouthKeralaKochiFurnitureTablesPro Tables 778First Class92996.970.1522926.8214621.598305.23PaidCompleted</v>
      </c>
      <c r="W319" s="2">
        <f t="shared" si="13"/>
        <v>1</v>
      </c>
      <c r="X319">
        <f t="shared" si="14"/>
        <v>1</v>
      </c>
    </row>
    <row r="320" spans="1:25">
      <c r="A320" s="2" t="s">
        <v>1620</v>
      </c>
      <c r="B320" s="2" t="s">
        <v>1621</v>
      </c>
      <c r="C320" s="2" t="s">
        <v>1622</v>
      </c>
      <c r="D320" s="2" t="s">
        <v>1623</v>
      </c>
      <c r="E320" s="2" t="s">
        <v>40</v>
      </c>
      <c r="F320" s="2" t="s">
        <v>41</v>
      </c>
      <c r="G320" s="2" t="s">
        <v>62</v>
      </c>
      <c r="H320" s="2" t="s">
        <v>229</v>
      </c>
      <c r="I320" s="2" t="s">
        <v>230</v>
      </c>
      <c r="J320" s="2" t="s">
        <v>86</v>
      </c>
      <c r="K320" s="2" t="s">
        <v>223</v>
      </c>
      <c r="L320" s="2" t="s">
        <v>1624</v>
      </c>
      <c r="M320" s="2" t="s">
        <v>67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34</v>
      </c>
      <c r="U320" s="2" t="s">
        <v>35</v>
      </c>
      <c r="V320" s="2" t="str">
        <f t="shared" si="12"/>
        <v>ORD-2024-1031925 Apr 202430-04-2024CUST-8877Mira DasSmall BusinessSouthKarnatakaBengaluruTechnologyPhonesBasic Phones 789Standard Class34149.460.111203.548452.932750.61PaidCompleted</v>
      </c>
      <c r="W320" s="2">
        <f t="shared" si="13"/>
        <v>1</v>
      </c>
      <c r="X320">
        <f t="shared" si="14"/>
        <v>1</v>
      </c>
    </row>
    <row r="321" spans="1:25">
      <c r="A321" s="2" t="s">
        <v>1625</v>
      </c>
      <c r="B321" s="2" t="s">
        <v>1626</v>
      </c>
      <c r="C321" s="2" t="s">
        <v>1627</v>
      </c>
      <c r="D321" s="2" t="s">
        <v>1628</v>
      </c>
      <c r="E321" s="2" t="s">
        <v>210</v>
      </c>
      <c r="F321" s="2" t="s">
        <v>26</v>
      </c>
      <c r="G321" s="2" t="s">
        <v>73</v>
      </c>
      <c r="H321" s="2" t="s">
        <v>235</v>
      </c>
      <c r="I321" s="2" t="s">
        <v>236</v>
      </c>
      <c r="J321" s="2" t="s">
        <v>30</v>
      </c>
      <c r="K321" s="2" t="s">
        <v>198</v>
      </c>
      <c r="L321" s="2" t="s">
        <v>1629</v>
      </c>
      <c r="M321" s="2" t="s">
        <v>56</v>
      </c>
      <c r="N321" s="2">
        <v>1</v>
      </c>
      <c r="O321" s="2">
        <v>270.27999999999997</v>
      </c>
      <c r="P321" s="2">
        <v>0</v>
      </c>
      <c r="Q321" s="2">
        <v>270.27999999999997</v>
      </c>
      <c r="R321" s="2">
        <v>156.34</v>
      </c>
      <c r="S321" s="2">
        <v>113.94</v>
      </c>
      <c r="T321" s="2" t="s">
        <v>34</v>
      </c>
      <c r="U321" s="2" t="s">
        <v>35</v>
      </c>
      <c r="V321" s="2" t="str">
        <f t="shared" si="12"/>
        <v>ORD-2024-1032021 Aug 202408/25/2024CUST-4589Diya PatelConsumerWestGujaratAhmedabadOffice SuppliesBindersPrime Binders 554First Class1270.280270.28156.34113.94PaidCompleted</v>
      </c>
      <c r="W321" s="2">
        <f t="shared" si="13"/>
        <v>1</v>
      </c>
      <c r="X321">
        <f t="shared" si="14"/>
        <v>1</v>
      </c>
    </row>
    <row r="322" spans="1:25">
      <c r="A322" s="2" t="s">
        <v>1630</v>
      </c>
      <c r="B322" s="2" t="s">
        <v>1631</v>
      </c>
      <c r="C322" s="2" t="s">
        <v>1632</v>
      </c>
      <c r="D322" s="2" t="s">
        <v>1633</v>
      </c>
      <c r="E322" s="2" t="s">
        <v>162</v>
      </c>
      <c r="F322" s="2" t="s">
        <v>115</v>
      </c>
      <c r="G322" s="2" t="s">
        <v>42</v>
      </c>
      <c r="H322" s="2" t="s">
        <v>121</v>
      </c>
      <c r="I322" s="2" t="s">
        <v>122</v>
      </c>
      <c r="J322" s="2" t="s">
        <v>30</v>
      </c>
      <c r="K322" s="2" t="s">
        <v>54</v>
      </c>
      <c r="L322" s="2" t="s">
        <v>1634</v>
      </c>
      <c r="M322" s="2" t="s">
        <v>33</v>
      </c>
      <c r="N322" s="2">
        <v>3</v>
      </c>
      <c r="O322" s="2">
        <v>876.14</v>
      </c>
      <c r="P322" s="2" t="s">
        <v>681</v>
      </c>
      <c r="Q322" s="2">
        <v>2628.42</v>
      </c>
      <c r="R322" s="2">
        <v>1541.54</v>
      </c>
      <c r="S322" s="2">
        <v>1086.8800000000001</v>
      </c>
      <c r="T322" s="2" t="s">
        <v>137</v>
      </c>
      <c r="U322" s="2" t="s">
        <v>125</v>
      </c>
      <c r="V322" s="2" t="str">
        <f t="shared" si="12"/>
        <v>ORD-2024-1032112/04/202412/06/2024CUST-4667Aarav SharmaHome OfficeEastWest BengalKolkataOffice SuppliesArtClassic Art 299Second Class3876.1470%2628.421541.541086.88PendingReturned</v>
      </c>
      <c r="W322" s="2">
        <f t="shared" si="13"/>
        <v>1</v>
      </c>
      <c r="X322">
        <f t="shared" si="14"/>
        <v>1</v>
      </c>
    </row>
    <row r="323" spans="1:25">
      <c r="A323" s="2" t="s">
        <v>1635</v>
      </c>
      <c r="B323" s="2" t="s">
        <v>1636</v>
      </c>
      <c r="C323" s="2" t="s">
        <v>1637</v>
      </c>
      <c r="D323" s="2" t="s">
        <v>1638</v>
      </c>
      <c r="E323" s="2" t="s">
        <v>93</v>
      </c>
      <c r="F323" s="2" t="s">
        <v>41</v>
      </c>
      <c r="G323" s="2" t="s">
        <v>73</v>
      </c>
      <c r="H323" s="2" t="s">
        <v>249</v>
      </c>
      <c r="I323" s="2" t="s">
        <v>250</v>
      </c>
      <c r="J323" s="2" t="s">
        <v>86</v>
      </c>
      <c r="K323" s="2" t="s">
        <v>87</v>
      </c>
      <c r="L323" s="2" t="s">
        <v>1639</v>
      </c>
      <c r="M323" s="2" t="s">
        <v>48</v>
      </c>
      <c r="N323" s="2">
        <v>4</v>
      </c>
      <c r="O323" s="2">
        <v>674.82</v>
      </c>
      <c r="P323" s="2">
        <v>0</v>
      </c>
      <c r="Q323" s="2">
        <v>2699.28</v>
      </c>
      <c r="R323" s="2">
        <v>1759.76</v>
      </c>
      <c r="S323" s="2">
        <v>939.52</v>
      </c>
      <c r="T323" s="2" t="s">
        <v>200</v>
      </c>
      <c r="U323" s="2" t="s">
        <v>78</v>
      </c>
      <c r="V323" s="2" t="str">
        <f t="shared" ref="V323:V386" si="15">_xlfn.CONCAT(A323:U323)</f>
        <v>ORD-2024-1032206/23/202430 Jun 2024CUST-7821Neha GuptaSmall BusinessWestGoaPanajiTechnologyAccessoriesEco Accessories 220Same Day4674.8202699.281759.76939.52FailedCancelled</v>
      </c>
      <c r="W323" s="2">
        <f t="shared" ref="W323:W386" si="16">COUNTIF($V$2:$V$933,V323)</f>
        <v>1</v>
      </c>
      <c r="X323">
        <f t="shared" ref="X323:X386" si="17">COUNTIF($A$2:$A$933,A323)</f>
        <v>1</v>
      </c>
    </row>
    <row r="324" spans="1:25">
      <c r="A324" s="2" t="s">
        <v>1640</v>
      </c>
      <c r="B324" s="2" t="s">
        <v>1536</v>
      </c>
      <c r="C324" s="2" t="s">
        <v>1641</v>
      </c>
      <c r="D324" s="2" t="s">
        <v>1642</v>
      </c>
      <c r="E324" s="2" t="s">
        <v>53</v>
      </c>
      <c r="F324" s="2" t="s">
        <v>26</v>
      </c>
      <c r="G324" s="2" t="s">
        <v>27</v>
      </c>
      <c r="H324" s="2" t="s">
        <v>174</v>
      </c>
      <c r="I324" s="2" t="s">
        <v>175</v>
      </c>
      <c r="J324" s="2" t="s">
        <v>86</v>
      </c>
      <c r="K324" s="2" t="s">
        <v>223</v>
      </c>
      <c r="L324" s="2" t="s">
        <v>1643</v>
      </c>
      <c r="M324" s="2" t="s">
        <v>33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34</v>
      </c>
      <c r="U324" s="2" t="s">
        <v>35</v>
      </c>
      <c r="V324" s="2" t="str">
        <f t="shared" si="15"/>
        <v>ORD-2024-103232024-11-1212-11-2024CUST-8579Isha NairConsumerNorthUttar PradeshNoidaTechnologyPhonesMax Phones 422Second Class61369.480.156984.354023.632960.72PaidCompleted</v>
      </c>
      <c r="W324" s="2">
        <f t="shared" si="16"/>
        <v>1</v>
      </c>
      <c r="X324">
        <f t="shared" si="17"/>
        <v>1</v>
      </c>
    </row>
    <row r="325" spans="1:25">
      <c r="A325" s="2" t="s">
        <v>1644</v>
      </c>
      <c r="B325" s="2" t="s">
        <v>1645</v>
      </c>
      <c r="C325" s="2" t="s">
        <v>1646</v>
      </c>
      <c r="D325" s="2" t="s">
        <v>1647</v>
      </c>
      <c r="E325" s="2" t="s">
        <v>53</v>
      </c>
      <c r="F325" s="2" t="s">
        <v>41</v>
      </c>
      <c r="G325" s="2" t="s">
        <v>73</v>
      </c>
      <c r="H325" s="2" t="s">
        <v>249</v>
      </c>
      <c r="I325" s="2" t="s">
        <v>250</v>
      </c>
      <c r="J325" s="2" t="s">
        <v>45</v>
      </c>
      <c r="K325" s="2" t="s">
        <v>65</v>
      </c>
      <c r="L325" s="2" t="s">
        <v>193</v>
      </c>
      <c r="M325" s="2" t="s">
        <v>67</v>
      </c>
      <c r="N325" s="2">
        <v>9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34</v>
      </c>
      <c r="U325" s="2" t="s">
        <v>35</v>
      </c>
      <c r="V325" s="2" t="str">
        <f t="shared" si="15"/>
        <v>ORD-2024-1032425-02-202429 Feb 2024CUST-6909Isha NairSmall BusinessWestGoaPanajiFurnitureFurnishingsEco Furnishings 897Standard Class91331.460.1510185.676479.313706.36PaidCompleted</v>
      </c>
      <c r="W325" s="2">
        <f t="shared" si="16"/>
        <v>1</v>
      </c>
      <c r="X325">
        <f t="shared" si="17"/>
        <v>1</v>
      </c>
    </row>
    <row r="326" spans="1:25">
      <c r="A326" s="2" t="s">
        <v>1648</v>
      </c>
      <c r="B326" s="2" t="s">
        <v>1649</v>
      </c>
      <c r="C326" s="2" t="s">
        <v>943</v>
      </c>
      <c r="D326" s="2" t="s">
        <v>1650</v>
      </c>
      <c r="E326" s="2" t="s">
        <v>180</v>
      </c>
      <c r="F326" s="2" t="s">
        <v>115</v>
      </c>
      <c r="G326" s="2" t="s">
        <v>62</v>
      </c>
      <c r="H326" s="2" t="s">
        <v>100</v>
      </c>
      <c r="I326" s="2" t="s">
        <v>101</v>
      </c>
      <c r="J326" s="2" t="s">
        <v>30</v>
      </c>
      <c r="K326" s="2" t="s">
        <v>109</v>
      </c>
      <c r="L326" s="2" t="s">
        <v>1651</v>
      </c>
      <c r="M326" s="2" t="s">
        <v>48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34</v>
      </c>
      <c r="U326" s="2" t="s">
        <v>125</v>
      </c>
      <c r="V326" s="2" t="str">
        <f t="shared" si="15"/>
        <v>ORD-2025-1032531 Jul 202502-08-2025CUST-7212Rohan MehtaHome OfficeSouthAndhra PradeshVijayawadaOffice SuppliesLabelsBasic Labels 102Same Day11947.880.151655.71354.8300.9PaidReturned</v>
      </c>
      <c r="W326" s="2">
        <f t="shared" si="16"/>
        <v>1</v>
      </c>
      <c r="X326">
        <f t="shared" si="17"/>
        <v>1</v>
      </c>
    </row>
    <row r="327" spans="1:25">
      <c r="A327" s="2" t="s">
        <v>1652</v>
      </c>
      <c r="B327" s="2" t="s">
        <v>1653</v>
      </c>
      <c r="C327" s="2" t="s">
        <v>1654</v>
      </c>
      <c r="D327" s="2" t="s">
        <v>1655</v>
      </c>
      <c r="E327" s="2" t="s">
        <v>168</v>
      </c>
      <c r="F327" s="2" t="s">
        <v>115</v>
      </c>
      <c r="G327" s="2" t="s">
        <v>42</v>
      </c>
      <c r="H327" s="2" t="s">
        <v>121</v>
      </c>
      <c r="I327" s="2" t="s">
        <v>122</v>
      </c>
      <c r="J327" s="2" t="s">
        <v>86</v>
      </c>
      <c r="K327" s="2" t="s">
        <v>94</v>
      </c>
      <c r="L327" s="2" t="s">
        <v>1656</v>
      </c>
      <c r="M327" s="2" t="s">
        <v>33</v>
      </c>
      <c r="N327" s="2">
        <v>5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34</v>
      </c>
      <c r="U327" s="2" t="s">
        <v>35</v>
      </c>
      <c r="V327" s="2" t="str">
        <f t="shared" si="15"/>
        <v>ORD-2025-1032609/16/20252025-09-22CUST-7980Sneha KapoorHome OfficeEastWest BengalKolkataTechnologyCopiersPrime Copiers 170Second Class53671.20.1515602.611908.523694.08PaidCompleted</v>
      </c>
      <c r="W327" s="2">
        <f t="shared" si="16"/>
        <v>1</v>
      </c>
      <c r="X327">
        <f t="shared" si="17"/>
        <v>1</v>
      </c>
    </row>
    <row r="328" spans="1:25">
      <c r="A328" s="2" t="s">
        <v>1657</v>
      </c>
      <c r="B328" s="2" t="s">
        <v>1658</v>
      </c>
      <c r="C328" s="2" t="s">
        <v>1512</v>
      </c>
      <c r="D328" s="2" t="s">
        <v>1659</v>
      </c>
      <c r="E328" s="2" t="s">
        <v>168</v>
      </c>
      <c r="F328" s="2" t="s">
        <v>108</v>
      </c>
      <c r="G328" s="2" t="s">
        <v>42</v>
      </c>
      <c r="H328" s="2" t="s">
        <v>311</v>
      </c>
      <c r="I328" s="2" t="s">
        <v>312</v>
      </c>
      <c r="J328" s="2" t="s">
        <v>45</v>
      </c>
      <c r="K328" s="2" t="s">
        <v>65</v>
      </c>
      <c r="L328" s="2" t="s">
        <v>1660</v>
      </c>
      <c r="M328" s="2" t="s">
        <v>48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34</v>
      </c>
      <c r="U328" s="2" t="s">
        <v>35</v>
      </c>
      <c r="V328" s="2" t="str">
        <f t="shared" si="15"/>
        <v>ORD-2025-103272025-07-2207/22/2025CUST-1966Sneha KapoorCorporateEastJharkhandRanchiFurnitureFurnishingsSmart Furnishings 533Same Day53187.050.0515138.4911235.723902.77PaidCompleted</v>
      </c>
      <c r="W328" s="2">
        <f t="shared" si="16"/>
        <v>1</v>
      </c>
      <c r="X328">
        <f t="shared" si="17"/>
        <v>1</v>
      </c>
    </row>
    <row r="329" spans="1:25">
      <c r="A329" s="2" t="s">
        <v>1661</v>
      </c>
      <c r="B329" s="2" t="s">
        <v>1662</v>
      </c>
      <c r="C329" s="2" t="s">
        <v>264</v>
      </c>
      <c r="D329" s="2" t="s">
        <v>1663</v>
      </c>
      <c r="E329" s="2" t="s">
        <v>53</v>
      </c>
      <c r="F329" s="2" t="s">
        <v>26</v>
      </c>
      <c r="G329" s="2" t="s">
        <v>73</v>
      </c>
      <c r="H329" s="2" t="s">
        <v>28</v>
      </c>
      <c r="I329" s="2" t="s">
        <v>135</v>
      </c>
      <c r="J329" s="2" t="s">
        <v>86</v>
      </c>
      <c r="K329" s="2" t="s">
        <v>87</v>
      </c>
      <c r="L329" s="2" t="s">
        <v>1664</v>
      </c>
      <c r="M329" s="2" t="s">
        <v>33</v>
      </c>
      <c r="N329" s="2">
        <v>3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137</v>
      </c>
      <c r="U329" s="2" t="s">
        <v>78</v>
      </c>
      <c r="V329" s="2" t="str">
        <f t="shared" si="15"/>
        <v>ORD-2024-103282024-07-2427-07-2024CUST-6163Isha NairConsumerWestRajasthanUdaipurTechnologyAccessoriesClassic Accessories 489Second Class31834.550.24402.922993.941408.98PendingCancelled</v>
      </c>
      <c r="W329" s="2">
        <f t="shared" si="16"/>
        <v>1</v>
      </c>
      <c r="X329">
        <f t="shared" si="17"/>
        <v>1</v>
      </c>
    </row>
    <row r="330" spans="1:25">
      <c r="A330" s="2" t="s">
        <v>1665</v>
      </c>
      <c r="B330" s="2" t="s">
        <v>1666</v>
      </c>
      <c r="C330" s="2" t="s">
        <v>1432</v>
      </c>
      <c r="D330" s="2" t="s">
        <v>1667</v>
      </c>
      <c r="E330" s="2" t="s">
        <v>210</v>
      </c>
      <c r="F330" s="2" t="s">
        <v>26</v>
      </c>
      <c r="G330" s="2" t="s">
        <v>73</v>
      </c>
      <c r="H330" s="2" t="s">
        <v>74</v>
      </c>
      <c r="I330" s="2" t="s">
        <v>75</v>
      </c>
      <c r="J330" s="2" t="s">
        <v>30</v>
      </c>
      <c r="K330" s="2" t="s">
        <v>156</v>
      </c>
      <c r="L330" s="2" t="s">
        <v>1668</v>
      </c>
      <c r="M330" s="2" t="s">
        <v>56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34</v>
      </c>
      <c r="U330" s="2" t="s">
        <v>35</v>
      </c>
      <c r="V330" s="2" t="str">
        <f t="shared" si="15"/>
        <v>ORD-2025-103292025-05-2904 Jun 2025CUST-7239Diya PatelConsumerWestMaharashtraMumbaiOffice SuppliesStorageSmart Storage 439First Class63100.68018604.0815834.32769.78PaidCompleted</v>
      </c>
      <c r="W330" s="2">
        <f t="shared" si="16"/>
        <v>1</v>
      </c>
      <c r="X330">
        <f t="shared" si="17"/>
        <v>1</v>
      </c>
    </row>
    <row r="331" spans="1:25">
      <c r="A331" s="2" t="s">
        <v>1669</v>
      </c>
      <c r="B331" s="2" t="s">
        <v>1670</v>
      </c>
      <c r="C331" s="2" t="s">
        <v>1671</v>
      </c>
      <c r="D331" s="2" t="s">
        <v>1672</v>
      </c>
      <c r="E331" s="2" t="s">
        <v>93</v>
      </c>
      <c r="F331" s="2" t="s">
        <v>41</v>
      </c>
      <c r="G331" s="2" t="s">
        <v>73</v>
      </c>
      <c r="H331" s="2" t="s">
        <v>74</v>
      </c>
      <c r="I331" s="2" t="s">
        <v>75</v>
      </c>
      <c r="J331" s="2" t="s">
        <v>30</v>
      </c>
      <c r="K331" s="2" t="s">
        <v>156</v>
      </c>
      <c r="L331" s="2" t="s">
        <v>1673</v>
      </c>
      <c r="M331" s="2" t="s">
        <v>67</v>
      </c>
      <c r="N331" s="2">
        <v>4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34</v>
      </c>
      <c r="U331" s="2" t="s">
        <v>35</v>
      </c>
      <c r="V331" s="2" t="str">
        <f t="shared" si="15"/>
        <v>ORD-2025-1033012 May 20252025-05-18CUST-9718Neha GuptaSmall BusinessWestMaharashtraMumbaiOffice SuppliesStoragePrime Storage 232Standard Class44053.030.0515401.518650.426751.09PaidCompleted</v>
      </c>
      <c r="W331" s="2">
        <f t="shared" si="16"/>
        <v>1</v>
      </c>
      <c r="X331">
        <f t="shared" si="17"/>
        <v>1</v>
      </c>
    </row>
    <row r="332" spans="1:25">
      <c r="A332" s="2" t="s">
        <v>1674</v>
      </c>
      <c r="B332" s="2" t="s">
        <v>1128</v>
      </c>
      <c r="C332" s="2" t="s">
        <v>709</v>
      </c>
      <c r="D332" s="2" t="s">
        <v>1675</v>
      </c>
      <c r="E332" s="2" t="s">
        <v>61</v>
      </c>
      <c r="F332" s="2" t="s">
        <v>115</v>
      </c>
      <c r="G332" s="2" t="s">
        <v>27</v>
      </c>
      <c r="H332" s="2" t="s">
        <v>154</v>
      </c>
      <c r="I332" s="2" t="s">
        <v>155</v>
      </c>
      <c r="J332" s="2" t="s">
        <v>86</v>
      </c>
      <c r="K332" s="2" t="s">
        <v>87</v>
      </c>
      <c r="L332" s="2" t="s">
        <v>1676</v>
      </c>
      <c r="M332" s="2" t="s">
        <v>48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200</v>
      </c>
      <c r="U332" s="2" t="s">
        <v>78</v>
      </c>
      <c r="V332" s="2" t="str">
        <f t="shared" si="15"/>
        <v>ORD-2024-1033105/16/202405/24/2024CUST-1116Arjun BoseHome OfficeNorthPunjabLudhianaTechnologyAccessoriesPrime Accessories 335Same Day1783.090783.09503.89279.2FailedCancelled</v>
      </c>
      <c r="W332" s="2">
        <f t="shared" si="16"/>
        <v>1</v>
      </c>
      <c r="X332">
        <f t="shared" si="17"/>
        <v>1</v>
      </c>
    </row>
    <row r="333" spans="1:25">
      <c r="A333" s="2" t="s">
        <v>1677</v>
      </c>
      <c r="B333" s="2" t="s">
        <v>705</v>
      </c>
      <c r="C333" s="2" t="s">
        <v>1678</v>
      </c>
      <c r="D333" s="2" t="s">
        <v>1679</v>
      </c>
      <c r="E333" s="2" t="s">
        <v>168</v>
      </c>
      <c r="F333" s="2" t="s">
        <v>115</v>
      </c>
      <c r="G333" s="2" t="s">
        <v>42</v>
      </c>
      <c r="H333" s="2" t="s">
        <v>43</v>
      </c>
      <c r="I333" s="2" t="s">
        <v>44</v>
      </c>
      <c r="J333" s="2" t="s">
        <v>30</v>
      </c>
      <c r="K333" s="2" t="s">
        <v>198</v>
      </c>
      <c r="L333" s="2" t="s">
        <v>1680</v>
      </c>
      <c r="M333" s="2" t="s">
        <v>33</v>
      </c>
      <c r="N333" s="2">
        <v>4</v>
      </c>
      <c r="O333" s="2">
        <v>2685.66</v>
      </c>
      <c r="P333" s="2">
        <v>0</v>
      </c>
      <c r="Q333" s="2">
        <v>10742.64</v>
      </c>
      <c r="R333" s="2">
        <v>6477.37</v>
      </c>
      <c r="S333" s="2">
        <v>4265.2700000000004</v>
      </c>
      <c r="T333" s="2" t="s">
        <v>34</v>
      </c>
      <c r="U333" s="2" t="s">
        <v>125</v>
      </c>
      <c r="V333" s="2" t="str">
        <f t="shared" si="15"/>
        <v>ORD-2024-1033204-12-20242024-12-06CUST-9346Sneha KapoorHome OfficeEastOdishaBhubaneswarOffice SuppliesBindersSmart Binders 939Second Class42685.66010742.646477.374265.27PaidReturned</v>
      </c>
      <c r="W333" s="2">
        <f t="shared" si="16"/>
        <v>1</v>
      </c>
      <c r="X333">
        <f t="shared" si="17"/>
        <v>2</v>
      </c>
      <c r="Y333" s="2" t="s">
        <v>4097</v>
      </c>
    </row>
    <row r="334" spans="1:25">
      <c r="A334" s="2" t="s">
        <v>1681</v>
      </c>
      <c r="B334" s="2" t="s">
        <v>1682</v>
      </c>
      <c r="C334" s="2" t="s">
        <v>1683</v>
      </c>
      <c r="D334" s="2" t="s">
        <v>1684</v>
      </c>
      <c r="E334" s="2" t="s">
        <v>162</v>
      </c>
      <c r="F334" s="2" t="s">
        <v>26</v>
      </c>
      <c r="G334" s="2" t="s">
        <v>62</v>
      </c>
      <c r="H334" s="2" t="s">
        <v>100</v>
      </c>
      <c r="I334" s="2" t="s">
        <v>101</v>
      </c>
      <c r="J334" s="2" t="s">
        <v>86</v>
      </c>
      <c r="K334" s="2" t="s">
        <v>1685</v>
      </c>
      <c r="L334" s="2" t="s">
        <v>1686</v>
      </c>
      <c r="M334" s="2" t="s">
        <v>33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34</v>
      </c>
      <c r="U334" s="2" t="s">
        <v>35</v>
      </c>
      <c r="V334" s="2" t="str">
        <f t="shared" si="15"/>
        <v>ORD-2025-1033327 May 20252025-05-28CUST-5332Aarav SharmaConsumerSouthAndhra PradeshVijayawadaTechnologymachinesBasic Machines 601Second Class23911.9607823.926034.631789.29PaidCompleted</v>
      </c>
      <c r="W334" s="2">
        <f t="shared" si="16"/>
        <v>1</v>
      </c>
      <c r="X334">
        <f t="shared" si="17"/>
        <v>1</v>
      </c>
    </row>
    <row r="335" spans="1:25">
      <c r="A335" s="2" t="s">
        <v>1687</v>
      </c>
      <c r="B335" s="2" t="s">
        <v>1688</v>
      </c>
      <c r="C335" s="2" t="s">
        <v>1689</v>
      </c>
      <c r="D335" s="2" t="s">
        <v>1690</v>
      </c>
      <c r="E335" s="2" t="s">
        <v>180</v>
      </c>
      <c r="F335" s="2" t="s">
        <v>115</v>
      </c>
      <c r="H335" s="2" t="s">
        <v>506</v>
      </c>
      <c r="I335" s="2" t="s">
        <v>507</v>
      </c>
      <c r="J335" s="2" t="s">
        <v>86</v>
      </c>
      <c r="K335" s="2" t="s">
        <v>223</v>
      </c>
      <c r="L335" s="2" t="s">
        <v>1691</v>
      </c>
      <c r="M335" s="2" t="s">
        <v>56</v>
      </c>
      <c r="N335" s="2">
        <v>2</v>
      </c>
      <c r="O335" s="2">
        <v>1468.05</v>
      </c>
      <c r="P335" s="2">
        <v>0</v>
      </c>
      <c r="Q335" s="2">
        <v>2936.1</v>
      </c>
      <c r="R335" s="2">
        <v>1923.1</v>
      </c>
      <c r="S335" s="2">
        <v>1013</v>
      </c>
      <c r="T335" s="2" t="s">
        <v>34</v>
      </c>
      <c r="U335" s="2" t="s">
        <v>35</v>
      </c>
      <c r="V335" s="2" t="str">
        <f t="shared" si="15"/>
        <v>ORD-2025-1033422 Jun 20252025-06-27CUST-8081Rohan MehtaHome OfficeDelhiNew DelhiTechnologyPhonesPro Phones 968First Class21468.0502936.11923.11013PaidCompleted</v>
      </c>
      <c r="W335" s="2">
        <f t="shared" si="16"/>
        <v>1</v>
      </c>
      <c r="X335">
        <f t="shared" si="17"/>
        <v>1</v>
      </c>
    </row>
    <row r="336" spans="1:25">
      <c r="A336" s="2" t="s">
        <v>1692</v>
      </c>
      <c r="B336" s="2" t="s">
        <v>1693</v>
      </c>
      <c r="C336" s="2" t="s">
        <v>1694</v>
      </c>
      <c r="D336" s="2" t="s">
        <v>1695</v>
      </c>
      <c r="E336" s="2" t="s">
        <v>72</v>
      </c>
      <c r="F336" s="2" t="s">
        <v>26</v>
      </c>
      <c r="G336" s="2" t="s">
        <v>42</v>
      </c>
      <c r="H336" s="2" t="s">
        <v>311</v>
      </c>
      <c r="I336" s="2" t="s">
        <v>312</v>
      </c>
      <c r="J336" s="2" t="s">
        <v>30</v>
      </c>
      <c r="K336" s="2" t="s">
        <v>156</v>
      </c>
      <c r="L336" s="2" t="s">
        <v>1696</v>
      </c>
      <c r="M336" s="2" t="s">
        <v>56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34</v>
      </c>
      <c r="U336" s="2" t="s">
        <v>35</v>
      </c>
      <c r="V336" s="2" t="str">
        <f t="shared" si="15"/>
        <v>ORD-2024-1033512 Sep 202417-09-2024CUST-3062Ananya RaoConsumerEastJharkhandRanchiOffice SuppliesStoragePro Storage 563First Class91921.470.2512969.929398.463571.46PaidCompleted</v>
      </c>
      <c r="W336" s="2">
        <f t="shared" si="16"/>
        <v>1</v>
      </c>
      <c r="X336">
        <f t="shared" si="17"/>
        <v>1</v>
      </c>
    </row>
    <row r="337" spans="1:25">
      <c r="A337" s="2" t="s">
        <v>1697</v>
      </c>
      <c r="B337" s="2" t="s">
        <v>1698</v>
      </c>
      <c r="C337" s="2" t="s">
        <v>1699</v>
      </c>
      <c r="D337" s="2" t="s">
        <v>1700</v>
      </c>
      <c r="E337" s="2" t="s">
        <v>148</v>
      </c>
      <c r="F337" s="2" t="s">
        <v>115</v>
      </c>
      <c r="G337" s="2" t="s">
        <v>73</v>
      </c>
      <c r="H337" s="2" t="s">
        <v>84</v>
      </c>
      <c r="I337" s="2" t="s">
        <v>85</v>
      </c>
      <c r="J337" s="2" t="s">
        <v>30</v>
      </c>
      <c r="K337" s="2" t="s">
        <v>31</v>
      </c>
      <c r="L337" s="2" t="s">
        <v>1701</v>
      </c>
      <c r="M337" s="2" t="s">
        <v>56</v>
      </c>
      <c r="N337" s="2">
        <v>3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34</v>
      </c>
      <c r="U337" s="2" t="s">
        <v>35</v>
      </c>
      <c r="V337" s="2" t="str">
        <f t="shared" si="15"/>
        <v>ORD-2025-1033606/16/202518 Jun 2025CUST-3621Rahul VermaHome OfficeWestMadhya PradeshIndoreOffice SuppliesPaperPrime Paper 559First Class34289.370.111581.36829.434751.87PaidCompleted</v>
      </c>
      <c r="W337" s="2">
        <f t="shared" si="16"/>
        <v>1</v>
      </c>
      <c r="X337">
        <f t="shared" si="17"/>
        <v>2</v>
      </c>
      <c r="Y337" s="2" t="s">
        <v>4097</v>
      </c>
    </row>
    <row r="338" spans="1:25">
      <c r="A338" s="2" t="s">
        <v>1702</v>
      </c>
      <c r="B338" s="2" t="s">
        <v>304</v>
      </c>
      <c r="C338" s="2" t="s">
        <v>1703</v>
      </c>
      <c r="D338" s="2" t="s">
        <v>1321</v>
      </c>
      <c r="E338" s="2" t="s">
        <v>162</v>
      </c>
      <c r="F338" s="2" t="s">
        <v>26</v>
      </c>
      <c r="G338" s="2" t="s">
        <v>27</v>
      </c>
      <c r="H338" s="2" t="s">
        <v>28</v>
      </c>
      <c r="I338" s="2" t="s">
        <v>29</v>
      </c>
      <c r="J338" s="2" t="s">
        <v>86</v>
      </c>
      <c r="K338" s="2" t="s">
        <v>94</v>
      </c>
      <c r="L338" s="2" t="s">
        <v>1704</v>
      </c>
      <c r="M338" s="2" t="s">
        <v>56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34</v>
      </c>
      <c r="U338" s="2" t="s">
        <v>35</v>
      </c>
      <c r="V338" s="2" t="str">
        <f t="shared" si="15"/>
        <v>ORD-2024-1033717-03-202403/21/2024CUST-2103Aarav SharmaConsumerNorthRajasthanJaipurTechnologyCopiersPro Copiers 999First Class81992.57015940.5612347.153593.41PaidCompleted</v>
      </c>
      <c r="W338" s="2">
        <f t="shared" si="16"/>
        <v>1</v>
      </c>
      <c r="X338">
        <f t="shared" si="17"/>
        <v>1</v>
      </c>
    </row>
    <row r="339" spans="1:25">
      <c r="A339" s="2" t="s">
        <v>1705</v>
      </c>
      <c r="B339" s="2" t="s">
        <v>1706</v>
      </c>
      <c r="C339" s="2" t="s">
        <v>1707</v>
      </c>
      <c r="D339" s="2" t="s">
        <v>1708</v>
      </c>
      <c r="E339" s="2" t="s">
        <v>72</v>
      </c>
      <c r="F339" s="2" t="s">
        <v>26</v>
      </c>
      <c r="G339" s="2" t="s">
        <v>42</v>
      </c>
      <c r="H339" s="2" t="s">
        <v>216</v>
      </c>
      <c r="I339" s="2" t="s">
        <v>217</v>
      </c>
      <c r="J339" s="2" t="s">
        <v>30</v>
      </c>
      <c r="K339" s="2" t="s">
        <v>109</v>
      </c>
      <c r="L339" s="2" t="s">
        <v>1709</v>
      </c>
      <c r="M339" s="2" t="s">
        <v>48</v>
      </c>
      <c r="N339" s="2">
        <v>6</v>
      </c>
      <c r="O339" s="2">
        <v>1181.74</v>
      </c>
      <c r="P339" s="2">
        <v>0</v>
      </c>
      <c r="Q339" s="2">
        <v>7090.44</v>
      </c>
      <c r="R339" s="2">
        <v>5672.27</v>
      </c>
      <c r="S339" s="2">
        <v>1262.8699999999999</v>
      </c>
      <c r="T339" s="2" t="s">
        <v>34</v>
      </c>
      <c r="U339" s="2" t="s">
        <v>35</v>
      </c>
      <c r="V339" s="2" t="str">
        <f t="shared" si="15"/>
        <v>ORD-2024-1033812 Aug 202418 Aug 2024CUST-4599Ananya RaoConsumerEastAssamGuwahatiOffice SuppliesLabelsClassic Labels 206Same Day61181.7407090.445672.271262.87PaidCompleted</v>
      </c>
      <c r="W339" s="2">
        <f t="shared" si="16"/>
        <v>1</v>
      </c>
      <c r="X339">
        <f t="shared" si="17"/>
        <v>1</v>
      </c>
    </row>
    <row r="340" spans="1:25">
      <c r="A340" s="2" t="s">
        <v>1710</v>
      </c>
      <c r="B340" s="2" t="s">
        <v>1711</v>
      </c>
      <c r="C340" s="2" t="s">
        <v>1464</v>
      </c>
      <c r="D340" s="2" t="s">
        <v>1712</v>
      </c>
      <c r="E340" s="2" t="s">
        <v>61</v>
      </c>
      <c r="F340" s="2" t="s">
        <v>41</v>
      </c>
      <c r="G340" s="2" t="s">
        <v>62</v>
      </c>
      <c r="H340" s="2" t="s">
        <v>100</v>
      </c>
      <c r="I340" s="2" t="s">
        <v>101</v>
      </c>
      <c r="J340" s="2" t="s">
        <v>86</v>
      </c>
      <c r="K340" s="2" t="s">
        <v>87</v>
      </c>
      <c r="L340" s="2" t="s">
        <v>1713</v>
      </c>
      <c r="M340" s="2" t="s">
        <v>56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34</v>
      </c>
      <c r="U340" s="2" t="s">
        <v>35</v>
      </c>
      <c r="V340" s="2" t="str">
        <f t="shared" si="15"/>
        <v>ORD-2024-1033908-12-202412/08/2024CUST-3066Arjun BoseSmall BusinessSouthAndhra PradeshVijayawadaTechnologyAccessoriesEco Accessories 315First Class84402.360.2526414.1621822.534591.63PaidCompleted</v>
      </c>
      <c r="W340" s="2">
        <f t="shared" si="16"/>
        <v>1</v>
      </c>
      <c r="X340">
        <f t="shared" si="17"/>
        <v>1</v>
      </c>
    </row>
    <row r="341" spans="1:25">
      <c r="A341" s="2" t="s">
        <v>1714</v>
      </c>
      <c r="B341" s="2" t="s">
        <v>916</v>
      </c>
      <c r="C341" s="2" t="s">
        <v>1715</v>
      </c>
      <c r="D341" s="2" t="s">
        <v>1716</v>
      </c>
      <c r="E341" s="2" t="s">
        <v>93</v>
      </c>
      <c r="F341" s="2" t="s">
        <v>108</v>
      </c>
      <c r="G341" s="2" t="s">
        <v>42</v>
      </c>
      <c r="H341" s="2" t="s">
        <v>311</v>
      </c>
      <c r="I341" s="2" t="s">
        <v>312</v>
      </c>
      <c r="J341" s="2" t="s">
        <v>45</v>
      </c>
      <c r="K341" s="2" t="s">
        <v>204</v>
      </c>
      <c r="L341" s="2" t="s">
        <v>1717</v>
      </c>
      <c r="M341" s="2" t="s">
        <v>67</v>
      </c>
      <c r="N341" s="2">
        <v>8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8387.7199999999993</v>
      </c>
      <c r="T341" s="2" t="s">
        <v>34</v>
      </c>
      <c r="U341" s="2" t="s">
        <v>35</v>
      </c>
      <c r="V341" s="2" t="str">
        <f t="shared" si="15"/>
        <v>ORD-2025-1034020-02-202522-02-2025CUST-2752Neha GuptaCorporateEastJharkhandRanchiFurnitureBookcasesElite Bookcases 988Standard Class83265.760.220900.8612513.148387.72PaidCompleted</v>
      </c>
      <c r="W341" s="2">
        <f t="shared" si="16"/>
        <v>1</v>
      </c>
      <c r="X341">
        <f t="shared" si="17"/>
        <v>1</v>
      </c>
    </row>
    <row r="342" spans="1:25">
      <c r="A342" s="2" t="s">
        <v>1718</v>
      </c>
      <c r="B342" s="2" t="s">
        <v>1719</v>
      </c>
      <c r="C342" s="2" t="s">
        <v>1720</v>
      </c>
      <c r="D342" s="2" t="s">
        <v>1721</v>
      </c>
      <c r="E342" s="2" t="s">
        <v>93</v>
      </c>
      <c r="F342" s="2" t="s">
        <v>26</v>
      </c>
      <c r="G342" s="2" t="s">
        <v>62</v>
      </c>
      <c r="H342" s="2" t="s">
        <v>229</v>
      </c>
      <c r="I342" s="2" t="s">
        <v>230</v>
      </c>
      <c r="J342" s="2" t="s">
        <v>30</v>
      </c>
      <c r="K342" s="2" t="s">
        <v>198</v>
      </c>
      <c r="L342" s="2" t="s">
        <v>1722</v>
      </c>
      <c r="M342" s="2" t="s">
        <v>67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34</v>
      </c>
      <c r="U342" s="2" t="s">
        <v>35</v>
      </c>
      <c r="V342" s="2" t="str">
        <f t="shared" si="15"/>
        <v>ORD-2024-1034121 Jan 202401/29/2024CUST-6291Neha GuptaConsumerSouthKarnatakaBengaluruOffice SuppliesBindersSmart Binders 414Standard Class54058.080.118261.3611399.946861.42PaidCompleted</v>
      </c>
      <c r="W342" s="2">
        <f t="shared" si="16"/>
        <v>1</v>
      </c>
      <c r="X342">
        <f t="shared" si="17"/>
        <v>1</v>
      </c>
    </row>
    <row r="343" spans="1:25">
      <c r="A343" s="2" t="s">
        <v>1723</v>
      </c>
      <c r="B343" s="2" t="s">
        <v>1724</v>
      </c>
      <c r="C343" s="2" t="s">
        <v>1725</v>
      </c>
      <c r="D343" s="2" t="s">
        <v>1726</v>
      </c>
      <c r="E343" s="2" t="s">
        <v>180</v>
      </c>
      <c r="F343" s="2" t="s">
        <v>115</v>
      </c>
      <c r="G343" s="2" t="s">
        <v>73</v>
      </c>
      <c r="H343" s="2" t="s">
        <v>235</v>
      </c>
      <c r="I343" s="2" t="s">
        <v>236</v>
      </c>
      <c r="J343" s="2" t="s">
        <v>45</v>
      </c>
      <c r="K343" s="2" t="s">
        <v>76</v>
      </c>
      <c r="L343" s="2" t="s">
        <v>1727</v>
      </c>
      <c r="M343" s="2" t="s">
        <v>33</v>
      </c>
      <c r="N343" s="2">
        <v>2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34</v>
      </c>
      <c r="U343" s="2" t="s">
        <v>35</v>
      </c>
      <c r="V343" s="2" t="str">
        <f t="shared" si="15"/>
        <v>ORD-2025-1034208 Sep 20252025-09-09CUST-9969Rohan MehtaHome OfficeWestGujaratAhmedabadFurnitureChairsEco Chairs 552Second Class23960.330.057524.636229.61295.03PaidCompleted</v>
      </c>
      <c r="W343" s="2">
        <f t="shared" si="16"/>
        <v>1</v>
      </c>
      <c r="X343">
        <f t="shared" si="17"/>
        <v>1</v>
      </c>
    </row>
    <row r="344" spans="1:25">
      <c r="A344" s="2" t="s">
        <v>1728</v>
      </c>
      <c r="B344" s="2" t="s">
        <v>1729</v>
      </c>
      <c r="C344" s="2" t="s">
        <v>1730</v>
      </c>
      <c r="D344" s="2" t="s">
        <v>1731</v>
      </c>
      <c r="E344" s="2" t="s">
        <v>366</v>
      </c>
      <c r="F344" s="2" t="s">
        <v>41</v>
      </c>
      <c r="G344" s="2" t="s">
        <v>42</v>
      </c>
      <c r="H344" s="2" t="s">
        <v>311</v>
      </c>
      <c r="I344" s="2" t="s">
        <v>312</v>
      </c>
      <c r="J344" s="2" t="s">
        <v>30</v>
      </c>
      <c r="K344" s="2" t="s">
        <v>198</v>
      </c>
      <c r="L344" s="2" t="s">
        <v>1732</v>
      </c>
      <c r="M344" s="2" t="s">
        <v>56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34</v>
      </c>
      <c r="U344" s="2" t="s">
        <v>35</v>
      </c>
      <c r="V344" s="2" t="str">
        <f t="shared" si="15"/>
        <v>ORD-2025-1034324-07-202501-08-2025CUST-3335Kabir SinghSmall BusinessEastJharkhandRanchiOffice SuppliesBindersSmart Binders 574First Class81528.92012231.368766.93464.46PaidCompleted</v>
      </c>
      <c r="W344" s="2">
        <f t="shared" si="16"/>
        <v>1</v>
      </c>
      <c r="X344">
        <f t="shared" si="17"/>
        <v>1</v>
      </c>
    </row>
    <row r="345" spans="1:25">
      <c r="A345" s="2" t="s">
        <v>1733</v>
      </c>
      <c r="B345" s="2" t="s">
        <v>1734</v>
      </c>
      <c r="C345" s="2" t="s">
        <v>1191</v>
      </c>
      <c r="D345" s="2" t="s">
        <v>1735</v>
      </c>
      <c r="E345" s="2" t="s">
        <v>162</v>
      </c>
      <c r="F345" s="2" t="s">
        <v>108</v>
      </c>
      <c r="G345" s="2" t="s">
        <v>73</v>
      </c>
      <c r="H345" s="2" t="s">
        <v>84</v>
      </c>
      <c r="I345" s="2" t="s">
        <v>85</v>
      </c>
      <c r="J345" s="2" t="s">
        <v>86</v>
      </c>
      <c r="K345" s="2" t="s">
        <v>382</v>
      </c>
      <c r="L345" s="2" t="s">
        <v>1736</v>
      </c>
      <c r="M345" s="2" t="s">
        <v>48</v>
      </c>
      <c r="N345" s="2">
        <v>9</v>
      </c>
      <c r="O345" s="2">
        <v>3837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34</v>
      </c>
      <c r="U345" s="2" t="s">
        <v>35</v>
      </c>
      <c r="V345" s="2" t="str">
        <f t="shared" si="15"/>
        <v>ORD-2025-1034410/03/202508 Oct 2025CUST-7358Aarav SharmaCorporateWestMadhya PradeshIndoreTechnologyMachinesPro Machines 444Same Day938370.131079.717758.2513321.45PaidCompleted</v>
      </c>
      <c r="W345" s="2">
        <f t="shared" si="16"/>
        <v>1</v>
      </c>
      <c r="X345">
        <f t="shared" si="17"/>
        <v>1</v>
      </c>
    </row>
    <row r="346" spans="1:25">
      <c r="A346" s="2" t="s">
        <v>1737</v>
      </c>
      <c r="B346" s="2" t="s">
        <v>1507</v>
      </c>
      <c r="C346" s="2" t="s">
        <v>1507</v>
      </c>
      <c r="D346" s="2" t="s">
        <v>1738</v>
      </c>
      <c r="E346" s="2" t="s">
        <v>142</v>
      </c>
      <c r="F346" s="2" t="s">
        <v>26</v>
      </c>
      <c r="G346" s="2" t="s">
        <v>27</v>
      </c>
      <c r="H346" s="2" t="s">
        <v>154</v>
      </c>
      <c r="I346" s="2" t="s">
        <v>155</v>
      </c>
      <c r="J346" s="2" t="s">
        <v>45</v>
      </c>
      <c r="K346" s="2" t="s">
        <v>204</v>
      </c>
      <c r="L346" s="2" t="s">
        <v>1739</v>
      </c>
      <c r="M346" s="2" t="s">
        <v>48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137</v>
      </c>
      <c r="U346" s="2" t="s">
        <v>125</v>
      </c>
      <c r="V346" s="2" t="str">
        <f t="shared" si="15"/>
        <v>ORD-2024-1034511-03-202411-03-2024CUST-8025Priya MenonConsumerNorthPunjabLudhianaFurnitureBookcasesElite Bookcases 184Same Day93456.38031107.4220146.6610960.76PendingReturned</v>
      </c>
      <c r="W346" s="2">
        <f t="shared" si="16"/>
        <v>1</v>
      </c>
      <c r="X346">
        <f t="shared" si="17"/>
        <v>1</v>
      </c>
    </row>
    <row r="347" spans="1:25">
      <c r="A347" s="2" t="s">
        <v>1740</v>
      </c>
      <c r="B347" s="2" t="s">
        <v>1741</v>
      </c>
      <c r="C347" s="2" t="s">
        <v>1742</v>
      </c>
      <c r="D347" s="2" t="s">
        <v>1743</v>
      </c>
      <c r="E347" s="2" t="s">
        <v>25</v>
      </c>
      <c r="F347" s="2" t="s">
        <v>26</v>
      </c>
      <c r="G347" s="2" t="s">
        <v>73</v>
      </c>
      <c r="H347" s="2" t="s">
        <v>84</v>
      </c>
      <c r="I347" s="2" t="s">
        <v>85</v>
      </c>
      <c r="J347" s="2" t="s">
        <v>45</v>
      </c>
      <c r="K347" s="2" t="s">
        <v>65</v>
      </c>
      <c r="L347" s="2" t="s">
        <v>1744</v>
      </c>
      <c r="M347" s="2" t="s">
        <v>33</v>
      </c>
      <c r="N347" s="2">
        <v>2</v>
      </c>
      <c r="O347" s="2">
        <v>2765.3</v>
      </c>
      <c r="P347" s="2">
        <v>0</v>
      </c>
      <c r="Q347" s="2">
        <v>5530.6</v>
      </c>
      <c r="R347" s="2">
        <v>4453.1099999999997</v>
      </c>
      <c r="S347" s="2">
        <v>1077.49</v>
      </c>
      <c r="T347" s="2" t="s">
        <v>34</v>
      </c>
      <c r="U347" s="2" t="s">
        <v>35</v>
      </c>
      <c r="V347" s="2" t="str">
        <f t="shared" si="15"/>
        <v>ORD-2024-103462024-09-142024-09-22CUST-4634Karan MalhotraConsumerWestMadhya PradeshIndoreFurnitureFurnishingsElite Furnishings 138Second Class22765.305530.64453.111077.49PaidCompleted</v>
      </c>
      <c r="W347" s="2">
        <f t="shared" si="16"/>
        <v>1</v>
      </c>
      <c r="X347">
        <f t="shared" si="17"/>
        <v>1</v>
      </c>
    </row>
    <row r="348" spans="1:25">
      <c r="A348" s="2" t="s">
        <v>1745</v>
      </c>
      <c r="B348" s="2" t="s">
        <v>1658</v>
      </c>
      <c r="C348" s="2" t="s">
        <v>1746</v>
      </c>
      <c r="D348" s="2" t="s">
        <v>1747</v>
      </c>
      <c r="E348" s="2" t="s">
        <v>148</v>
      </c>
      <c r="F348" s="2" t="s">
        <v>108</v>
      </c>
      <c r="G348" s="2" t="s">
        <v>62</v>
      </c>
      <c r="H348" s="2" t="s">
        <v>242</v>
      </c>
      <c r="I348" s="2" t="s">
        <v>243</v>
      </c>
      <c r="J348" s="2" t="s">
        <v>45</v>
      </c>
      <c r="K348" s="2" t="s">
        <v>76</v>
      </c>
      <c r="L348" s="2" t="s">
        <v>1748</v>
      </c>
      <c r="M348" s="2" t="s">
        <v>33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34</v>
      </c>
      <c r="U348" s="2" t="s">
        <v>35</v>
      </c>
      <c r="V348" s="2" t="str">
        <f t="shared" si="15"/>
        <v>ORD-2025-103472025-07-2228-07-2025CUST-3400Rahul VermaCorporateSouthKeralaKochiFurnitureChairsEco Chairs 369Second Class61607.460.27715.814258.423457.39PaidCompleted</v>
      </c>
      <c r="W348" s="2">
        <f t="shared" si="16"/>
        <v>1</v>
      </c>
      <c r="X348">
        <f t="shared" si="17"/>
        <v>1</v>
      </c>
    </row>
    <row r="349" spans="1:25">
      <c r="A349" s="2" t="s">
        <v>1749</v>
      </c>
      <c r="B349" s="2" t="s">
        <v>1750</v>
      </c>
      <c r="C349" s="2" t="s">
        <v>1464</v>
      </c>
      <c r="D349" s="2" t="s">
        <v>1751</v>
      </c>
      <c r="E349" s="2" t="s">
        <v>162</v>
      </c>
      <c r="F349" s="2" t="s">
        <v>41</v>
      </c>
      <c r="G349" s="2" t="s">
        <v>73</v>
      </c>
      <c r="H349" s="2" t="s">
        <v>249</v>
      </c>
      <c r="I349" s="2" t="s">
        <v>250</v>
      </c>
      <c r="J349" s="2" t="s">
        <v>45</v>
      </c>
      <c r="K349" s="2" t="s">
        <v>76</v>
      </c>
      <c r="L349" s="2" t="s">
        <v>1752</v>
      </c>
      <c r="M349" s="2" t="s">
        <v>33</v>
      </c>
      <c r="N349" s="2">
        <v>5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124</v>
      </c>
      <c r="U349" s="2" t="s">
        <v>125</v>
      </c>
      <c r="V349" s="2" t="str">
        <f t="shared" si="15"/>
        <v>ORD-2024-1034801-12-202412/08/2024CUST-1172Aarav SharmaSmall BusinessWestGoaPanajiFurnitureChairsMax Chairs 487Second Class52981.490.211925.9610103.511822.45RefundedReturned</v>
      </c>
      <c r="W349" s="2">
        <f t="shared" si="16"/>
        <v>1</v>
      </c>
      <c r="X349">
        <f t="shared" si="17"/>
        <v>1</v>
      </c>
    </row>
    <row r="350" spans="1:25">
      <c r="A350" s="2" t="s">
        <v>1753</v>
      </c>
      <c r="B350" s="2" t="s">
        <v>1303</v>
      </c>
      <c r="C350" s="2" t="s">
        <v>1754</v>
      </c>
      <c r="D350" s="2" t="s">
        <v>1755</v>
      </c>
      <c r="E350" s="2" t="s">
        <v>162</v>
      </c>
      <c r="F350" s="2" t="s">
        <v>108</v>
      </c>
      <c r="G350" s="2" t="s">
        <v>62</v>
      </c>
      <c r="H350" s="2" t="s">
        <v>229</v>
      </c>
      <c r="I350" s="2" t="s">
        <v>230</v>
      </c>
      <c r="J350" s="2" t="s">
        <v>86</v>
      </c>
      <c r="K350" s="2" t="s">
        <v>223</v>
      </c>
      <c r="L350" s="2" t="s">
        <v>1756</v>
      </c>
      <c r="M350" s="2" t="s">
        <v>48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34</v>
      </c>
      <c r="U350" s="2" t="s">
        <v>35</v>
      </c>
      <c r="V350" s="2" t="str">
        <f t="shared" si="15"/>
        <v>ORD-2024-1034906/02/202406/07/2024CUST-9517Aarav SharmaCorporateSouthKarnatakaBengaluruTechnologyPhonesClassic Phones 989Same Day92860.260.2519306.7614442.384864.38PaidCompleted</v>
      </c>
      <c r="W350" s="2">
        <f t="shared" si="16"/>
        <v>1</v>
      </c>
      <c r="X350">
        <f t="shared" si="17"/>
        <v>1</v>
      </c>
    </row>
    <row r="351" spans="1:25">
      <c r="A351" s="2" t="s">
        <v>1757</v>
      </c>
      <c r="B351" s="2" t="s">
        <v>1758</v>
      </c>
      <c r="C351" s="2" t="s">
        <v>747</v>
      </c>
      <c r="D351" s="2" t="s">
        <v>1759</v>
      </c>
      <c r="E351" s="2" t="s">
        <v>366</v>
      </c>
      <c r="F351" s="2" t="s">
        <v>115</v>
      </c>
      <c r="G351" s="2" t="s">
        <v>42</v>
      </c>
      <c r="H351" s="2" t="s">
        <v>311</v>
      </c>
      <c r="I351" s="2" t="s">
        <v>312</v>
      </c>
      <c r="J351" s="2" t="s">
        <v>45</v>
      </c>
      <c r="K351" s="2" t="s">
        <v>65</v>
      </c>
      <c r="L351" s="2" t="s">
        <v>1760</v>
      </c>
      <c r="M351" s="2" t="s">
        <v>33</v>
      </c>
      <c r="N351" s="2">
        <v>9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34</v>
      </c>
      <c r="U351" s="2" t="s">
        <v>35</v>
      </c>
      <c r="V351" s="2" t="str">
        <f t="shared" si="15"/>
        <v>ORD-2025-1035027-09-202509/29/2025CUST-6697Kabir SinghHome OfficeEastJharkhandRanchiFurnitureFurnishingsMax Furnishings 628Second Class92867.550.2519355.9615012.454017.4PaidCompleted</v>
      </c>
      <c r="W351" s="2">
        <f t="shared" si="16"/>
        <v>1</v>
      </c>
      <c r="X351">
        <f t="shared" si="17"/>
        <v>1</v>
      </c>
    </row>
    <row r="352" spans="1:25">
      <c r="A352" s="2" t="s">
        <v>1761</v>
      </c>
      <c r="B352" s="2" t="s">
        <v>1762</v>
      </c>
      <c r="C352" s="2" t="s">
        <v>1763</v>
      </c>
      <c r="D352" s="2" t="s">
        <v>1764</v>
      </c>
      <c r="E352" s="2" t="s">
        <v>168</v>
      </c>
      <c r="F352" s="2" t="s">
        <v>41</v>
      </c>
      <c r="G352" s="2" t="s">
        <v>42</v>
      </c>
      <c r="H352" s="2" t="s">
        <v>311</v>
      </c>
      <c r="I352" s="2" t="s">
        <v>312</v>
      </c>
      <c r="J352" s="2" t="s">
        <v>45</v>
      </c>
      <c r="K352" s="2" t="s">
        <v>65</v>
      </c>
      <c r="L352" s="2" t="s">
        <v>1765</v>
      </c>
      <c r="M352" s="2" t="s">
        <v>33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124</v>
      </c>
      <c r="U352" s="2" t="s">
        <v>125</v>
      </c>
      <c r="V352" s="2" t="str">
        <f t="shared" si="15"/>
        <v>ORD-2024-1035107-01-202414 Jan 2024CUST-7644Sneha KapoorSmall BusinessEastJharkhandRanchiFurnitureFurnishingsElite Furnishings 279Second Class43309.540.111914.349771.242143.1RefundedReturned</v>
      </c>
      <c r="W352" s="2">
        <f t="shared" si="16"/>
        <v>1</v>
      </c>
      <c r="X352">
        <f t="shared" si="17"/>
        <v>1</v>
      </c>
    </row>
    <row r="353" spans="1:24">
      <c r="A353" s="2" t="s">
        <v>1766</v>
      </c>
      <c r="B353" s="2" t="s">
        <v>1767</v>
      </c>
      <c r="C353" s="2" t="s">
        <v>1682</v>
      </c>
      <c r="D353" s="2" t="s">
        <v>1768</v>
      </c>
      <c r="E353" s="2" t="s">
        <v>83</v>
      </c>
      <c r="F353" s="2" t="s">
        <v>41</v>
      </c>
      <c r="G353" s="2" t="s">
        <v>62</v>
      </c>
      <c r="H353" s="2" t="s">
        <v>63</v>
      </c>
      <c r="I353" s="2" t="s">
        <v>64</v>
      </c>
      <c r="J353" s="2" t="s">
        <v>30</v>
      </c>
      <c r="K353" s="2" t="s">
        <v>156</v>
      </c>
      <c r="L353" s="2" t="s">
        <v>1769</v>
      </c>
      <c r="M353" s="2" t="s">
        <v>56</v>
      </c>
      <c r="N353" s="2">
        <v>6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1119.1400000000001</v>
      </c>
      <c r="T353" s="2" t="s">
        <v>137</v>
      </c>
      <c r="U353" s="2" t="s">
        <v>78</v>
      </c>
      <c r="V353" s="2" t="str">
        <f t="shared" si="15"/>
        <v>ORD-2025-1035223-05-202527 May 2025CUST-9963Vikram IyerSmall BusinessSouthTelanganaHyderabadOffice SuppliesStoragePro Storage 847First Class6719.440.253237.482118.341119.14PendingCancelled</v>
      </c>
      <c r="W353" s="2">
        <f t="shared" si="16"/>
        <v>1</v>
      </c>
      <c r="X353">
        <f t="shared" si="17"/>
        <v>1</v>
      </c>
    </row>
    <row r="354" spans="1:24">
      <c r="A354" s="2" t="s">
        <v>1770</v>
      </c>
      <c r="B354" s="2" t="s">
        <v>1771</v>
      </c>
      <c r="C354" s="2" t="s">
        <v>1393</v>
      </c>
      <c r="D354" s="2" t="s">
        <v>1772</v>
      </c>
      <c r="E354" s="2" t="s">
        <v>210</v>
      </c>
      <c r="F354" s="2" t="s">
        <v>41</v>
      </c>
      <c r="G354" s="2" t="s">
        <v>42</v>
      </c>
      <c r="H354" s="2" t="s">
        <v>216</v>
      </c>
      <c r="I354" s="2" t="s">
        <v>217</v>
      </c>
      <c r="J354" s="2" t="s">
        <v>86</v>
      </c>
      <c r="K354" s="2" t="s">
        <v>94</v>
      </c>
      <c r="L354" s="2" t="s">
        <v>1773</v>
      </c>
      <c r="M354" s="2" t="s">
        <v>56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34</v>
      </c>
      <c r="U354" s="2" t="s">
        <v>35</v>
      </c>
      <c r="V354" s="2" t="str">
        <f t="shared" si="15"/>
        <v>ORD-2025-1035315 Aug 202508/17/2025CUST-6382Diya PatelSmall BusinessEastAssamGuwahatiTechnologyCopiersElite Copiers 706First Class52862.60.2510734.756475.734259.02PaidCompleted</v>
      </c>
      <c r="W354" s="2">
        <f t="shared" si="16"/>
        <v>1</v>
      </c>
      <c r="X354">
        <f t="shared" si="17"/>
        <v>1</v>
      </c>
    </row>
    <row r="355" spans="1:24">
      <c r="A355" s="2" t="s">
        <v>1774</v>
      </c>
      <c r="B355" s="2" t="s">
        <v>1775</v>
      </c>
      <c r="C355" s="2" t="s">
        <v>1163</v>
      </c>
      <c r="D355" s="2" t="s">
        <v>1776</v>
      </c>
      <c r="E355" s="2" t="s">
        <v>72</v>
      </c>
      <c r="F355" s="2" t="s">
        <v>26</v>
      </c>
      <c r="G355" s="2" t="s">
        <v>27</v>
      </c>
      <c r="H355" s="2" t="s">
        <v>28</v>
      </c>
      <c r="I355" s="2" t="s">
        <v>29</v>
      </c>
      <c r="J355" s="2" t="s">
        <v>30</v>
      </c>
      <c r="K355" s="2" t="s">
        <v>54</v>
      </c>
      <c r="L355" s="2" t="s">
        <v>1777</v>
      </c>
      <c r="M355" s="2" t="s">
        <v>48</v>
      </c>
      <c r="N355" s="2">
        <v>9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34</v>
      </c>
      <c r="U355" s="2" t="s">
        <v>35</v>
      </c>
      <c r="V355" s="2" t="str">
        <f t="shared" si="15"/>
        <v>ORD-2025-1035421-02-202527-02-2025CUST-3253Ananya RaoConsumerNorthRajasthanJaipurOffice SuppliesArtPrime Art 978Same Day91431.670.210308.025822.314485.71PaidCompleted</v>
      </c>
      <c r="W355" s="2">
        <f t="shared" si="16"/>
        <v>1</v>
      </c>
      <c r="X355">
        <f t="shared" si="17"/>
        <v>1</v>
      </c>
    </row>
    <row r="356" spans="1:24">
      <c r="A356" s="2" t="s">
        <v>1778</v>
      </c>
      <c r="B356" s="2" t="s">
        <v>145</v>
      </c>
      <c r="C356" s="2" t="s">
        <v>1779</v>
      </c>
      <c r="D356" s="2" t="s">
        <v>1780</v>
      </c>
      <c r="E356" s="2" t="s">
        <v>366</v>
      </c>
      <c r="F356" s="2" t="s">
        <v>1781</v>
      </c>
      <c r="G356" s="2" t="s">
        <v>27</v>
      </c>
      <c r="H356" s="2" t="s">
        <v>154</v>
      </c>
      <c r="I356" s="2" t="s">
        <v>155</v>
      </c>
      <c r="J356" s="2" t="s">
        <v>45</v>
      </c>
      <c r="K356" s="2" t="s">
        <v>65</v>
      </c>
      <c r="L356" s="2" t="s">
        <v>1782</v>
      </c>
      <c r="M356" s="2" t="s">
        <v>67</v>
      </c>
      <c r="N356" s="2">
        <v>6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137</v>
      </c>
      <c r="U356" s="2" t="s">
        <v>78</v>
      </c>
      <c r="V356" s="2" t="str">
        <f t="shared" si="15"/>
        <v>ORD-2024-1035527 Dec 20242024-12-31CUST-1058Kabir SinghcorporateNorthPunjabLudhianaFurnitureFurnishingsClassic Furnishings 498Standard Class63346.78-0.0620080.6812908.847171.84PendingCancelled</v>
      </c>
      <c r="W356" s="2">
        <f t="shared" si="16"/>
        <v>1</v>
      </c>
      <c r="X356">
        <f t="shared" si="17"/>
        <v>1</v>
      </c>
    </row>
    <row r="357" spans="1:24">
      <c r="A357" s="2" t="s">
        <v>1783</v>
      </c>
      <c r="B357" s="2" t="s">
        <v>1784</v>
      </c>
      <c r="C357" s="2" t="s">
        <v>1785</v>
      </c>
      <c r="D357" s="2" t="s">
        <v>1786</v>
      </c>
      <c r="E357" s="2" t="s">
        <v>142</v>
      </c>
      <c r="F357" s="2" t="s">
        <v>108</v>
      </c>
      <c r="G357" s="2" t="s">
        <v>73</v>
      </c>
      <c r="H357" s="2" t="s">
        <v>28</v>
      </c>
      <c r="I357" s="2" t="s">
        <v>135</v>
      </c>
      <c r="J357" s="2" t="s">
        <v>45</v>
      </c>
      <c r="K357" s="2" t="s">
        <v>46</v>
      </c>
      <c r="L357" s="2" t="s">
        <v>1787</v>
      </c>
      <c r="M357" s="2" t="s">
        <v>67</v>
      </c>
      <c r="N357" s="2">
        <v>5</v>
      </c>
      <c r="O357" s="2">
        <v>3203.48</v>
      </c>
      <c r="P357" s="2">
        <v>0</v>
      </c>
      <c r="Q357" s="2">
        <v>16017.4</v>
      </c>
      <c r="R357" s="2">
        <v>9557.7999999999993</v>
      </c>
      <c r="S357" s="2">
        <v>6459.6</v>
      </c>
      <c r="T357" s="2" t="s">
        <v>137</v>
      </c>
      <c r="U357" s="2" t="s">
        <v>78</v>
      </c>
      <c r="V357" s="2" t="str">
        <f t="shared" si="15"/>
        <v>ORD-2024-1035612-05-20242024-05-09CUST-6414Priya MenonCorporateWestRajasthanUdaipurFurnitureTablesMax Tables 829Standard Class53203.48016017.49557.86459.6PendingCancelled</v>
      </c>
      <c r="W357" s="2">
        <f t="shared" si="16"/>
        <v>1</v>
      </c>
      <c r="X357">
        <f t="shared" si="17"/>
        <v>1</v>
      </c>
    </row>
    <row r="358" spans="1:24">
      <c r="A358" s="2" t="s">
        <v>1788</v>
      </c>
      <c r="B358" s="2" t="s">
        <v>1789</v>
      </c>
      <c r="C358" s="2" t="s">
        <v>1790</v>
      </c>
      <c r="D358" s="2" t="s">
        <v>1791</v>
      </c>
      <c r="E358" s="2" t="s">
        <v>180</v>
      </c>
      <c r="F358" s="2" t="s">
        <v>115</v>
      </c>
      <c r="G358" s="2" t="s">
        <v>62</v>
      </c>
      <c r="H358" s="2" t="s">
        <v>63</v>
      </c>
      <c r="I358" s="2" t="s">
        <v>64</v>
      </c>
      <c r="J358" s="2" t="s">
        <v>45</v>
      </c>
      <c r="K358" s="2" t="s">
        <v>76</v>
      </c>
      <c r="L358" s="2" t="s">
        <v>1792</v>
      </c>
      <c r="M358" s="2" t="s">
        <v>56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137</v>
      </c>
      <c r="U358" s="2" t="s">
        <v>125</v>
      </c>
      <c r="V358" s="2" t="str">
        <f t="shared" si="15"/>
        <v>ORD-2025-1035727 Jun 202529 Jun 2025CUST-9268Rohan MehtaHome OfficeSouthTelanganaHyderabadFurnitureChairsEco Chairs 346First Class5621.70.22486.82131.73355.07PendingReturned</v>
      </c>
      <c r="W358" s="2">
        <f t="shared" si="16"/>
        <v>1</v>
      </c>
      <c r="X358">
        <f t="shared" si="17"/>
        <v>1</v>
      </c>
    </row>
    <row r="359" spans="1:24">
      <c r="A359" s="2" t="s">
        <v>1793</v>
      </c>
      <c r="B359" s="2" t="s">
        <v>196</v>
      </c>
      <c r="C359" s="2" t="s">
        <v>1794</v>
      </c>
      <c r="D359" s="2" t="s">
        <v>1795</v>
      </c>
      <c r="E359" s="2" t="s">
        <v>40</v>
      </c>
      <c r="F359" s="2" t="s">
        <v>115</v>
      </c>
      <c r="G359" s="2" t="s">
        <v>62</v>
      </c>
      <c r="H359" s="2" t="s">
        <v>100</v>
      </c>
      <c r="I359" s="2" t="s">
        <v>101</v>
      </c>
      <c r="J359" s="2" t="s">
        <v>86</v>
      </c>
      <c r="K359" s="2" t="s">
        <v>382</v>
      </c>
      <c r="L359" s="2" t="s">
        <v>1796</v>
      </c>
      <c r="M359" s="2" t="s">
        <v>33</v>
      </c>
      <c r="N359" s="2">
        <v>8</v>
      </c>
      <c r="O359" s="2">
        <v>546.13</v>
      </c>
      <c r="P359" s="2">
        <v>0</v>
      </c>
      <c r="Q359" s="2">
        <v>4369.04</v>
      </c>
      <c r="R359" s="2">
        <v>3716.88</v>
      </c>
      <c r="S359" s="2">
        <v>652.16</v>
      </c>
      <c r="T359" s="2" t="s">
        <v>34</v>
      </c>
      <c r="U359" s="2" t="s">
        <v>78</v>
      </c>
      <c r="V359" s="2" t="str">
        <f t="shared" si="15"/>
        <v>ORD-2025-103582025-01-2101/29/2025CUST-1363Mira DasHome OfficeSouthAndhra PradeshVijayawadaTechnologyMachinesMax Machines 770Second Class8546.1304369.043716.88652.16PaidCancelled</v>
      </c>
      <c r="W359" s="2">
        <f t="shared" si="16"/>
        <v>1</v>
      </c>
      <c r="X359">
        <f t="shared" si="17"/>
        <v>1</v>
      </c>
    </row>
    <row r="360" spans="1:24">
      <c r="A360" s="2" t="s">
        <v>1797</v>
      </c>
      <c r="B360" s="2" t="s">
        <v>1798</v>
      </c>
      <c r="C360" s="2" t="s">
        <v>1799</v>
      </c>
      <c r="D360" s="2" t="s">
        <v>1800</v>
      </c>
      <c r="E360" s="2" t="s">
        <v>83</v>
      </c>
      <c r="F360" s="2" t="s">
        <v>115</v>
      </c>
      <c r="G360" s="2" t="s">
        <v>73</v>
      </c>
      <c r="H360" s="2" t="s">
        <v>235</v>
      </c>
      <c r="I360" s="2" t="s">
        <v>236</v>
      </c>
      <c r="J360" s="2" t="s">
        <v>45</v>
      </c>
      <c r="K360" s="2" t="s">
        <v>204</v>
      </c>
      <c r="L360" s="2" t="s">
        <v>1801</v>
      </c>
      <c r="M360" s="2" t="s">
        <v>33</v>
      </c>
      <c r="N360" s="2">
        <v>5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137</v>
      </c>
      <c r="U360" s="2" t="s">
        <v>125</v>
      </c>
      <c r="V360" s="2" t="str">
        <f t="shared" si="15"/>
        <v>ORD-2025-1035908/09/20252025-08-07CUST-2477Vikram IyerHome OfficeWestGujaratAhmedabadFurnitureBookcasesSmart Bookcases 134Second Class51253.920.055956.124379.181576.94PendingReturned</v>
      </c>
      <c r="W360" s="2">
        <f t="shared" si="16"/>
        <v>1</v>
      </c>
      <c r="X360">
        <f t="shared" si="17"/>
        <v>1</v>
      </c>
    </row>
    <row r="361" spans="1:24">
      <c r="A361" s="2" t="s">
        <v>1802</v>
      </c>
      <c r="B361" s="2" t="s">
        <v>1626</v>
      </c>
      <c r="C361" s="2" t="s">
        <v>1803</v>
      </c>
      <c r="D361" s="2" t="s">
        <v>1804</v>
      </c>
      <c r="E361" s="2" t="s">
        <v>53</v>
      </c>
      <c r="F361" s="2" t="s">
        <v>26</v>
      </c>
      <c r="G361" s="2" t="s">
        <v>62</v>
      </c>
      <c r="H361" s="2" t="s">
        <v>339</v>
      </c>
      <c r="I361" s="2" t="s">
        <v>340</v>
      </c>
      <c r="J361" s="2" t="s">
        <v>86</v>
      </c>
      <c r="K361" s="2" t="s">
        <v>223</v>
      </c>
      <c r="L361" s="2" t="s">
        <v>1805</v>
      </c>
      <c r="M361" s="2" t="s">
        <v>48</v>
      </c>
      <c r="N361" s="2">
        <v>9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34</v>
      </c>
      <c r="U361" s="2" t="s">
        <v>35</v>
      </c>
      <c r="V361" s="2" t="str">
        <f t="shared" si="15"/>
        <v>ORD-2024-1036021 Aug 202422-08-2024CUST-9571Isha NairConsumerSouthTamil NaduChennaiTechnologyPhonesClassic Phones 586Same Day9616.960.14997.382971.392025.99PaidCompleted</v>
      </c>
      <c r="W361" s="2">
        <f t="shared" si="16"/>
        <v>1</v>
      </c>
      <c r="X361">
        <f t="shared" si="17"/>
        <v>1</v>
      </c>
    </row>
    <row r="362" spans="1:24">
      <c r="A362" s="2" t="s">
        <v>1806</v>
      </c>
      <c r="B362" s="2" t="s">
        <v>1807</v>
      </c>
      <c r="C362" s="2" t="s">
        <v>1808</v>
      </c>
      <c r="D362" s="2" t="s">
        <v>1809</v>
      </c>
      <c r="E362" s="2" t="s">
        <v>168</v>
      </c>
      <c r="F362" s="2" t="s">
        <v>41</v>
      </c>
      <c r="G362" s="2" t="s">
        <v>73</v>
      </c>
      <c r="H362" s="2" t="s">
        <v>235</v>
      </c>
      <c r="I362" s="2" t="s">
        <v>236</v>
      </c>
      <c r="J362" s="2" t="s">
        <v>45</v>
      </c>
      <c r="K362" s="2" t="s">
        <v>65</v>
      </c>
      <c r="L362" s="2" t="s">
        <v>1810</v>
      </c>
      <c r="M362" s="2" t="s">
        <v>67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124</v>
      </c>
      <c r="U362" s="2" t="s">
        <v>78</v>
      </c>
      <c r="V362" s="2" t="str">
        <f t="shared" si="15"/>
        <v>ORD-2024-1036117 Jun 20242024-06-20CUST-3690Sneha KapoorSmall BusinessWestGujaratAhmedabadFurnitureFurnishingsElite Furnishings 634Standard Class73155.250.217669.413718.773950.63RefundedCancelled</v>
      </c>
      <c r="W362" s="2">
        <f t="shared" si="16"/>
        <v>1</v>
      </c>
      <c r="X362">
        <f t="shared" si="17"/>
        <v>1</v>
      </c>
    </row>
    <row r="363" spans="1:24">
      <c r="A363" s="2" t="s">
        <v>1811</v>
      </c>
      <c r="B363" s="2" t="s">
        <v>1157</v>
      </c>
      <c r="C363" s="2" t="s">
        <v>1812</v>
      </c>
      <c r="D363" s="2" t="s">
        <v>1813</v>
      </c>
      <c r="E363" s="2" t="s">
        <v>180</v>
      </c>
      <c r="F363" s="2" t="s">
        <v>108</v>
      </c>
      <c r="G363" s="2" t="s">
        <v>42</v>
      </c>
      <c r="H363" s="2" t="s">
        <v>43</v>
      </c>
      <c r="I363" s="2" t="s">
        <v>44</v>
      </c>
      <c r="J363" s="2" t="s">
        <v>45</v>
      </c>
      <c r="K363" s="2" t="s">
        <v>76</v>
      </c>
      <c r="L363" s="2" t="s">
        <v>1814</v>
      </c>
      <c r="M363" s="2" t="s">
        <v>33</v>
      </c>
      <c r="N363" s="2">
        <v>9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</v>
      </c>
      <c r="T363" s="2" t="s">
        <v>137</v>
      </c>
      <c r="U363" s="2" t="s">
        <v>125</v>
      </c>
      <c r="V363" s="2" t="str">
        <f t="shared" si="15"/>
        <v>ORD-2025-1036201-04-20252025-04-02CUST-2909Rohan MehtaCorporateEastOdishaBhubaneswarFurnitureChairsBasic Chairs 113Second Class94165.580.0535615.7120389.7115226PendingReturned</v>
      </c>
      <c r="W363" s="2">
        <f t="shared" si="16"/>
        <v>1</v>
      </c>
      <c r="X363">
        <f t="shared" si="17"/>
        <v>1</v>
      </c>
    </row>
    <row r="364" spans="1:24">
      <c r="A364" s="2" t="s">
        <v>1815</v>
      </c>
      <c r="B364" s="2" t="s">
        <v>1816</v>
      </c>
      <c r="C364" s="2" t="s">
        <v>1817</v>
      </c>
      <c r="D364" s="2" t="s">
        <v>1818</v>
      </c>
      <c r="E364" s="2" t="s">
        <v>83</v>
      </c>
      <c r="F364" s="2" t="s">
        <v>26</v>
      </c>
      <c r="G364" s="2" t="s">
        <v>73</v>
      </c>
      <c r="H364" s="2" t="s">
        <v>249</v>
      </c>
      <c r="I364" s="2" t="s">
        <v>250</v>
      </c>
      <c r="J364" s="2" t="s">
        <v>86</v>
      </c>
      <c r="K364" s="2" t="s">
        <v>382</v>
      </c>
      <c r="L364" s="2" t="s">
        <v>1819</v>
      </c>
      <c r="M364" s="2" t="s">
        <v>48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34</v>
      </c>
      <c r="U364" s="2" t="s">
        <v>35</v>
      </c>
      <c r="V364" s="2" t="str">
        <f t="shared" si="15"/>
        <v>ORD-2024-1036323 Aug 202425-08-2024CUST-6755Vikram IyerConsumerWestGoaPanajiTechnologyMachinesElite Machines 216Same Day4491.160.051866.411576.49289.92PaidCompleted</v>
      </c>
      <c r="W364" s="2">
        <f t="shared" si="16"/>
        <v>1</v>
      </c>
      <c r="X364">
        <f t="shared" si="17"/>
        <v>1</v>
      </c>
    </row>
    <row r="365" spans="1:24">
      <c r="A365" s="2" t="s">
        <v>1820</v>
      </c>
      <c r="B365" s="2" t="s">
        <v>1821</v>
      </c>
      <c r="C365" s="2" t="s">
        <v>1822</v>
      </c>
      <c r="D365" s="2" t="s">
        <v>1823</v>
      </c>
      <c r="E365" s="2" t="s">
        <v>210</v>
      </c>
      <c r="F365" s="2" t="s">
        <v>108</v>
      </c>
      <c r="G365" s="2" t="s">
        <v>42</v>
      </c>
      <c r="H365" s="2" t="s">
        <v>121</v>
      </c>
      <c r="I365" s="2" t="s">
        <v>122</v>
      </c>
      <c r="J365" s="2" t="s">
        <v>45</v>
      </c>
      <c r="K365" s="2" t="s">
        <v>46</v>
      </c>
      <c r="L365" s="2" t="s">
        <v>1824</v>
      </c>
      <c r="M365" s="2" t="s">
        <v>33</v>
      </c>
      <c r="N365" s="2">
        <v>5</v>
      </c>
      <c r="O365" s="2">
        <v>1831.37</v>
      </c>
      <c r="P365" s="2">
        <v>0.25</v>
      </c>
      <c r="Q365" s="2">
        <v>6867.64</v>
      </c>
      <c r="R365" s="2">
        <v>5205.3599999999997</v>
      </c>
      <c r="S365" s="2">
        <v>1662.28</v>
      </c>
      <c r="T365" s="2" t="s">
        <v>34</v>
      </c>
      <c r="U365" s="2" t="s">
        <v>35</v>
      </c>
      <c r="V365" s="2" t="str">
        <f t="shared" si="15"/>
        <v>ORD-2025-1036407/07/202507/12/2025CUST-1832Diya PatelCorporateEastWest BengalKolkataFurnitureTablesSmart Tables 943Second Class51831.370.256867.645205.361662.28PaidCompleted</v>
      </c>
      <c r="W365" s="2">
        <f t="shared" si="16"/>
        <v>1</v>
      </c>
      <c r="X365">
        <f t="shared" si="17"/>
        <v>1</v>
      </c>
    </row>
    <row r="366" spans="1:24">
      <c r="A366" s="2" t="s">
        <v>1825</v>
      </c>
      <c r="B366" s="2" t="s">
        <v>1826</v>
      </c>
      <c r="C366" s="2" t="s">
        <v>1827</v>
      </c>
      <c r="D366" s="2" t="s">
        <v>1828</v>
      </c>
      <c r="E366" s="2" t="s">
        <v>162</v>
      </c>
      <c r="F366" s="2" t="s">
        <v>41</v>
      </c>
      <c r="G366" s="2" t="s">
        <v>62</v>
      </c>
      <c r="H366" s="2" t="s">
        <v>100</v>
      </c>
      <c r="I366" s="2" t="s">
        <v>101</v>
      </c>
      <c r="J366" s="2" t="s">
        <v>45</v>
      </c>
      <c r="K366" s="2" t="s">
        <v>76</v>
      </c>
      <c r="L366" s="2" t="s">
        <v>1829</v>
      </c>
      <c r="M366" s="2" t="s">
        <v>33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34</v>
      </c>
      <c r="U366" s="2" t="s">
        <v>35</v>
      </c>
      <c r="V366" s="2" t="str">
        <f t="shared" si="15"/>
        <v>ORD-2025-1036503/21/20252025-03-24CUST-4452Aarav SharmaSmall BusinessSouthAndhra PradeshVijayawadaFurnitureChairsPrime Chairs 101Second Class51239.1506195.753967.022228.73PaidCompleted</v>
      </c>
      <c r="W366" s="2">
        <f t="shared" si="16"/>
        <v>1</v>
      </c>
      <c r="X366">
        <f t="shared" si="17"/>
        <v>1</v>
      </c>
    </row>
    <row r="367" spans="1:24">
      <c r="A367" s="2" t="s">
        <v>1830</v>
      </c>
      <c r="B367" s="2" t="s">
        <v>1831</v>
      </c>
      <c r="C367" s="2" t="s">
        <v>1832</v>
      </c>
      <c r="D367" s="2" t="s">
        <v>1833</v>
      </c>
      <c r="E367" s="2" t="s">
        <v>107</v>
      </c>
      <c r="F367" s="2" t="s">
        <v>108</v>
      </c>
      <c r="G367" s="2" t="s">
        <v>73</v>
      </c>
      <c r="H367" s="2" t="s">
        <v>249</v>
      </c>
      <c r="I367" s="2" t="s">
        <v>250</v>
      </c>
      <c r="J367" s="2" t="s">
        <v>86</v>
      </c>
      <c r="K367" s="2" t="s">
        <v>87</v>
      </c>
      <c r="L367" s="2" t="s">
        <v>1834</v>
      </c>
      <c r="M367" s="2" t="s">
        <v>56</v>
      </c>
      <c r="N367" s="2">
        <v>8</v>
      </c>
      <c r="O367" s="2">
        <v>1706.4</v>
      </c>
      <c r="Q367" s="2">
        <v>12968.64</v>
      </c>
      <c r="R367" s="2">
        <v>10119.61</v>
      </c>
      <c r="S367" s="2">
        <v>2849.03</v>
      </c>
      <c r="T367" s="2" t="s">
        <v>34</v>
      </c>
      <c r="U367" s="2" t="s">
        <v>35</v>
      </c>
      <c r="V367" s="2" t="str">
        <f t="shared" si="15"/>
        <v>ORD-2024-1036615-06-202421-06-2024CUST-2203Aditi SenCorporateWestGoaPanajiTechnologyAccessoriesBasic Accessories 774First Class81706.412968.6410119.612849.03PaidCompleted</v>
      </c>
      <c r="W367" s="2">
        <f t="shared" si="16"/>
        <v>1</v>
      </c>
      <c r="X367">
        <f t="shared" si="17"/>
        <v>1</v>
      </c>
    </row>
    <row r="368" spans="1:24">
      <c r="A368" s="2" t="s">
        <v>1835</v>
      </c>
      <c r="B368" s="2" t="s">
        <v>1836</v>
      </c>
      <c r="C368" s="2" t="s">
        <v>1837</v>
      </c>
      <c r="D368" s="2" t="s">
        <v>1838</v>
      </c>
      <c r="E368" s="2" t="s">
        <v>168</v>
      </c>
      <c r="F368" s="2" t="s">
        <v>108</v>
      </c>
      <c r="G368" s="2" t="s">
        <v>27</v>
      </c>
      <c r="H368" s="2" t="s">
        <v>28</v>
      </c>
      <c r="I368" s="2" t="s">
        <v>29</v>
      </c>
      <c r="J368" s="2" t="s">
        <v>45</v>
      </c>
      <c r="K368" s="2" t="s">
        <v>46</v>
      </c>
      <c r="L368" s="2" t="s">
        <v>1839</v>
      </c>
      <c r="M368" s="2" t="s">
        <v>48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34</v>
      </c>
      <c r="U368" s="2" t="s">
        <v>35</v>
      </c>
      <c r="V368" s="2" t="str">
        <f t="shared" si="15"/>
        <v>ORD-2025-103672025-01-162025-01-22CUST-5397Sneha KapoorCorporateNorthRajasthanJaipurFurnitureTablesMax Tables 478Same Day24418.2808836.565867.752968.81PaidCompleted</v>
      </c>
      <c r="W368" s="2">
        <f t="shared" si="16"/>
        <v>1</v>
      </c>
      <c r="X368">
        <f t="shared" si="17"/>
        <v>1</v>
      </c>
    </row>
    <row r="369" spans="1:25">
      <c r="A369" s="2" t="s">
        <v>1840</v>
      </c>
      <c r="B369" s="2" t="s">
        <v>978</v>
      </c>
      <c r="C369" s="2" t="s">
        <v>1841</v>
      </c>
      <c r="D369" s="2" t="s">
        <v>1842</v>
      </c>
      <c r="E369" s="2" t="s">
        <v>180</v>
      </c>
      <c r="F369" s="2" t="s">
        <v>26</v>
      </c>
      <c r="G369" s="2" t="s">
        <v>27</v>
      </c>
      <c r="H369" s="2" t="s">
        <v>506</v>
      </c>
      <c r="I369" s="2" t="s">
        <v>507</v>
      </c>
      <c r="J369" s="2" t="s">
        <v>30</v>
      </c>
      <c r="K369" s="2" t="s">
        <v>54</v>
      </c>
      <c r="L369" s="2" t="s">
        <v>1843</v>
      </c>
      <c r="M369" s="2" t="s">
        <v>67</v>
      </c>
      <c r="N369" s="2">
        <v>6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4936.8999999999996</v>
      </c>
      <c r="T369" s="2" t="s">
        <v>200</v>
      </c>
      <c r="U369" s="2" t="s">
        <v>78</v>
      </c>
      <c r="V369" s="2" t="str">
        <f t="shared" si="15"/>
        <v>ORD-2024-103682024-03-1503/16/2024CUST-4696Rohan MehtaConsumerNorthDelhiNew DelhiOffice SuppliesArtEco Art 646Standard Class63815.090.1519456.9614520.064936.9FailedCancelled</v>
      </c>
      <c r="W369" s="2">
        <f t="shared" si="16"/>
        <v>1</v>
      </c>
      <c r="X369">
        <f t="shared" si="17"/>
        <v>1</v>
      </c>
    </row>
    <row r="370" spans="1:25">
      <c r="A370" s="2" t="s">
        <v>1844</v>
      </c>
      <c r="B370" s="2" t="s">
        <v>1272</v>
      </c>
      <c r="C370" s="2" t="s">
        <v>1272</v>
      </c>
      <c r="D370" s="2" t="s">
        <v>1845</v>
      </c>
      <c r="E370" s="2" t="s">
        <v>162</v>
      </c>
      <c r="F370" s="2" t="s">
        <v>115</v>
      </c>
      <c r="G370" s="2" t="s">
        <v>27</v>
      </c>
      <c r="H370" s="2" t="s">
        <v>28</v>
      </c>
      <c r="I370" s="2" t="s">
        <v>29</v>
      </c>
      <c r="J370" s="2" t="s">
        <v>86</v>
      </c>
      <c r="K370" s="2" t="s">
        <v>87</v>
      </c>
      <c r="L370" s="2" t="s">
        <v>1846</v>
      </c>
      <c r="M370" s="2" t="s">
        <v>48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124</v>
      </c>
      <c r="U370" s="2" t="s">
        <v>125</v>
      </c>
      <c r="V370" s="2" t="str">
        <f t="shared" si="15"/>
        <v>ORD-2025-1036906-07-202506-07-2025CUST-8246Aarav SharmaHome OfficeNorthRajasthanJaipurTechnologyAccessoriesPrime Accessories 962Same Day9243.190.052079.271512.17567.1RefundedReturned</v>
      </c>
      <c r="W370" s="2">
        <f t="shared" si="16"/>
        <v>1</v>
      </c>
      <c r="X370">
        <f t="shared" si="17"/>
        <v>1</v>
      </c>
    </row>
    <row r="371" spans="1:25">
      <c r="A371" s="2" t="s">
        <v>1847</v>
      </c>
      <c r="B371" s="2" t="s">
        <v>1531</v>
      </c>
      <c r="C371" s="2" t="s">
        <v>191</v>
      </c>
      <c r="D371" s="2" t="s">
        <v>1848</v>
      </c>
      <c r="E371" s="2" t="s">
        <v>142</v>
      </c>
      <c r="F371" s="2" t="s">
        <v>26</v>
      </c>
      <c r="G371" s="2" t="s">
        <v>27</v>
      </c>
      <c r="H371" s="2" t="s">
        <v>506</v>
      </c>
      <c r="I371" s="2" t="s">
        <v>507</v>
      </c>
      <c r="J371" s="2" t="s">
        <v>30</v>
      </c>
      <c r="K371" s="2" t="s">
        <v>109</v>
      </c>
      <c r="L371" s="2" t="s">
        <v>1849</v>
      </c>
      <c r="M371" s="2" t="s">
        <v>67</v>
      </c>
      <c r="N371" s="2">
        <v>9</v>
      </c>
      <c r="O371" s="2">
        <v>1169.3699999999999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34</v>
      </c>
      <c r="U371" s="2" t="s">
        <v>35</v>
      </c>
      <c r="V371" s="2" t="str">
        <f t="shared" si="15"/>
        <v>ORD-2025-1037023-01-202501/30/2025CUST-5672Priya MenonConsumerNorthDelhiNew DelhiOffice SuppliesLabelsEco Labels 646Standard Class91169.370.158945.686740.352205.33PaidCompleted</v>
      </c>
      <c r="W371" s="2">
        <f t="shared" si="16"/>
        <v>1</v>
      </c>
      <c r="X371">
        <f t="shared" si="17"/>
        <v>1</v>
      </c>
    </row>
    <row r="372" spans="1:25">
      <c r="A372" s="2" t="s">
        <v>1850</v>
      </c>
      <c r="B372" s="2" t="s">
        <v>1851</v>
      </c>
      <c r="C372" s="2" t="s">
        <v>1626</v>
      </c>
      <c r="D372" s="2" t="s">
        <v>1852</v>
      </c>
      <c r="E372" s="2" t="s">
        <v>72</v>
      </c>
      <c r="F372" s="2" t="s">
        <v>41</v>
      </c>
      <c r="G372" s="2" t="s">
        <v>73</v>
      </c>
      <c r="H372" s="2" t="s">
        <v>28</v>
      </c>
      <c r="I372" s="2" t="s">
        <v>135</v>
      </c>
      <c r="J372" s="2" t="s">
        <v>86</v>
      </c>
      <c r="K372" s="2" t="s">
        <v>94</v>
      </c>
      <c r="L372" s="2" t="s">
        <v>1853</v>
      </c>
      <c r="M372" s="2" t="s">
        <v>56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34</v>
      </c>
      <c r="U372" s="2" t="s">
        <v>35</v>
      </c>
      <c r="V372" s="2" t="str">
        <f t="shared" si="15"/>
        <v>ORD-2024-1037108/15/202421 Aug 2024CUST-8521Ananya RaoSmall BusinessWestRajasthanUdaipurTechnologyCopiersClassic Copiers 505First Class72333.810.213069.348768.594300.75PaidCompleted</v>
      </c>
      <c r="W372" s="2">
        <f t="shared" si="16"/>
        <v>1</v>
      </c>
      <c r="X372">
        <f t="shared" si="17"/>
        <v>1</v>
      </c>
    </row>
    <row r="373" spans="1:25">
      <c r="A373" s="2" t="s">
        <v>1854</v>
      </c>
      <c r="B373" s="2" t="s">
        <v>1058</v>
      </c>
      <c r="C373" s="2" t="s">
        <v>1855</v>
      </c>
      <c r="D373" s="2" t="s">
        <v>1856</v>
      </c>
      <c r="E373" s="2" t="s">
        <v>210</v>
      </c>
      <c r="F373" s="2" t="s">
        <v>115</v>
      </c>
      <c r="G373" s="2" t="s">
        <v>73</v>
      </c>
      <c r="H373" s="2" t="s">
        <v>74</v>
      </c>
      <c r="I373" s="2" t="s">
        <v>75</v>
      </c>
      <c r="J373" s="2" t="s">
        <v>30</v>
      </c>
      <c r="K373" s="2" t="s">
        <v>54</v>
      </c>
      <c r="L373" s="2" t="s">
        <v>1857</v>
      </c>
      <c r="M373" s="2" t="s">
        <v>67</v>
      </c>
      <c r="N373" s="2">
        <v>6</v>
      </c>
      <c r="O373" s="2">
        <v>1026.06</v>
      </c>
      <c r="Q373" s="2">
        <v>4617.2700000000004</v>
      </c>
      <c r="R373" s="2">
        <v>2981.94</v>
      </c>
      <c r="S373" s="2">
        <v>1635.33</v>
      </c>
      <c r="T373" s="2" t="s">
        <v>124</v>
      </c>
      <c r="U373" s="2" t="s">
        <v>78</v>
      </c>
      <c r="V373" s="2" t="str">
        <f t="shared" si="15"/>
        <v>ORD-2024-1037222-01-20242024-01-24CUST-2204Diya PatelHome OfficeWestMaharashtraMumbaiOffice SuppliesArtPro Art 906Standard Class61026.064617.272981.941635.33RefundedCancelled</v>
      </c>
      <c r="W373" s="2">
        <f t="shared" si="16"/>
        <v>1</v>
      </c>
      <c r="X373">
        <f t="shared" si="17"/>
        <v>1</v>
      </c>
    </row>
    <row r="374" spans="1:25">
      <c r="A374" s="2" t="s">
        <v>1858</v>
      </c>
      <c r="B374" s="2" t="s">
        <v>1859</v>
      </c>
      <c r="C374" s="2" t="s">
        <v>921</v>
      </c>
      <c r="D374" s="2" t="s">
        <v>970</v>
      </c>
      <c r="E374" s="2" t="s">
        <v>366</v>
      </c>
      <c r="F374" s="2" t="s">
        <v>26</v>
      </c>
      <c r="G374" s="2" t="s">
        <v>42</v>
      </c>
      <c r="H374" s="2" t="s">
        <v>311</v>
      </c>
      <c r="I374" s="2" t="s">
        <v>312</v>
      </c>
      <c r="J374" s="2" t="s">
        <v>45</v>
      </c>
      <c r="K374" s="2" t="s">
        <v>76</v>
      </c>
      <c r="L374" s="2" t="s">
        <v>1860</v>
      </c>
      <c r="M374" s="2" t="s">
        <v>48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34</v>
      </c>
      <c r="U374" s="2" t="s">
        <v>35</v>
      </c>
      <c r="V374" s="2" t="str">
        <f t="shared" si="15"/>
        <v>ORD-2025-103732025-08-162025-08-18CUST-4399Kabir SinghConsumerEastJharkhandRanchiFurnitureChairsMax Chairs 181Same Day51530.3607651.85171.782480.02PaidCompleted</v>
      </c>
      <c r="W374" s="2">
        <f t="shared" si="16"/>
        <v>1</v>
      </c>
      <c r="X374">
        <f t="shared" si="17"/>
        <v>1</v>
      </c>
    </row>
    <row r="375" spans="1:25">
      <c r="A375" s="2" t="s">
        <v>1861</v>
      </c>
      <c r="B375" s="2" t="s">
        <v>1862</v>
      </c>
      <c r="C375" s="2" t="s">
        <v>1862</v>
      </c>
      <c r="D375" s="2" t="s">
        <v>1863</v>
      </c>
      <c r="E375" s="2" t="s">
        <v>168</v>
      </c>
      <c r="F375" s="2" t="s">
        <v>41</v>
      </c>
      <c r="G375" s="2" t="s">
        <v>27</v>
      </c>
      <c r="H375" s="2" t="s">
        <v>174</v>
      </c>
      <c r="I375" s="2" t="s">
        <v>175</v>
      </c>
      <c r="J375" s="2" t="s">
        <v>30</v>
      </c>
      <c r="K375" s="2" t="s">
        <v>156</v>
      </c>
      <c r="L375" s="2" t="s">
        <v>1864</v>
      </c>
      <c r="M375" s="2" t="s">
        <v>33</v>
      </c>
      <c r="N375" s="2">
        <v>9</v>
      </c>
      <c r="O375" s="2">
        <v>1118.68</v>
      </c>
      <c r="P375" s="2">
        <v>0</v>
      </c>
      <c r="Q375" s="2">
        <v>10068.120000000001</v>
      </c>
      <c r="R375" s="2">
        <v>8595.3700000000008</v>
      </c>
      <c r="S375" s="2">
        <v>1472.75</v>
      </c>
      <c r="T375" s="2" t="s">
        <v>34</v>
      </c>
      <c r="U375" s="2" t="s">
        <v>35</v>
      </c>
      <c r="V375" s="2" t="str">
        <f t="shared" si="15"/>
        <v>ORD-2025-103742025-04-132025-04-13CUST-8566Sneha KapoorSmall BusinessNorthUttar PradeshNoidaOffice SuppliesStoragePrime Storage 951Second Class91118.68010068.128595.371472.75PaidCompleted</v>
      </c>
      <c r="W375" s="2">
        <f t="shared" si="16"/>
        <v>1</v>
      </c>
      <c r="X375">
        <f t="shared" si="17"/>
        <v>2</v>
      </c>
      <c r="Y375" s="2" t="s">
        <v>4097</v>
      </c>
    </row>
    <row r="376" spans="1:25">
      <c r="A376" s="2" t="s">
        <v>1865</v>
      </c>
      <c r="B376" s="2" t="s">
        <v>1866</v>
      </c>
      <c r="C376" s="2" t="s">
        <v>1867</v>
      </c>
      <c r="D376" s="2" t="s">
        <v>1868</v>
      </c>
      <c r="E376" s="2" t="s">
        <v>107</v>
      </c>
      <c r="F376" s="2" t="s">
        <v>41</v>
      </c>
      <c r="G376" s="2" t="s">
        <v>27</v>
      </c>
      <c r="H376" s="2" t="s">
        <v>174</v>
      </c>
      <c r="I376" s="2" t="s">
        <v>175</v>
      </c>
      <c r="J376" s="2" t="s">
        <v>30</v>
      </c>
      <c r="K376" s="2" t="s">
        <v>109</v>
      </c>
      <c r="L376" s="2" t="s">
        <v>1869</v>
      </c>
      <c r="M376" s="2" t="s">
        <v>67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34</v>
      </c>
      <c r="U376" s="2" t="s">
        <v>35</v>
      </c>
      <c r="V376" s="2" t="str">
        <f t="shared" si="15"/>
        <v>ORD-2025-103752025-02-2728-02-2025CUST-2358Aditi SenSmall BusinessNorthUttar PradeshNoidaOffice SuppliesLabelsSmart Labels 668Standard Class62393.25014359.58117.716241.79PaidCompleted</v>
      </c>
      <c r="W376" s="2">
        <f t="shared" si="16"/>
        <v>1</v>
      </c>
      <c r="X376">
        <f t="shared" si="17"/>
        <v>1</v>
      </c>
    </row>
    <row r="377" spans="1:25">
      <c r="A377" s="2" t="s">
        <v>1870</v>
      </c>
      <c r="B377" s="2" t="s">
        <v>1871</v>
      </c>
      <c r="C377" s="2" t="s">
        <v>1872</v>
      </c>
      <c r="D377" s="2" t="s">
        <v>1873</v>
      </c>
      <c r="E377" s="2" t="s">
        <v>83</v>
      </c>
      <c r="F377" s="2" t="s">
        <v>26</v>
      </c>
      <c r="G377" s="2" t="s">
        <v>27</v>
      </c>
      <c r="H377" s="2" t="s">
        <v>506</v>
      </c>
      <c r="I377" s="2" t="s">
        <v>507</v>
      </c>
      <c r="J377" s="2" t="s">
        <v>45</v>
      </c>
      <c r="K377" s="2" t="s">
        <v>76</v>
      </c>
      <c r="L377" s="2" t="s">
        <v>1874</v>
      </c>
      <c r="M377" s="2" t="s">
        <v>48</v>
      </c>
      <c r="N377" s="2">
        <v>3</v>
      </c>
      <c r="O377" s="2">
        <v>1166.6099999999999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34</v>
      </c>
      <c r="U377" s="2" t="s">
        <v>35</v>
      </c>
      <c r="V377" s="2" t="str">
        <f t="shared" si="15"/>
        <v>ORD-2024-1037631-12-202404 Jan 2025CUST-2810Vikram IyerConsumerNorthDelhiNew DelhiFurnitureChairsPro Chairs 364Same Day31166.610.252624.872253.88370.99PaidCompleted</v>
      </c>
      <c r="W377" s="2">
        <f t="shared" si="16"/>
        <v>1</v>
      </c>
      <c r="X377">
        <f t="shared" si="17"/>
        <v>1</v>
      </c>
    </row>
    <row r="378" spans="1:25">
      <c r="A378" s="2" t="s">
        <v>1875</v>
      </c>
      <c r="B378" s="2" t="s">
        <v>1876</v>
      </c>
      <c r="C378" s="2" t="s">
        <v>1779</v>
      </c>
      <c r="D378" s="2" t="s">
        <v>1877</v>
      </c>
      <c r="E378" s="2" t="s">
        <v>53</v>
      </c>
      <c r="F378" s="2" t="s">
        <v>41</v>
      </c>
      <c r="G378" s="2" t="s">
        <v>42</v>
      </c>
      <c r="H378" s="2" t="s">
        <v>186</v>
      </c>
      <c r="I378" s="2" t="s">
        <v>187</v>
      </c>
      <c r="J378" s="2" t="s">
        <v>45</v>
      </c>
      <c r="K378" s="2" t="s">
        <v>76</v>
      </c>
      <c r="L378" s="2" t="s">
        <v>1878</v>
      </c>
      <c r="M378" s="2" t="s">
        <v>56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34</v>
      </c>
      <c r="U378" s="2" t="s">
        <v>35</v>
      </c>
      <c r="V378" s="2" t="str">
        <f t="shared" si="15"/>
        <v>ORD-2024-1037729-12-20242024-12-31CUST-5166Isha NairSmall BusinessEastBiharPatnaFurnitureChairsBasic Chairs 248First Class61844.780.28854.947433.951420.99PaidCompleted</v>
      </c>
      <c r="W378" s="2">
        <f t="shared" si="16"/>
        <v>1</v>
      </c>
      <c r="X378">
        <f t="shared" si="17"/>
        <v>1</v>
      </c>
    </row>
    <row r="379" spans="1:25">
      <c r="A379" s="2" t="s">
        <v>1879</v>
      </c>
      <c r="B379" s="2" t="s">
        <v>1521</v>
      </c>
      <c r="C379" s="2" t="s">
        <v>1880</v>
      </c>
      <c r="D379" s="2" t="s">
        <v>1881</v>
      </c>
      <c r="E379" s="2" t="s">
        <v>366</v>
      </c>
      <c r="F379" s="2" t="s">
        <v>41</v>
      </c>
      <c r="G379" s="2" t="s">
        <v>42</v>
      </c>
      <c r="H379" s="2" t="s">
        <v>43</v>
      </c>
      <c r="I379" s="2" t="s">
        <v>44</v>
      </c>
      <c r="J379" s="2" t="s">
        <v>30</v>
      </c>
      <c r="K379" s="2" t="s">
        <v>1882</v>
      </c>
      <c r="L379" s="2" t="s">
        <v>1883</v>
      </c>
      <c r="M379" s="2" t="s">
        <v>48</v>
      </c>
      <c r="N379" s="2">
        <v>1</v>
      </c>
      <c r="O379" s="2">
        <v>2564.7399999999998</v>
      </c>
      <c r="P379" s="2">
        <v>0</v>
      </c>
      <c r="Q379" s="2">
        <v>2564.7399999999998</v>
      </c>
      <c r="R379" s="2">
        <v>1754.58</v>
      </c>
      <c r="S379" s="2">
        <v>810.16</v>
      </c>
      <c r="T379" s="2" t="s">
        <v>34</v>
      </c>
      <c r="U379" s="2" t="s">
        <v>35</v>
      </c>
      <c r="V379" s="2" t="str">
        <f t="shared" si="15"/>
        <v>ORD-2025-1037824 May 202530-05-2025CUST-4875Kabir SinghSmall BusinessEastOdishaBhubaneswarOffice SuppliesstorageBasic Storage 360Same Day12564.7402564.741754.58810.16PaidCompleted</v>
      </c>
      <c r="W379" s="2">
        <f t="shared" si="16"/>
        <v>2</v>
      </c>
      <c r="X379">
        <f t="shared" si="17"/>
        <v>2</v>
      </c>
      <c r="Y379" s="2" t="s">
        <v>4096</v>
      </c>
    </row>
    <row r="380" spans="1:25">
      <c r="A380" s="2" t="s">
        <v>1884</v>
      </c>
      <c r="B380" s="2" t="s">
        <v>1885</v>
      </c>
      <c r="C380" s="2" t="s">
        <v>1885</v>
      </c>
      <c r="D380" s="2" t="s">
        <v>1886</v>
      </c>
      <c r="E380" s="2" t="s">
        <v>40</v>
      </c>
      <c r="F380" s="2" t="s">
        <v>26</v>
      </c>
      <c r="G380" s="2" t="s">
        <v>73</v>
      </c>
      <c r="H380" s="2" t="s">
        <v>249</v>
      </c>
      <c r="I380" s="2" t="s">
        <v>250</v>
      </c>
      <c r="J380" s="2" t="s">
        <v>86</v>
      </c>
      <c r="K380" s="2" t="s">
        <v>87</v>
      </c>
      <c r="L380" s="2" t="s">
        <v>1887</v>
      </c>
      <c r="M380" s="2" t="s">
        <v>67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34</v>
      </c>
      <c r="U380" s="2" t="s">
        <v>35</v>
      </c>
      <c r="V380" s="2" t="str">
        <f t="shared" si="15"/>
        <v>ORD-2025-1037922-05-202522-05-2025CUST-3154Mira DasConsumerWestGoaPanajiTechnologyAccessoriesBasic Accessories 988Standard Class23910.6107821.224994.462826.76PaidCompleted</v>
      </c>
      <c r="W380" s="2">
        <f t="shared" si="16"/>
        <v>1</v>
      </c>
      <c r="X380">
        <f t="shared" si="17"/>
        <v>1</v>
      </c>
    </row>
    <row r="381" spans="1:25">
      <c r="A381" s="2" t="s">
        <v>1888</v>
      </c>
      <c r="B381" s="2" t="s">
        <v>1889</v>
      </c>
      <c r="C381" s="2" t="s">
        <v>1890</v>
      </c>
      <c r="D381" s="2" t="s">
        <v>1891</v>
      </c>
      <c r="E381" s="2" t="s">
        <v>40</v>
      </c>
      <c r="F381" s="2" t="s">
        <v>41</v>
      </c>
      <c r="G381" s="2" t="s">
        <v>62</v>
      </c>
      <c r="H381" s="2" t="s">
        <v>242</v>
      </c>
      <c r="I381" s="2" t="s">
        <v>243</v>
      </c>
      <c r="J381" s="2" t="s">
        <v>30</v>
      </c>
      <c r="K381" s="2" t="s">
        <v>31</v>
      </c>
      <c r="L381" s="2" t="s">
        <v>1892</v>
      </c>
      <c r="M381" s="2" t="s">
        <v>67</v>
      </c>
      <c r="N381" s="2">
        <v>7</v>
      </c>
      <c r="O381" s="2">
        <v>1136.68</v>
      </c>
      <c r="Q381" s="2">
        <v>7956.76</v>
      </c>
      <c r="R381" s="2">
        <v>4799.54</v>
      </c>
      <c r="S381" s="2">
        <v>3157.22</v>
      </c>
      <c r="T381" s="2" t="s">
        <v>34</v>
      </c>
      <c r="U381" s="2" t="s">
        <v>35</v>
      </c>
      <c r="V381" s="2" t="str">
        <f t="shared" si="15"/>
        <v>ORD-2024-1038009/19/202423 Sep 2024CUST-6405Mira DasSmall BusinessSouthKeralaKochiOffice SuppliesPaperMax Paper 334Standard Class71136.687956.764799.543157.22PaidCompleted</v>
      </c>
      <c r="W381" s="2">
        <f t="shared" si="16"/>
        <v>1</v>
      </c>
      <c r="X381">
        <f t="shared" si="17"/>
        <v>1</v>
      </c>
    </row>
    <row r="382" spans="1:25">
      <c r="A382" s="2" t="s">
        <v>1893</v>
      </c>
      <c r="B382" s="2" t="s">
        <v>1894</v>
      </c>
      <c r="C382" s="2" t="s">
        <v>1420</v>
      </c>
      <c r="D382" s="2" t="s">
        <v>1895</v>
      </c>
      <c r="E382" s="2" t="s">
        <v>83</v>
      </c>
      <c r="F382" s="2" t="s">
        <v>26</v>
      </c>
      <c r="G382" s="2" t="s">
        <v>73</v>
      </c>
      <c r="H382" s="2" t="s">
        <v>74</v>
      </c>
      <c r="I382" s="2" t="s">
        <v>75</v>
      </c>
      <c r="J382" s="2" t="s">
        <v>45</v>
      </c>
      <c r="K382" s="2" t="s">
        <v>204</v>
      </c>
      <c r="L382" s="2" t="s">
        <v>1896</v>
      </c>
      <c r="M382" s="2" t="s">
        <v>48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34</v>
      </c>
      <c r="U382" s="2" t="s">
        <v>125</v>
      </c>
      <c r="V382" s="2" t="str">
        <f t="shared" si="15"/>
        <v>ORD-2024-1038107 Apr 202414-04-2024CUST-5779Vikram IyerConsumerWestMaharashtraMumbaiFurnitureBookcasesPrime Bookcases 952Same Day52235.850.258384.444765.963618.48PaidReturned</v>
      </c>
      <c r="W382" s="2">
        <f t="shared" si="16"/>
        <v>1</v>
      </c>
      <c r="X382">
        <f t="shared" si="17"/>
        <v>1</v>
      </c>
    </row>
    <row r="383" spans="1:25">
      <c r="A383" s="2" t="s">
        <v>1897</v>
      </c>
      <c r="B383" s="2" t="s">
        <v>1898</v>
      </c>
      <c r="C383" s="2" t="s">
        <v>1899</v>
      </c>
      <c r="D383" s="2" t="s">
        <v>1900</v>
      </c>
      <c r="E383" s="2" t="s">
        <v>61</v>
      </c>
      <c r="F383" s="2" t="s">
        <v>1901</v>
      </c>
      <c r="G383" s="2" t="s">
        <v>27</v>
      </c>
      <c r="H383" s="2" t="s">
        <v>506</v>
      </c>
      <c r="I383" s="2" t="s">
        <v>507</v>
      </c>
      <c r="J383" s="2" t="s">
        <v>30</v>
      </c>
      <c r="K383" s="2" t="s">
        <v>198</v>
      </c>
      <c r="L383" s="2" t="s">
        <v>1902</v>
      </c>
      <c r="M383" s="2" t="s">
        <v>67</v>
      </c>
      <c r="N383" s="2">
        <v>4</v>
      </c>
      <c r="O383" s="2">
        <v>4387.1499999999996</v>
      </c>
      <c r="P383" s="2">
        <v>0.05</v>
      </c>
      <c r="Q383" s="2">
        <v>16671.169999999998</v>
      </c>
      <c r="R383" s="2">
        <v>10833.19</v>
      </c>
      <c r="S383" s="2">
        <v>5837.98</v>
      </c>
      <c r="T383" s="2" t="s">
        <v>200</v>
      </c>
      <c r="U383" s="2" t="s">
        <v>78</v>
      </c>
      <c r="V383" s="2" t="str">
        <f t="shared" si="15"/>
        <v>ORD-2025-103822025-09-1923-09-2025CUST-9943Arjun BoseHOME OFFICENorthDelhiNew DelhiOffice SuppliesBindersPrime Binders 523Standard Class44387.150.0516671.1710833.195837.98FailedCancelled</v>
      </c>
      <c r="W383" s="2">
        <f t="shared" si="16"/>
        <v>1</v>
      </c>
      <c r="X383">
        <f t="shared" si="17"/>
        <v>1</v>
      </c>
    </row>
    <row r="384" spans="1:25">
      <c r="A384" s="2" t="s">
        <v>1903</v>
      </c>
      <c r="B384" s="2" t="s">
        <v>1904</v>
      </c>
      <c r="C384" s="2" t="s">
        <v>555</v>
      </c>
      <c r="D384" s="2" t="s">
        <v>203</v>
      </c>
      <c r="E384" s="2" t="s">
        <v>61</v>
      </c>
      <c r="F384" s="2" t="s">
        <v>41</v>
      </c>
      <c r="G384" s="2" t="s">
        <v>42</v>
      </c>
      <c r="H384" s="2" t="s">
        <v>186</v>
      </c>
      <c r="I384" s="2" t="s">
        <v>187</v>
      </c>
      <c r="J384" s="2" t="s">
        <v>1905</v>
      </c>
      <c r="K384" s="2" t="s">
        <v>223</v>
      </c>
      <c r="L384" s="2" t="s">
        <v>1906</v>
      </c>
      <c r="M384" s="2" t="s">
        <v>56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34</v>
      </c>
      <c r="U384" s="2" t="s">
        <v>35</v>
      </c>
      <c r="V384" s="2" t="str">
        <f t="shared" si="15"/>
        <v>ORD-2025-1038304 Mar 202503/08/2025CUST-7098Arjun BoseSmall BusinessEastBiharPatnaTECHNOLOGYPhonesPro Phones 538First Class34361.850.210468.448399.872068.57PaidCompleted</v>
      </c>
      <c r="W384" s="2">
        <f t="shared" si="16"/>
        <v>1</v>
      </c>
      <c r="X384">
        <f t="shared" si="17"/>
        <v>1</v>
      </c>
    </row>
    <row r="385" spans="1:24">
      <c r="A385" s="2" t="s">
        <v>1907</v>
      </c>
      <c r="B385" s="2" t="s">
        <v>1517</v>
      </c>
      <c r="C385" s="2" t="s">
        <v>1075</v>
      </c>
      <c r="D385" s="2" t="s">
        <v>1908</v>
      </c>
      <c r="E385" s="2" t="s">
        <v>83</v>
      </c>
      <c r="F385" s="2" t="s">
        <v>108</v>
      </c>
      <c r="G385" s="2" t="s">
        <v>42</v>
      </c>
      <c r="H385" s="2" t="s">
        <v>121</v>
      </c>
      <c r="I385" s="2" t="s">
        <v>122</v>
      </c>
      <c r="J385" s="2" t="s">
        <v>30</v>
      </c>
      <c r="K385" s="2" t="s">
        <v>54</v>
      </c>
      <c r="L385" s="2" t="s">
        <v>1909</v>
      </c>
      <c r="M385" s="2" t="s">
        <v>56</v>
      </c>
      <c r="N385" s="2">
        <v>2</v>
      </c>
      <c r="O385" s="2">
        <v>2242.75</v>
      </c>
      <c r="P385" s="2">
        <v>0</v>
      </c>
      <c r="Q385" s="2">
        <v>4485.5</v>
      </c>
      <c r="R385" s="2">
        <v>3131.86</v>
      </c>
      <c r="S385" s="2">
        <v>1353.64</v>
      </c>
      <c r="T385" s="2" t="s">
        <v>34</v>
      </c>
      <c r="U385" s="2" t="s">
        <v>78</v>
      </c>
      <c r="V385" s="2" t="str">
        <f t="shared" si="15"/>
        <v>ORD-2025-1038428 Jun 202505 Jul 2025CUST-7438Vikram IyerCorporateEastWest BengalKolkataOffice SuppliesArtBasic Art 608First Class22242.7504485.53131.861353.64PaidCancelled</v>
      </c>
      <c r="W385" s="2">
        <f t="shared" si="16"/>
        <v>1</v>
      </c>
      <c r="X385">
        <f t="shared" si="17"/>
        <v>1</v>
      </c>
    </row>
    <row r="386" spans="1:24">
      <c r="A386" s="2" t="s">
        <v>1910</v>
      </c>
      <c r="B386" s="2" t="s">
        <v>1911</v>
      </c>
      <c r="C386" s="2" t="s">
        <v>1912</v>
      </c>
      <c r="D386" s="2" t="s">
        <v>1913</v>
      </c>
      <c r="E386" s="2" t="s">
        <v>180</v>
      </c>
      <c r="F386" s="2" t="s">
        <v>26</v>
      </c>
      <c r="G386" s="2" t="s">
        <v>42</v>
      </c>
      <c r="H386" s="2" t="s">
        <v>311</v>
      </c>
      <c r="I386" s="2" t="s">
        <v>312</v>
      </c>
      <c r="J386" s="2" t="s">
        <v>86</v>
      </c>
      <c r="K386" s="2" t="s">
        <v>94</v>
      </c>
      <c r="L386" s="2" t="s">
        <v>1914</v>
      </c>
      <c r="M386" s="2" t="s">
        <v>67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34</v>
      </c>
      <c r="U386" s="2" t="s">
        <v>125</v>
      </c>
      <c r="V386" s="2" t="str">
        <f t="shared" si="15"/>
        <v>ORD-2024-1038515-03-20242024-03-20CUST-8432Rohan MehtaConsumerEastJharkhandRanchiTechnologyCopiersPrime Copiers 820Standard Class21881.40.252822.11624.571197.53PaidReturned</v>
      </c>
      <c r="W386" s="2">
        <f t="shared" si="16"/>
        <v>1</v>
      </c>
      <c r="X386">
        <f t="shared" si="17"/>
        <v>1</v>
      </c>
    </row>
    <row r="387" spans="1:24">
      <c r="A387" s="2" t="s">
        <v>1915</v>
      </c>
      <c r="B387" s="2" t="s">
        <v>996</v>
      </c>
      <c r="C387" s="2" t="s">
        <v>1916</v>
      </c>
      <c r="D387" s="2" t="s">
        <v>1917</v>
      </c>
      <c r="E387" s="2" t="s">
        <v>61</v>
      </c>
      <c r="F387" s="2" t="s">
        <v>26</v>
      </c>
      <c r="G387" s="2" t="s">
        <v>27</v>
      </c>
      <c r="H387" s="2" t="s">
        <v>323</v>
      </c>
      <c r="I387" s="2" t="s">
        <v>324</v>
      </c>
      <c r="J387" s="2" t="s">
        <v>30</v>
      </c>
      <c r="K387" s="2" t="s">
        <v>109</v>
      </c>
      <c r="L387" s="2" t="s">
        <v>1918</v>
      </c>
      <c r="M387" s="2" t="s">
        <v>67</v>
      </c>
      <c r="N387" s="2">
        <v>6</v>
      </c>
      <c r="O387" s="2">
        <v>365.76</v>
      </c>
      <c r="P387" s="2">
        <v>0.1</v>
      </c>
      <c r="Q387" s="2">
        <v>1975.1</v>
      </c>
      <c r="R387" s="2">
        <v>1115.3499999999999</v>
      </c>
      <c r="S387" s="2">
        <v>859.75</v>
      </c>
      <c r="T387" s="2" t="s">
        <v>34</v>
      </c>
      <c r="U387" s="2" t="s">
        <v>35</v>
      </c>
      <c r="V387" s="2" t="str">
        <f t="shared" ref="V387:V450" si="18">_xlfn.CONCAT(A387:U387)</f>
        <v>ORD-2025-103862025-06-2430 Jun 2025CUST-2834Arjun BoseConsumerNorthHaryanaGurugramOffice SuppliesLabelsClassic Labels 670Standard Class6365.760.11975.11115.35859.75PaidCompleted</v>
      </c>
      <c r="W387" s="2">
        <f t="shared" ref="W387:W450" si="19">COUNTIF($V$2:$V$933,V387)</f>
        <v>1</v>
      </c>
      <c r="X387">
        <f t="shared" ref="X387:X450" si="20">COUNTIF($A$2:$A$933,A387)</f>
        <v>1</v>
      </c>
    </row>
    <row r="388" spans="1:24">
      <c r="A388" s="2" t="s">
        <v>1919</v>
      </c>
      <c r="B388" s="2" t="s">
        <v>1397</v>
      </c>
      <c r="C388" s="2" t="s">
        <v>1920</v>
      </c>
      <c r="D388" s="2" t="s">
        <v>1921</v>
      </c>
      <c r="E388" s="2" t="s">
        <v>168</v>
      </c>
      <c r="F388" s="2" t="s">
        <v>26</v>
      </c>
      <c r="G388" s="2" t="s">
        <v>73</v>
      </c>
      <c r="H388" s="2" t="s">
        <v>74</v>
      </c>
      <c r="I388" s="2" t="s">
        <v>75</v>
      </c>
      <c r="J388" s="2" t="s">
        <v>45</v>
      </c>
      <c r="K388" s="2" t="s">
        <v>65</v>
      </c>
      <c r="L388" s="2" t="s">
        <v>1922</v>
      </c>
      <c r="M388" s="2" t="s">
        <v>33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34</v>
      </c>
      <c r="U388" s="2" t="s">
        <v>35</v>
      </c>
      <c r="V388" s="2" t="str">
        <f t="shared" si="18"/>
        <v>ORD-2025-1038702/12/202514-02-2025CUST-4222Sneha KapoorConsumerWestMaharashtraMumbaiFurnitureFurnishingsPrime Furnishings 597Second Class82786.660.120063.9514363.385700.57PaidCompleted</v>
      </c>
      <c r="W388" s="2">
        <f t="shared" si="19"/>
        <v>1</v>
      </c>
      <c r="X388">
        <f t="shared" si="20"/>
        <v>1</v>
      </c>
    </row>
    <row r="389" spans="1:24">
      <c r="A389" s="2" t="s">
        <v>1923</v>
      </c>
      <c r="B389" s="2" t="s">
        <v>944</v>
      </c>
      <c r="C389" s="2" t="s">
        <v>1118</v>
      </c>
      <c r="D389" s="2" t="s">
        <v>1924</v>
      </c>
      <c r="E389" s="2" t="s">
        <v>142</v>
      </c>
      <c r="F389" s="2" t="s">
        <v>41</v>
      </c>
      <c r="G389" s="2" t="s">
        <v>73</v>
      </c>
      <c r="H389" s="2" t="s">
        <v>84</v>
      </c>
      <c r="I389" s="2" t="s">
        <v>85</v>
      </c>
      <c r="J389" s="2" t="s">
        <v>45</v>
      </c>
      <c r="K389" s="2" t="s">
        <v>76</v>
      </c>
      <c r="L389" s="2" t="s">
        <v>1925</v>
      </c>
      <c r="M389" s="2" t="s">
        <v>67</v>
      </c>
      <c r="N389" s="2">
        <v>5</v>
      </c>
      <c r="O389" s="2">
        <v>352.86</v>
      </c>
      <c r="P389" s="2">
        <v>0</v>
      </c>
      <c r="Q389" s="2">
        <v>1764.3</v>
      </c>
      <c r="R389" s="2">
        <v>1332.49</v>
      </c>
      <c r="S389" s="2">
        <v>431.81</v>
      </c>
      <c r="T389" s="2" t="s">
        <v>137</v>
      </c>
      <c r="U389" s="2" t="s">
        <v>78</v>
      </c>
      <c r="V389" s="2" t="str">
        <f t="shared" si="18"/>
        <v>ORD-2025-1038810-08-202508/13/2025CUST-1053Priya MenonSmall BusinessWestMadhya PradeshIndoreFurnitureChairsPrime Chairs 196Standard Class5352.8601764.31332.49431.81PendingCancelled</v>
      </c>
      <c r="W389" s="2">
        <f t="shared" si="19"/>
        <v>1</v>
      </c>
      <c r="X389">
        <f t="shared" si="20"/>
        <v>1</v>
      </c>
    </row>
    <row r="390" spans="1:24">
      <c r="A390" s="2" t="s">
        <v>1926</v>
      </c>
      <c r="B390" s="2" t="s">
        <v>1927</v>
      </c>
      <c r="C390" s="2" t="s">
        <v>1928</v>
      </c>
      <c r="D390" s="2" t="s">
        <v>1929</v>
      </c>
      <c r="E390" s="2" t="s">
        <v>53</v>
      </c>
      <c r="F390" s="2" t="s">
        <v>41</v>
      </c>
      <c r="G390" s="2" t="s">
        <v>73</v>
      </c>
      <c r="H390" s="2" t="s">
        <v>235</v>
      </c>
      <c r="I390" s="2" t="s">
        <v>236</v>
      </c>
      <c r="J390" s="2" t="s">
        <v>45</v>
      </c>
      <c r="K390" s="2" t="s">
        <v>76</v>
      </c>
      <c r="L390" s="2" t="s">
        <v>1930</v>
      </c>
      <c r="M390" s="2" t="s">
        <v>67</v>
      </c>
      <c r="N390" s="2">
        <v>3</v>
      </c>
      <c r="O390" s="2">
        <v>3128.59</v>
      </c>
      <c r="P390" s="2">
        <v>0</v>
      </c>
      <c r="Q390" s="2">
        <v>9385.77</v>
      </c>
      <c r="R390" s="2">
        <v>6872.44</v>
      </c>
      <c r="S390" s="2">
        <v>2783.66</v>
      </c>
      <c r="T390" s="2" t="s">
        <v>34</v>
      </c>
      <c r="U390" s="2" t="s">
        <v>35</v>
      </c>
      <c r="V390" s="2" t="str">
        <f t="shared" si="18"/>
        <v>ORD-2024-103892024-05-1318 May 2024CUST-1457Isha NairSmall BusinessWestGujaratAhmedabadFurnitureChairsElite Chairs 639Standard Class33128.5909385.776872.442783.66PaidCompleted</v>
      </c>
      <c r="W390" s="2">
        <f t="shared" si="19"/>
        <v>1</v>
      </c>
      <c r="X390">
        <f t="shared" si="20"/>
        <v>1</v>
      </c>
    </row>
    <row r="391" spans="1:24">
      <c r="A391" s="2" t="s">
        <v>1931</v>
      </c>
      <c r="B391" s="2" t="s">
        <v>1932</v>
      </c>
      <c r="C391" s="2" t="s">
        <v>349</v>
      </c>
      <c r="D391" s="2" t="s">
        <v>1933</v>
      </c>
      <c r="E391" s="2" t="s">
        <v>210</v>
      </c>
      <c r="F391" s="2" t="s">
        <v>108</v>
      </c>
      <c r="G391" s="2" t="s">
        <v>73</v>
      </c>
      <c r="H391" s="2" t="s">
        <v>235</v>
      </c>
      <c r="I391" s="2" t="s">
        <v>236</v>
      </c>
      <c r="J391" s="2" t="s">
        <v>86</v>
      </c>
      <c r="K391" s="2" t="s">
        <v>382</v>
      </c>
      <c r="L391" s="2" t="s">
        <v>1934</v>
      </c>
      <c r="M391" s="2" t="s">
        <v>33</v>
      </c>
      <c r="N391" s="2">
        <v>5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137</v>
      </c>
      <c r="U391" s="2" t="s">
        <v>78</v>
      </c>
      <c r="V391" s="2" t="str">
        <f t="shared" si="18"/>
        <v>ORD-2024-1039005 Apr 202413 Apr 2024CUST-3930Diya PatelCorporateWestGujaratAhmedabadTechnologyMachinesElite Machines 563Second Class51937.540.27750.165434.32315.86PendingCancelled</v>
      </c>
      <c r="W391" s="2">
        <f t="shared" si="19"/>
        <v>1</v>
      </c>
      <c r="X391">
        <f t="shared" si="20"/>
        <v>1</v>
      </c>
    </row>
    <row r="392" spans="1:24">
      <c r="A392" s="2" t="s">
        <v>1935</v>
      </c>
      <c r="B392" s="2" t="s">
        <v>1936</v>
      </c>
      <c r="C392" s="2" t="s">
        <v>484</v>
      </c>
      <c r="D392" s="2" t="s">
        <v>1937</v>
      </c>
      <c r="E392" s="2" t="s">
        <v>53</v>
      </c>
      <c r="F392" s="2" t="s">
        <v>26</v>
      </c>
      <c r="G392" s="2" t="s">
        <v>73</v>
      </c>
      <c r="H392" s="2" t="s">
        <v>235</v>
      </c>
      <c r="I392" s="2" t="s">
        <v>236</v>
      </c>
      <c r="J392" s="2" t="s">
        <v>45</v>
      </c>
      <c r="K392" s="2" t="s">
        <v>65</v>
      </c>
      <c r="L392" s="2" t="s">
        <v>1938</v>
      </c>
      <c r="M392" s="2" t="s">
        <v>67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34</v>
      </c>
      <c r="U392" s="2" t="s">
        <v>35</v>
      </c>
      <c r="V392" s="2" t="str">
        <f t="shared" si="18"/>
        <v>ORD-2024-1039106 Nov 202411-11-2024CUST-7853Isha NairConsumerWestGujaratAhmedabadFurnitureFurnishingsPro Furnishings 281Standard Class41917.260.26135.233439.792695.44PaidCompleted</v>
      </c>
      <c r="W392" s="2">
        <f t="shared" si="19"/>
        <v>1</v>
      </c>
      <c r="X392">
        <f t="shared" si="20"/>
        <v>1</v>
      </c>
    </row>
    <row r="393" spans="1:24">
      <c r="A393" s="2" t="s">
        <v>1939</v>
      </c>
      <c r="B393" s="2" t="s">
        <v>1920</v>
      </c>
      <c r="C393" s="2" t="s">
        <v>1940</v>
      </c>
      <c r="D393" s="2" t="s">
        <v>1941</v>
      </c>
      <c r="E393" s="2" t="s">
        <v>210</v>
      </c>
      <c r="F393" s="2" t="s">
        <v>26</v>
      </c>
      <c r="G393" s="2" t="s">
        <v>62</v>
      </c>
      <c r="H393" s="2" t="s">
        <v>229</v>
      </c>
      <c r="I393" s="2" t="s">
        <v>230</v>
      </c>
      <c r="J393" s="2" t="s">
        <v>30</v>
      </c>
      <c r="K393" s="2" t="s">
        <v>156</v>
      </c>
      <c r="L393" s="2" t="s">
        <v>1942</v>
      </c>
      <c r="M393" s="2" t="s">
        <v>56</v>
      </c>
      <c r="N393" s="2">
        <v>1</v>
      </c>
      <c r="O393" s="2">
        <v>714.43</v>
      </c>
      <c r="P393" s="2">
        <v>0</v>
      </c>
      <c r="Q393" s="2">
        <v>714.43</v>
      </c>
      <c r="R393" s="2">
        <v>565.44000000000005</v>
      </c>
      <c r="S393" s="2">
        <v>148.99</v>
      </c>
      <c r="T393" s="2" t="s">
        <v>34</v>
      </c>
      <c r="U393" s="2" t="s">
        <v>35</v>
      </c>
      <c r="V393" s="2" t="str">
        <f t="shared" si="18"/>
        <v>ORD-2025-1039214-02-202514 Feb 2025CUST-2267Diya PatelConsumerSouthKarnatakaBengaluruOffice SuppliesStorageEco Storage 285First Class1714.430714.43565.44148.99PaidCompleted</v>
      </c>
      <c r="W393" s="2">
        <f t="shared" si="19"/>
        <v>1</v>
      </c>
      <c r="X393">
        <f t="shared" si="20"/>
        <v>1</v>
      </c>
    </row>
    <row r="394" spans="1:24">
      <c r="A394" s="2" t="s">
        <v>1943</v>
      </c>
      <c r="B394" s="2" t="s">
        <v>1944</v>
      </c>
      <c r="C394" s="2" t="s">
        <v>1945</v>
      </c>
      <c r="D394" s="2" t="s">
        <v>1946</v>
      </c>
      <c r="E394" s="2" t="s">
        <v>107</v>
      </c>
      <c r="F394" s="2" t="s">
        <v>41</v>
      </c>
      <c r="G394" s="2" t="s">
        <v>62</v>
      </c>
      <c r="H394" s="2" t="s">
        <v>242</v>
      </c>
      <c r="I394" s="2" t="s">
        <v>243</v>
      </c>
      <c r="J394" s="2" t="s">
        <v>45</v>
      </c>
      <c r="K394" s="2" t="s">
        <v>65</v>
      </c>
      <c r="L394" s="2" t="s">
        <v>1947</v>
      </c>
      <c r="M394" s="2" t="s">
        <v>48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34</v>
      </c>
      <c r="U394" s="2" t="s">
        <v>35</v>
      </c>
      <c r="V394" s="2" t="str">
        <f t="shared" si="18"/>
        <v>ORD-2024-1039302/19/202422 Feb 2024CUST-6866Aditi SenSmall BusinessSouthKeralaKochiFurnitureFurnishingsClassic Furnishings 746Same Day94053.01036477.0924525.4811951.61PaidCompleted</v>
      </c>
      <c r="W394" s="2">
        <f t="shared" si="19"/>
        <v>1</v>
      </c>
      <c r="X394">
        <f t="shared" si="20"/>
        <v>1</v>
      </c>
    </row>
    <row r="395" spans="1:24">
      <c r="A395" s="2" t="s">
        <v>1948</v>
      </c>
      <c r="B395" s="2" t="s">
        <v>1949</v>
      </c>
      <c r="C395" s="2" t="s">
        <v>1950</v>
      </c>
      <c r="D395" s="2" t="s">
        <v>1951</v>
      </c>
      <c r="E395" s="2" t="s">
        <v>40</v>
      </c>
      <c r="F395" s="2" t="s">
        <v>108</v>
      </c>
      <c r="G395" s="2" t="s">
        <v>27</v>
      </c>
      <c r="H395" s="2" t="s">
        <v>174</v>
      </c>
      <c r="I395" s="2" t="s">
        <v>175</v>
      </c>
      <c r="J395" s="2" t="s">
        <v>30</v>
      </c>
      <c r="K395" s="2" t="s">
        <v>109</v>
      </c>
      <c r="L395" s="2" t="s">
        <v>1952</v>
      </c>
      <c r="M395" s="2" t="s">
        <v>48</v>
      </c>
      <c r="N395" s="2">
        <v>2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34</v>
      </c>
      <c r="U395" s="2" t="s">
        <v>35</v>
      </c>
      <c r="V395" s="2" t="str">
        <f t="shared" si="18"/>
        <v>ORD-2024-103942024-08-2308/29/2024CUST-3160Mira DasCorporateNorthUttar PradeshNoidaOffice SuppliesLabelsEco Labels 815Same Day21936.910.053680.132967.46712.67PaidCompleted</v>
      </c>
      <c r="W395" s="2">
        <f t="shared" si="19"/>
        <v>1</v>
      </c>
      <c r="X395">
        <f t="shared" si="20"/>
        <v>1</v>
      </c>
    </row>
    <row r="396" spans="1:24">
      <c r="A396" s="2" t="s">
        <v>1953</v>
      </c>
      <c r="B396" s="2" t="s">
        <v>1954</v>
      </c>
      <c r="C396" s="2" t="s">
        <v>1955</v>
      </c>
      <c r="D396" s="2" t="s">
        <v>1956</v>
      </c>
      <c r="E396" s="2" t="s">
        <v>366</v>
      </c>
      <c r="F396" s="2" t="s">
        <v>26</v>
      </c>
      <c r="G396" s="2" t="s">
        <v>73</v>
      </c>
      <c r="H396" s="2" t="s">
        <v>74</v>
      </c>
      <c r="I396" s="2" t="s">
        <v>75</v>
      </c>
      <c r="J396" s="2" t="s">
        <v>45</v>
      </c>
      <c r="K396" s="2" t="s">
        <v>65</v>
      </c>
      <c r="L396" s="2" t="s">
        <v>1957</v>
      </c>
      <c r="M396" s="2" t="s">
        <v>56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34</v>
      </c>
      <c r="U396" s="2" t="s">
        <v>35</v>
      </c>
      <c r="V396" s="2" t="str">
        <f t="shared" si="18"/>
        <v>ORD-2024-1039503-04-202404 Apr 2024CUST-8444Kabir SinghConsumerWestMaharashtraMumbaiFurnitureFurnishingsPrime Furnishings 879First Class73945.21027616.4721225.266391.21PaidCompleted</v>
      </c>
      <c r="W396" s="2">
        <f t="shared" si="19"/>
        <v>1</v>
      </c>
      <c r="X396">
        <f t="shared" si="20"/>
        <v>1</v>
      </c>
    </row>
    <row r="397" spans="1:24">
      <c r="A397" s="2" t="s">
        <v>1958</v>
      </c>
      <c r="B397" s="2" t="s">
        <v>1067</v>
      </c>
      <c r="C397" s="2" t="s">
        <v>1754</v>
      </c>
      <c r="D397" s="2" t="s">
        <v>1959</v>
      </c>
      <c r="E397" s="2" t="s">
        <v>148</v>
      </c>
      <c r="F397" s="2" t="s">
        <v>115</v>
      </c>
      <c r="G397" s="2" t="s">
        <v>62</v>
      </c>
      <c r="H397" s="2" t="s">
        <v>339</v>
      </c>
      <c r="I397" s="2" t="s">
        <v>340</v>
      </c>
      <c r="J397" s="2" t="s">
        <v>45</v>
      </c>
      <c r="K397" s="2" t="s">
        <v>46</v>
      </c>
      <c r="L397" s="2" t="s">
        <v>1960</v>
      </c>
      <c r="M397" s="2" t="s">
        <v>48</v>
      </c>
      <c r="N397" s="2">
        <v>7</v>
      </c>
      <c r="O397" s="2">
        <v>861.91</v>
      </c>
      <c r="P397" s="2">
        <v>0.05</v>
      </c>
      <c r="Q397" s="2">
        <v>5731.7</v>
      </c>
      <c r="R397" s="2">
        <v>4115.5600000000004</v>
      </c>
      <c r="S397" s="2">
        <v>1616.14</v>
      </c>
      <c r="T397" s="2" t="s">
        <v>34</v>
      </c>
      <c r="U397" s="2" t="s">
        <v>35</v>
      </c>
      <c r="V397" s="2" t="str">
        <f t="shared" si="18"/>
        <v>ORD-2024-1039606/06/202406/07/2024CUST-4765Rahul VermaHome OfficeSouthTamil NaduChennaiFurnitureTablesPro Tables 142Same Day7861.910.055731.74115.561616.14PaidCompleted</v>
      </c>
      <c r="W397" s="2">
        <f t="shared" si="19"/>
        <v>1</v>
      </c>
      <c r="X397">
        <f t="shared" si="20"/>
        <v>1</v>
      </c>
    </row>
    <row r="398" spans="1:24">
      <c r="A398" s="2" t="s">
        <v>1961</v>
      </c>
      <c r="B398" s="2" t="s">
        <v>1962</v>
      </c>
      <c r="C398" s="2" t="s">
        <v>1963</v>
      </c>
      <c r="D398" s="2" t="s">
        <v>1964</v>
      </c>
      <c r="E398" s="2" t="s">
        <v>107</v>
      </c>
      <c r="F398" s="2" t="s">
        <v>41</v>
      </c>
      <c r="G398" s="2" t="s">
        <v>62</v>
      </c>
      <c r="H398" s="2" t="s">
        <v>229</v>
      </c>
      <c r="I398" s="2" t="s">
        <v>230</v>
      </c>
      <c r="J398" s="2" t="s">
        <v>86</v>
      </c>
      <c r="K398" s="2" t="s">
        <v>382</v>
      </c>
      <c r="L398" s="2" t="s">
        <v>1965</v>
      </c>
      <c r="M398" s="2" t="s">
        <v>67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34</v>
      </c>
      <c r="U398" s="2" t="s">
        <v>35</v>
      </c>
      <c r="V398" s="2" t="str">
        <f t="shared" si="18"/>
        <v>ORD-2025-103972025-04-1422 Apr 2025CUST-2280Aditi SenSmall BusinessSouthKarnatakaBengaluruTechnologyMachinesPrime Machines 267Standard Class2638.730.051213.59956.22257.37PaidCompleted</v>
      </c>
      <c r="W398" s="2">
        <f t="shared" si="19"/>
        <v>1</v>
      </c>
      <c r="X398">
        <f t="shared" si="20"/>
        <v>1</v>
      </c>
    </row>
    <row r="399" spans="1:24">
      <c r="A399" s="2" t="s">
        <v>1966</v>
      </c>
      <c r="B399" s="2" t="s">
        <v>1967</v>
      </c>
      <c r="C399" s="2" t="s">
        <v>1968</v>
      </c>
      <c r="D399" s="2" t="s">
        <v>1969</v>
      </c>
      <c r="E399" s="2" t="s">
        <v>168</v>
      </c>
      <c r="F399" s="2" t="s">
        <v>41</v>
      </c>
      <c r="G399" s="2" t="s">
        <v>27</v>
      </c>
      <c r="H399" s="2" t="s">
        <v>174</v>
      </c>
      <c r="I399" s="2" t="s">
        <v>175</v>
      </c>
      <c r="J399" s="2" t="s">
        <v>45</v>
      </c>
      <c r="K399" s="2" t="s">
        <v>46</v>
      </c>
      <c r="L399" s="2" t="s">
        <v>1970</v>
      </c>
      <c r="M399" s="2" t="s">
        <v>33</v>
      </c>
      <c r="N399" s="2">
        <v>2</v>
      </c>
      <c r="O399" s="2">
        <v>1731.88</v>
      </c>
      <c r="P399" s="2">
        <v>0</v>
      </c>
      <c r="Q399" s="2">
        <v>3463.76</v>
      </c>
      <c r="R399" s="2">
        <v>2143.7399999999998</v>
      </c>
      <c r="S399" s="2">
        <v>1320.02</v>
      </c>
      <c r="T399" s="2" t="s">
        <v>34</v>
      </c>
      <c r="U399" s="2" t="s">
        <v>35</v>
      </c>
      <c r="V399" s="2" t="str">
        <f t="shared" si="18"/>
        <v>ORD-2025-1039809 Jun 202510 Jun 2025CUST-3177Sneha KapoorSmall BusinessNorthUttar PradeshNoidaFurnitureTablesEco Tables 378Second Class21731.8803463.762143.741320.02PaidCompleted</v>
      </c>
      <c r="W399" s="2">
        <f t="shared" si="19"/>
        <v>1</v>
      </c>
      <c r="X399">
        <f t="shared" si="20"/>
        <v>1</v>
      </c>
    </row>
    <row r="400" spans="1:24">
      <c r="A400" s="2" t="s">
        <v>1971</v>
      </c>
      <c r="B400" s="2" t="s">
        <v>1972</v>
      </c>
      <c r="C400" s="2" t="s">
        <v>1973</v>
      </c>
      <c r="D400" s="2" t="s">
        <v>1974</v>
      </c>
      <c r="E400" s="2" t="s">
        <v>83</v>
      </c>
      <c r="F400" s="2" t="s">
        <v>108</v>
      </c>
      <c r="G400" s="2" t="s">
        <v>27</v>
      </c>
      <c r="H400" s="2" t="s">
        <v>154</v>
      </c>
      <c r="I400" s="2" t="s">
        <v>155</v>
      </c>
      <c r="J400" s="2" t="s">
        <v>86</v>
      </c>
      <c r="K400" s="2" t="s">
        <v>382</v>
      </c>
      <c r="L400" s="2" t="s">
        <v>1975</v>
      </c>
      <c r="M400" s="2" t="s">
        <v>48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34</v>
      </c>
      <c r="U400" s="2" t="s">
        <v>35</v>
      </c>
      <c r="V400" s="2" t="str">
        <f t="shared" si="18"/>
        <v>ORD-2024-1039919 Jul 20242024-07-26CUST-4718Vikram IyerCorporateNorthPunjabLudhianaTechnologyMachinesElite Machines 523Same Day21263.650.22021.841355.22666.62PaidCompleted</v>
      </c>
      <c r="W400" s="2">
        <f t="shared" si="19"/>
        <v>1</v>
      </c>
      <c r="X400">
        <f t="shared" si="20"/>
        <v>1</v>
      </c>
    </row>
    <row r="401" spans="1:25">
      <c r="A401" s="2" t="s">
        <v>1976</v>
      </c>
      <c r="B401" s="2" t="s">
        <v>1977</v>
      </c>
      <c r="C401" s="2" t="s">
        <v>1978</v>
      </c>
      <c r="D401" s="2" t="s">
        <v>1979</v>
      </c>
      <c r="E401" s="2" t="s">
        <v>210</v>
      </c>
      <c r="F401" s="2" t="s">
        <v>41</v>
      </c>
      <c r="G401" s="2" t="s">
        <v>62</v>
      </c>
      <c r="H401" s="2" t="s">
        <v>100</v>
      </c>
      <c r="I401" s="2" t="s">
        <v>101</v>
      </c>
      <c r="J401" s="2" t="s">
        <v>30</v>
      </c>
      <c r="K401" s="2" t="s">
        <v>31</v>
      </c>
      <c r="L401" s="2" t="s">
        <v>1980</v>
      </c>
      <c r="M401" s="2" t="s">
        <v>48</v>
      </c>
      <c r="N401" s="2">
        <v>1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1275.1400000000001</v>
      </c>
      <c r="T401" s="2" t="s">
        <v>34</v>
      </c>
      <c r="U401" s="2" t="s">
        <v>35</v>
      </c>
      <c r="V401" s="2" t="str">
        <f t="shared" si="18"/>
        <v>ORD-2025-1040004/24/20252025-04-29CUST-5647Diya PatelSmall BusinessSouthAndhra PradeshVijayawadaOffice SuppliesPaperElite Paper 308Same Day14358.50.253268.881993.741275.14PaidCompleted</v>
      </c>
      <c r="W401" s="2">
        <f t="shared" si="19"/>
        <v>2</v>
      </c>
      <c r="X401">
        <f t="shared" si="20"/>
        <v>2</v>
      </c>
      <c r="Y401" s="2" t="s">
        <v>4096</v>
      </c>
    </row>
    <row r="402" spans="1:25">
      <c r="A402" s="2" t="s">
        <v>1981</v>
      </c>
      <c r="B402" s="2" t="s">
        <v>1982</v>
      </c>
      <c r="C402" s="2" t="s">
        <v>1983</v>
      </c>
      <c r="D402" s="2" t="s">
        <v>1984</v>
      </c>
      <c r="E402" s="2" t="s">
        <v>168</v>
      </c>
      <c r="F402" s="2" t="s">
        <v>41</v>
      </c>
      <c r="G402" s="2" t="s">
        <v>27</v>
      </c>
      <c r="H402" s="2" t="s">
        <v>174</v>
      </c>
      <c r="I402" s="2" t="s">
        <v>175</v>
      </c>
      <c r="J402" s="2" t="s">
        <v>30</v>
      </c>
      <c r="K402" s="2" t="s">
        <v>31</v>
      </c>
      <c r="L402" s="2" t="s">
        <v>1985</v>
      </c>
      <c r="M402" s="2" t="s">
        <v>48</v>
      </c>
      <c r="N402" s="2">
        <v>7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34</v>
      </c>
      <c r="U402" s="2" t="s">
        <v>35</v>
      </c>
      <c r="V402" s="2" t="str">
        <f t="shared" si="18"/>
        <v>ORD-2025-1040106-06-20252025-06-11CUST-7150Sneha KapoorSmall BusinessNorthUttar PradeshNoidaOffice SuppliesPaperPrime Paper 851Same Day7878.09-0.15839.34877.38961.92PaidCompleted</v>
      </c>
      <c r="W402" s="2">
        <f t="shared" si="19"/>
        <v>1</v>
      </c>
      <c r="X402">
        <f t="shared" si="20"/>
        <v>1</v>
      </c>
    </row>
    <row r="403" spans="1:25">
      <c r="A403" s="2" t="s">
        <v>1986</v>
      </c>
      <c r="B403" s="2" t="s">
        <v>1987</v>
      </c>
      <c r="C403" s="2" t="s">
        <v>1988</v>
      </c>
      <c r="D403" s="2" t="s">
        <v>1989</v>
      </c>
      <c r="E403" s="2" t="s">
        <v>61</v>
      </c>
      <c r="F403" s="2" t="s">
        <v>41</v>
      </c>
      <c r="G403" s="2" t="s">
        <v>42</v>
      </c>
      <c r="H403" s="2" t="s">
        <v>311</v>
      </c>
      <c r="I403" s="2" t="s">
        <v>312</v>
      </c>
      <c r="J403" s="2" t="s">
        <v>45</v>
      </c>
      <c r="K403" s="2" t="s">
        <v>46</v>
      </c>
      <c r="L403" s="2" t="s">
        <v>1990</v>
      </c>
      <c r="M403" s="2" t="s">
        <v>48</v>
      </c>
      <c r="N403" s="2">
        <v>3</v>
      </c>
      <c r="O403" s="2">
        <v>2625.85</v>
      </c>
      <c r="P403" s="2">
        <v>0</v>
      </c>
      <c r="Q403" s="2">
        <v>7877.55</v>
      </c>
      <c r="R403" s="2">
        <v>5562.77</v>
      </c>
      <c r="S403" s="2">
        <v>2314.7800000000002</v>
      </c>
      <c r="T403" s="2" t="s">
        <v>34</v>
      </c>
      <c r="U403" s="2" t="s">
        <v>35</v>
      </c>
      <c r="V403" s="2" t="str">
        <f t="shared" si="18"/>
        <v>ORD-2025-1040209 Mar 202516-03-2025CUST-6694Arjun BoseSmall BusinessEastJharkhandRanchiFurnitureTablesClassic Tables 151Same Day32625.8507877.555562.772314.78PaidCompleted</v>
      </c>
      <c r="W403" s="2">
        <f t="shared" si="19"/>
        <v>1</v>
      </c>
      <c r="X403">
        <f t="shared" si="20"/>
        <v>1</v>
      </c>
    </row>
    <row r="404" spans="1:25">
      <c r="A404" s="2" t="s">
        <v>1991</v>
      </c>
      <c r="B404" s="2" t="s">
        <v>1992</v>
      </c>
      <c r="C404" s="2" t="s">
        <v>1993</v>
      </c>
      <c r="D404" s="2" t="s">
        <v>1994</v>
      </c>
      <c r="E404" s="2" t="s">
        <v>142</v>
      </c>
      <c r="F404" s="2" t="s">
        <v>41</v>
      </c>
      <c r="G404" s="2" t="s">
        <v>62</v>
      </c>
      <c r="H404" s="2" t="s">
        <v>229</v>
      </c>
      <c r="I404" s="2" t="s">
        <v>230</v>
      </c>
      <c r="J404" s="2" t="s">
        <v>45</v>
      </c>
      <c r="K404" s="2" t="s">
        <v>46</v>
      </c>
      <c r="L404" s="2" t="s">
        <v>1995</v>
      </c>
      <c r="N404" s="2">
        <v>3</v>
      </c>
      <c r="O404" s="2">
        <v>1365.26</v>
      </c>
      <c r="P404" s="2">
        <v>0</v>
      </c>
      <c r="Q404" s="2">
        <v>4095.78</v>
      </c>
      <c r="R404" s="2">
        <v>2807.77</v>
      </c>
      <c r="S404" s="2">
        <v>1288.01</v>
      </c>
      <c r="T404" s="2" t="s">
        <v>34</v>
      </c>
      <c r="U404" s="2" t="s">
        <v>35</v>
      </c>
      <c r="V404" s="2" t="str">
        <f t="shared" si="18"/>
        <v>ORD-2024-1040322 Mar 202403/22/2024CUST-7680Priya MenonSmall BusinessSouthKarnatakaBengaluruFurnitureTablesSmart Tables 82931365.2604095.782807.771288.01PaidCompleted</v>
      </c>
      <c r="W404" s="2">
        <f t="shared" si="19"/>
        <v>1</v>
      </c>
      <c r="X404">
        <f t="shared" si="20"/>
        <v>1</v>
      </c>
    </row>
    <row r="405" spans="1:25">
      <c r="A405" s="2" t="s">
        <v>1996</v>
      </c>
      <c r="B405" s="2" t="s">
        <v>1997</v>
      </c>
      <c r="C405" s="2" t="s">
        <v>1998</v>
      </c>
      <c r="D405" s="2" t="s">
        <v>1999</v>
      </c>
      <c r="E405" s="2" t="s">
        <v>61</v>
      </c>
      <c r="F405" s="2" t="s">
        <v>41</v>
      </c>
      <c r="G405" s="2" t="s">
        <v>62</v>
      </c>
      <c r="H405" s="2" t="s">
        <v>242</v>
      </c>
      <c r="I405" s="2" t="s">
        <v>243</v>
      </c>
      <c r="J405" s="2" t="s">
        <v>30</v>
      </c>
      <c r="K405" s="2" t="s">
        <v>2000</v>
      </c>
      <c r="L405" s="2" t="s">
        <v>2001</v>
      </c>
      <c r="M405" s="2" t="s">
        <v>48</v>
      </c>
      <c r="N405" s="2">
        <v>5</v>
      </c>
      <c r="O405" s="2">
        <v>3512.25</v>
      </c>
      <c r="P405" s="2">
        <v>0.05</v>
      </c>
      <c r="Q405" s="2">
        <v>16683.189999999999</v>
      </c>
      <c r="R405" s="2">
        <v>10301.16</v>
      </c>
      <c r="S405" s="2">
        <v>6382.03</v>
      </c>
      <c r="T405" s="2" t="s">
        <v>34</v>
      </c>
      <c r="U405" s="2" t="s">
        <v>125</v>
      </c>
      <c r="V405" s="2" t="str">
        <f t="shared" si="18"/>
        <v>ORD-2024-1040409/30/202404-10-2024CUST-2700Arjun BoseSmall BusinessSouthKeralaKochiOffice SuppliesPAPERClassic Paper 237Same Day53512.250.0516683.1910301.166382.03PaidReturned</v>
      </c>
      <c r="W405" s="2">
        <f t="shared" si="19"/>
        <v>1</v>
      </c>
      <c r="X405">
        <f t="shared" si="20"/>
        <v>1</v>
      </c>
    </row>
    <row r="406" spans="1:25">
      <c r="A406" s="2" t="s">
        <v>2002</v>
      </c>
      <c r="B406" s="2" t="s">
        <v>2003</v>
      </c>
      <c r="C406" s="2" t="s">
        <v>2004</v>
      </c>
      <c r="D406" s="2" t="s">
        <v>2005</v>
      </c>
      <c r="E406" s="2" t="s">
        <v>107</v>
      </c>
      <c r="F406" s="2" t="s">
        <v>108</v>
      </c>
      <c r="G406" s="2" t="s">
        <v>73</v>
      </c>
      <c r="H406" s="2" t="s">
        <v>28</v>
      </c>
      <c r="I406" s="2" t="s">
        <v>135</v>
      </c>
      <c r="J406" s="2" t="s">
        <v>45</v>
      </c>
      <c r="K406" s="2" t="s">
        <v>76</v>
      </c>
      <c r="L406" s="2" t="s">
        <v>2006</v>
      </c>
      <c r="M406" s="2" t="s">
        <v>48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34</v>
      </c>
      <c r="U406" s="2" t="s">
        <v>35</v>
      </c>
      <c r="V406" s="2" t="str">
        <f t="shared" si="18"/>
        <v>ORD-2024-1040527 Jan 202402/03/2024CUST-2904Aditi SenCorporateWestRajasthanUdaipurFurnitureChairsPrime Chairs 891Same Day3359.6101078.83926.35152.48PaidCompleted</v>
      </c>
      <c r="W406" s="2">
        <f t="shared" si="19"/>
        <v>1</v>
      </c>
      <c r="X406">
        <f t="shared" si="20"/>
        <v>1</v>
      </c>
    </row>
    <row r="407" spans="1:25">
      <c r="A407" s="2" t="s">
        <v>2007</v>
      </c>
      <c r="B407" s="2" t="s">
        <v>2008</v>
      </c>
      <c r="C407" s="2" t="s">
        <v>2009</v>
      </c>
      <c r="D407" s="2" t="s">
        <v>2010</v>
      </c>
      <c r="E407" s="2" t="s">
        <v>107</v>
      </c>
      <c r="F407" s="2" t="s">
        <v>115</v>
      </c>
      <c r="G407" s="2" t="s">
        <v>73</v>
      </c>
      <c r="H407" s="2" t="s">
        <v>235</v>
      </c>
      <c r="I407" s="2" t="s">
        <v>236</v>
      </c>
      <c r="J407" s="2" t="s">
        <v>45</v>
      </c>
      <c r="K407" s="2" t="s">
        <v>204</v>
      </c>
      <c r="L407" s="2" t="s">
        <v>2011</v>
      </c>
      <c r="N407" s="2">
        <v>7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34</v>
      </c>
      <c r="U407" s="2" t="s">
        <v>35</v>
      </c>
      <c r="V407" s="2" t="str">
        <f t="shared" si="18"/>
        <v>ORD-2024-1040609/23/202424 Sep 2024CUST-9961Aditi SenHome OfficeWestGujaratAhmedabadFurnitureBookcasesMax Bookcases 81273878.010.124431.4618202.366229.1PaidCompleted</v>
      </c>
      <c r="W407" s="2">
        <f t="shared" si="19"/>
        <v>1</v>
      </c>
      <c r="X407">
        <f t="shared" si="20"/>
        <v>1</v>
      </c>
    </row>
    <row r="408" spans="1:25">
      <c r="A408" s="2" t="s">
        <v>2012</v>
      </c>
      <c r="B408" s="2" t="s">
        <v>2013</v>
      </c>
      <c r="C408" s="2" t="s">
        <v>2013</v>
      </c>
      <c r="D408" s="2" t="s">
        <v>2014</v>
      </c>
      <c r="E408" s="2" t="s">
        <v>366</v>
      </c>
      <c r="F408" s="2" t="s">
        <v>41</v>
      </c>
      <c r="G408" s="2" t="s">
        <v>73</v>
      </c>
      <c r="H408" s="2" t="s">
        <v>249</v>
      </c>
      <c r="I408" s="2" t="s">
        <v>250</v>
      </c>
      <c r="J408" s="2" t="s">
        <v>45</v>
      </c>
      <c r="K408" s="2" t="s">
        <v>65</v>
      </c>
      <c r="L408" s="2" t="s">
        <v>2015</v>
      </c>
      <c r="M408" s="2" t="s">
        <v>67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137</v>
      </c>
      <c r="U408" s="2" t="s">
        <v>125</v>
      </c>
      <c r="V408" s="2" t="str">
        <f t="shared" si="18"/>
        <v>ORD-2025-1040725 Feb 202525 Feb 2025CUST-9909Kabir SinghSmall BusinessWestGoaPanajiFurnitureFurnishingsBasic Furnishings 164Standard Class23924.20.255886.33621.762264.54PendingReturned</v>
      </c>
      <c r="W408" s="2">
        <f t="shared" si="19"/>
        <v>1</v>
      </c>
      <c r="X408">
        <f t="shared" si="20"/>
        <v>1</v>
      </c>
    </row>
    <row r="409" spans="1:25">
      <c r="A409" s="2" t="s">
        <v>2016</v>
      </c>
      <c r="B409" s="2" t="s">
        <v>2017</v>
      </c>
      <c r="C409" s="2" t="s">
        <v>2018</v>
      </c>
      <c r="D409" s="2" t="s">
        <v>2019</v>
      </c>
      <c r="E409" s="2" t="s">
        <v>148</v>
      </c>
      <c r="F409" s="2" t="s">
        <v>108</v>
      </c>
      <c r="G409" s="2" t="s">
        <v>73</v>
      </c>
      <c r="H409" s="2" t="s">
        <v>249</v>
      </c>
      <c r="I409" s="2" t="s">
        <v>250</v>
      </c>
      <c r="J409" s="2" t="s">
        <v>30</v>
      </c>
      <c r="K409" s="2" t="s">
        <v>109</v>
      </c>
      <c r="L409" s="2" t="s">
        <v>2020</v>
      </c>
      <c r="M409" s="2" t="s">
        <v>33</v>
      </c>
      <c r="N409" s="2">
        <v>3</v>
      </c>
      <c r="O409" s="2">
        <v>2644.55</v>
      </c>
      <c r="P409" s="2">
        <v>0</v>
      </c>
      <c r="Q409" s="2">
        <v>7933.65</v>
      </c>
      <c r="R409" s="2">
        <v>5698.42</v>
      </c>
      <c r="S409" s="2">
        <v>2235.23</v>
      </c>
      <c r="T409" s="2" t="s">
        <v>34</v>
      </c>
      <c r="U409" s="2" t="s">
        <v>35</v>
      </c>
      <c r="V409" s="2" t="str">
        <f t="shared" si="18"/>
        <v>ORD-2024-1040812 May 202413 May 2024CUST-8520Rahul VermaCorporateWestGoaPanajiOffice SuppliesLabelsSmart Labels 261Second Class32644.5507933.655698.422235.23PaidCompleted</v>
      </c>
      <c r="W409" s="2">
        <f t="shared" si="19"/>
        <v>1</v>
      </c>
      <c r="X409">
        <f t="shared" si="20"/>
        <v>1</v>
      </c>
    </row>
    <row r="410" spans="1:25">
      <c r="A410" s="2" t="s">
        <v>2021</v>
      </c>
      <c r="B410" s="2" t="s">
        <v>820</v>
      </c>
      <c r="C410" s="2" t="s">
        <v>1080</v>
      </c>
      <c r="D410" s="2" t="s">
        <v>2022</v>
      </c>
      <c r="E410" s="2" t="s">
        <v>168</v>
      </c>
      <c r="F410" s="2" t="s">
        <v>26</v>
      </c>
      <c r="G410" s="2" t="s">
        <v>73</v>
      </c>
      <c r="H410" s="2" t="s">
        <v>74</v>
      </c>
      <c r="I410" s="2" t="s">
        <v>75</v>
      </c>
      <c r="J410" s="2" t="s">
        <v>45</v>
      </c>
      <c r="K410" s="2" t="s">
        <v>76</v>
      </c>
      <c r="L410" s="2" t="s">
        <v>2023</v>
      </c>
      <c r="M410" s="2" t="s">
        <v>56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200</v>
      </c>
      <c r="U410" s="2" t="s">
        <v>125</v>
      </c>
      <c r="V410" s="2" t="str">
        <f t="shared" si="18"/>
        <v>ORD-2025-1040908/01/202508/03/2025CUST-5036Sneha KapoorConsumerWestMaharashtraMumbaiFurnitureChairsMax Chairs 765First Class41773.4607093.844587.492506.35FailedReturned</v>
      </c>
      <c r="W410" s="2">
        <f t="shared" si="19"/>
        <v>1</v>
      </c>
      <c r="X410">
        <f t="shared" si="20"/>
        <v>1</v>
      </c>
    </row>
    <row r="411" spans="1:25">
      <c r="A411" s="2" t="s">
        <v>2024</v>
      </c>
      <c r="B411" s="2" t="s">
        <v>830</v>
      </c>
      <c r="C411" s="2" t="s">
        <v>771</v>
      </c>
      <c r="D411" s="2" t="s">
        <v>2025</v>
      </c>
      <c r="E411" s="2" t="s">
        <v>25</v>
      </c>
      <c r="F411" s="2" t="s">
        <v>26</v>
      </c>
      <c r="G411" s="2" t="s">
        <v>42</v>
      </c>
      <c r="H411" s="2" t="s">
        <v>216</v>
      </c>
      <c r="I411" s="2" t="s">
        <v>217</v>
      </c>
      <c r="J411" s="2" t="s">
        <v>86</v>
      </c>
      <c r="K411" s="2" t="s">
        <v>87</v>
      </c>
      <c r="L411" s="2" t="s">
        <v>2026</v>
      </c>
      <c r="M411" s="2" t="s">
        <v>48</v>
      </c>
      <c r="N411" s="2">
        <v>1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124</v>
      </c>
      <c r="U411" s="2" t="s">
        <v>125</v>
      </c>
      <c r="V411" s="2" t="str">
        <f t="shared" si="18"/>
        <v>ORD-2025-1041013-02-202515-02-2025CUST-7721Karan MalhotraConsumerEastAssamGuwahatiTechnologyAccessoriesPro Accessories 686Same Day13025.460.252269.11593.59675.51RefundedReturned</v>
      </c>
      <c r="W411" s="2">
        <f t="shared" si="19"/>
        <v>1</v>
      </c>
      <c r="X411">
        <f t="shared" si="20"/>
        <v>1</v>
      </c>
    </row>
    <row r="412" spans="1:25">
      <c r="A412" s="2" t="s">
        <v>2027</v>
      </c>
      <c r="B412" s="2" t="s">
        <v>2028</v>
      </c>
      <c r="C412" s="2" t="s">
        <v>2029</v>
      </c>
      <c r="D412" s="2" t="s">
        <v>2030</v>
      </c>
      <c r="E412" s="2" t="s">
        <v>210</v>
      </c>
      <c r="F412" s="2" t="s">
        <v>26</v>
      </c>
      <c r="G412" s="2" t="s">
        <v>73</v>
      </c>
      <c r="H412" s="2" t="s">
        <v>249</v>
      </c>
      <c r="I412" s="2" t="s">
        <v>250</v>
      </c>
      <c r="J412" s="2" t="s">
        <v>45</v>
      </c>
      <c r="K412" s="2" t="s">
        <v>46</v>
      </c>
      <c r="L412" s="2" t="s">
        <v>2031</v>
      </c>
      <c r="M412" s="2" t="s">
        <v>56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34</v>
      </c>
      <c r="U412" s="2" t="s">
        <v>35</v>
      </c>
      <c r="V412" s="2" t="str">
        <f t="shared" si="18"/>
        <v>ORD-2024-104112024-04-1220 Apr 2024CUST-9495Diya PatelConsumerWestGoaPanajiFurnitureTablesSmart Tables 100First Class91302.610.29378.796774.482604.31PaidCompleted</v>
      </c>
      <c r="W412" s="2">
        <f t="shared" si="19"/>
        <v>1</v>
      </c>
      <c r="X412">
        <f t="shared" si="20"/>
        <v>1</v>
      </c>
    </row>
    <row r="413" spans="1:25">
      <c r="A413" s="2" t="s">
        <v>2032</v>
      </c>
      <c r="B413" s="2" t="s">
        <v>2033</v>
      </c>
      <c r="C413" s="2" t="s">
        <v>2034</v>
      </c>
      <c r="D413" s="2" t="s">
        <v>2035</v>
      </c>
      <c r="E413" s="2" t="s">
        <v>61</v>
      </c>
      <c r="F413" s="2" t="s">
        <v>115</v>
      </c>
      <c r="G413" s="2" t="s">
        <v>73</v>
      </c>
      <c r="H413" s="2" t="s">
        <v>28</v>
      </c>
      <c r="I413" s="2" t="s">
        <v>135</v>
      </c>
      <c r="J413" s="2" t="s">
        <v>45</v>
      </c>
      <c r="K413" s="2" t="s">
        <v>46</v>
      </c>
      <c r="L413" s="2" t="s">
        <v>2036</v>
      </c>
      <c r="M413" s="2" t="s">
        <v>56</v>
      </c>
      <c r="N413" s="2">
        <v>1</v>
      </c>
      <c r="O413" s="2">
        <v>4167.8100000000004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200</v>
      </c>
      <c r="U413" s="2" t="s">
        <v>125</v>
      </c>
      <c r="V413" s="2" t="str">
        <f t="shared" si="18"/>
        <v>ORD-2025-104122025-08-232025-08-28CUST-2855Arjun BoseHome OfficeWestRajasthanUdaipurFurnitureTablesBasic Tables 615First Class14167.810.23334.252768.77565.48FailedReturned</v>
      </c>
      <c r="W413" s="2">
        <f t="shared" si="19"/>
        <v>1</v>
      </c>
      <c r="X413">
        <f t="shared" si="20"/>
        <v>1</v>
      </c>
    </row>
    <row r="414" spans="1:25">
      <c r="A414" s="2" t="s">
        <v>2037</v>
      </c>
      <c r="B414" s="2" t="s">
        <v>2038</v>
      </c>
      <c r="C414" s="2" t="s">
        <v>834</v>
      </c>
      <c r="D414" s="2" t="s">
        <v>2039</v>
      </c>
      <c r="E414" s="2" t="s">
        <v>53</v>
      </c>
      <c r="F414" s="2" t="s">
        <v>108</v>
      </c>
      <c r="G414" s="2" t="s">
        <v>62</v>
      </c>
      <c r="H414" s="2" t="s">
        <v>229</v>
      </c>
      <c r="I414" s="2" t="s">
        <v>230</v>
      </c>
      <c r="J414" s="2" t="s">
        <v>45</v>
      </c>
      <c r="K414" s="2" t="s">
        <v>76</v>
      </c>
      <c r="L414" s="2" t="s">
        <v>2040</v>
      </c>
      <c r="M414" s="2" t="s">
        <v>48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34</v>
      </c>
      <c r="U414" s="2" t="s">
        <v>35</v>
      </c>
      <c r="V414" s="2" t="str">
        <f t="shared" si="18"/>
        <v>ORD-2024-104132024-01-2230-01-2024CUST-4329Isha NairCorporateSouthKarnatakaBengaluruFurnitureChairsBasic Chairs 790Same Day12111.390.251583.541014.19569.35PaidCompleted</v>
      </c>
      <c r="W414" s="2">
        <f t="shared" si="19"/>
        <v>1</v>
      </c>
      <c r="X414">
        <f t="shared" si="20"/>
        <v>1</v>
      </c>
    </row>
    <row r="415" spans="1:25">
      <c r="A415" s="2" t="s">
        <v>2041</v>
      </c>
      <c r="B415" s="2" t="s">
        <v>240</v>
      </c>
      <c r="C415" s="2" t="s">
        <v>2042</v>
      </c>
      <c r="D415" s="2" t="s">
        <v>2043</v>
      </c>
      <c r="E415" s="2" t="s">
        <v>93</v>
      </c>
      <c r="F415" s="2" t="s">
        <v>115</v>
      </c>
      <c r="G415" s="2" t="s">
        <v>73</v>
      </c>
      <c r="H415" s="2" t="s">
        <v>84</v>
      </c>
      <c r="I415" s="2" t="s">
        <v>85</v>
      </c>
      <c r="J415" s="2" t="s">
        <v>86</v>
      </c>
      <c r="K415" s="2" t="s">
        <v>87</v>
      </c>
      <c r="L415" s="2" t="s">
        <v>2044</v>
      </c>
      <c r="M415" s="2" t="s">
        <v>33</v>
      </c>
      <c r="N415" s="2">
        <v>8</v>
      </c>
      <c r="O415" s="2">
        <v>1918.23</v>
      </c>
      <c r="P415" s="2">
        <v>0</v>
      </c>
      <c r="Q415" s="2">
        <v>15345.84</v>
      </c>
      <c r="R415" s="2">
        <v>10735.33</v>
      </c>
      <c r="S415" s="2">
        <v>4610.51</v>
      </c>
      <c r="T415" s="2" t="s">
        <v>137</v>
      </c>
      <c r="U415" s="2" t="s">
        <v>78</v>
      </c>
      <c r="V415" s="2" t="str">
        <f t="shared" si="18"/>
        <v>ORD-2025-1041413-08-202517-08-2025CUST-5094Neha GuptaHome OfficeWestMadhya PradeshIndoreTechnologyAccessoriesSmart Accessories 226Second Class81918.23015345.8410735.334610.51PendingCancelled</v>
      </c>
      <c r="W415" s="2">
        <f t="shared" si="19"/>
        <v>1</v>
      </c>
      <c r="X415">
        <f t="shared" si="20"/>
        <v>1</v>
      </c>
    </row>
    <row r="416" spans="1:25">
      <c r="A416" s="2" t="s">
        <v>2045</v>
      </c>
      <c r="B416" s="2" t="s">
        <v>2046</v>
      </c>
      <c r="C416" s="2" t="s">
        <v>2047</v>
      </c>
      <c r="D416" s="2" t="s">
        <v>2048</v>
      </c>
      <c r="E416" s="2" t="s">
        <v>61</v>
      </c>
      <c r="F416" s="2" t="s">
        <v>115</v>
      </c>
      <c r="G416" s="2" t="s">
        <v>42</v>
      </c>
      <c r="H416" s="2" t="s">
        <v>216</v>
      </c>
      <c r="I416" s="2" t="s">
        <v>217</v>
      </c>
      <c r="J416" s="2" t="s">
        <v>30</v>
      </c>
      <c r="K416" s="2" t="s">
        <v>156</v>
      </c>
      <c r="L416" s="2" t="s">
        <v>2049</v>
      </c>
      <c r="M416" s="2" t="s">
        <v>56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34</v>
      </c>
      <c r="U416" s="2" t="s">
        <v>35</v>
      </c>
      <c r="V416" s="2" t="str">
        <f t="shared" si="18"/>
        <v>ORD-2024-104152024-08-2908/30/2024CUST-4194Arjun BoseHome OfficeEastAssamGuwahatiOffice SuppliesStorageMax Storage 692First Class42484.080.059439.55519.393920.11PaidCompleted</v>
      </c>
      <c r="W416" s="2">
        <f t="shared" si="19"/>
        <v>1</v>
      </c>
      <c r="X416">
        <f t="shared" si="20"/>
        <v>1</v>
      </c>
    </row>
    <row r="417" spans="1:25">
      <c r="A417" s="2" t="s">
        <v>2050</v>
      </c>
      <c r="B417" s="2" t="s">
        <v>2051</v>
      </c>
      <c r="C417" s="2" t="s">
        <v>2003</v>
      </c>
      <c r="D417" s="2" t="s">
        <v>2052</v>
      </c>
      <c r="E417" s="2" t="s">
        <v>162</v>
      </c>
      <c r="F417" s="2" t="s">
        <v>108</v>
      </c>
      <c r="G417" s="2" t="s">
        <v>62</v>
      </c>
      <c r="H417" s="2" t="s">
        <v>229</v>
      </c>
      <c r="I417" s="2" t="s">
        <v>230</v>
      </c>
      <c r="J417" s="2" t="s">
        <v>30</v>
      </c>
      <c r="K417" s="2" t="s">
        <v>156</v>
      </c>
      <c r="L417" s="2" t="s">
        <v>2053</v>
      </c>
      <c r="M417" s="2" t="s">
        <v>48</v>
      </c>
      <c r="N417" s="2">
        <v>7</v>
      </c>
      <c r="O417" s="2">
        <v>1727.26</v>
      </c>
      <c r="P417" s="2">
        <v>0.15</v>
      </c>
      <c r="Q417" s="2">
        <v>10277.200000000001</v>
      </c>
      <c r="R417" s="2">
        <v>7906.5</v>
      </c>
      <c r="S417" s="2">
        <v>2370.6999999999998</v>
      </c>
      <c r="T417" s="2" t="s">
        <v>34</v>
      </c>
      <c r="U417" s="2" t="s">
        <v>125</v>
      </c>
      <c r="V417" s="2" t="str">
        <f t="shared" si="18"/>
        <v>ORD-2024-1041601/25/202427 Jan 2024CUST-7087Aarav SharmaCorporateSouthKarnatakaBengaluruOffice SuppliesStorageBasic Storage 684Same Day71727.260.1510277.27906.52370.7PaidReturned</v>
      </c>
      <c r="W417" s="2">
        <f t="shared" si="19"/>
        <v>1</v>
      </c>
      <c r="X417">
        <f t="shared" si="20"/>
        <v>1</v>
      </c>
    </row>
    <row r="418" spans="1:25">
      <c r="A418" s="2" t="s">
        <v>2054</v>
      </c>
      <c r="B418" s="2" t="s">
        <v>2055</v>
      </c>
      <c r="C418" s="2" t="s">
        <v>2056</v>
      </c>
      <c r="D418" s="2" t="s">
        <v>2057</v>
      </c>
      <c r="E418" s="2" t="s">
        <v>93</v>
      </c>
      <c r="F418" s="2" t="s">
        <v>26</v>
      </c>
      <c r="G418" s="2" t="s">
        <v>62</v>
      </c>
      <c r="H418" s="2" t="s">
        <v>63</v>
      </c>
      <c r="I418" s="2" t="s">
        <v>64</v>
      </c>
      <c r="J418" s="2" t="s">
        <v>45</v>
      </c>
      <c r="K418" s="2" t="s">
        <v>65</v>
      </c>
      <c r="L418" s="2" t="s">
        <v>2058</v>
      </c>
      <c r="M418" s="2" t="s">
        <v>56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34</v>
      </c>
      <c r="U418" s="2" t="s">
        <v>35</v>
      </c>
      <c r="V418" s="2" t="str">
        <f t="shared" si="18"/>
        <v>ORD-2025-104172025-01-0816-01-2025CUST-7608Neha GuptaConsumerSouthTelanganaHyderabadFurnitureFurnishingsSmart Furnishings 152First Class8638.950.253833.72886.35947.35PaidCompleted</v>
      </c>
      <c r="W418" s="2">
        <f t="shared" si="19"/>
        <v>1</v>
      </c>
      <c r="X418">
        <f t="shared" si="20"/>
        <v>1</v>
      </c>
    </row>
    <row r="419" spans="1:25">
      <c r="A419" s="2" t="s">
        <v>2059</v>
      </c>
      <c r="B419" s="2" t="s">
        <v>1794</v>
      </c>
      <c r="C419" s="2" t="s">
        <v>2060</v>
      </c>
      <c r="D419" s="2" t="s">
        <v>2061</v>
      </c>
      <c r="E419" s="2" t="s">
        <v>40</v>
      </c>
      <c r="F419" s="2" t="s">
        <v>26</v>
      </c>
      <c r="G419" s="2" t="s">
        <v>73</v>
      </c>
      <c r="H419" s="2" t="s">
        <v>235</v>
      </c>
      <c r="I419" s="2" t="s">
        <v>236</v>
      </c>
      <c r="J419" s="2" t="s">
        <v>30</v>
      </c>
      <c r="K419" s="2" t="s">
        <v>54</v>
      </c>
      <c r="L419" s="2" t="s">
        <v>2062</v>
      </c>
      <c r="M419" s="2" t="s">
        <v>56</v>
      </c>
      <c r="N419" s="2">
        <v>6</v>
      </c>
      <c r="O419" s="2">
        <v>3863</v>
      </c>
      <c r="P419" s="2">
        <v>0.2</v>
      </c>
      <c r="Q419" s="2">
        <v>18542.400000000001</v>
      </c>
      <c r="R419" s="2">
        <v>11193.75</v>
      </c>
      <c r="S419" s="2">
        <v>7348.65</v>
      </c>
      <c r="T419" s="2" t="s">
        <v>34</v>
      </c>
      <c r="U419" s="2" t="s">
        <v>35</v>
      </c>
      <c r="V419" s="2" t="str">
        <f t="shared" si="18"/>
        <v>ORD-2025-1041801/29/202502/05/2025CUST-5269Mira DasConsumerWestGujaratAhmedabadOffice SuppliesArtMax Art 736First Class638630.218542.411193.757348.65PaidCompleted</v>
      </c>
      <c r="W419" s="2">
        <f t="shared" si="19"/>
        <v>1</v>
      </c>
      <c r="X419">
        <f t="shared" si="20"/>
        <v>1</v>
      </c>
    </row>
    <row r="420" spans="1:25">
      <c r="A420" s="2" t="s">
        <v>2063</v>
      </c>
      <c r="B420" s="2" t="s">
        <v>2064</v>
      </c>
      <c r="C420" s="2" t="s">
        <v>2065</v>
      </c>
      <c r="D420" s="2" t="s">
        <v>2066</v>
      </c>
      <c r="E420" s="2" t="s">
        <v>168</v>
      </c>
      <c r="F420" s="2" t="s">
        <v>108</v>
      </c>
      <c r="G420" s="2" t="s">
        <v>42</v>
      </c>
      <c r="H420" s="2" t="s">
        <v>43</v>
      </c>
      <c r="I420" s="2" t="s">
        <v>44</v>
      </c>
      <c r="J420" s="2" t="s">
        <v>86</v>
      </c>
      <c r="K420" s="2" t="s">
        <v>94</v>
      </c>
      <c r="L420" s="2" t="s">
        <v>2067</v>
      </c>
      <c r="M420" s="2" t="s">
        <v>67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200</v>
      </c>
      <c r="U420" s="2" t="s">
        <v>78</v>
      </c>
      <c r="V420" s="2" t="str">
        <f t="shared" si="18"/>
        <v>ORD-2024-1041911/09/202411/17/2024CUST-7925Sneha KapoorCorporateEastOdishaBhubaneswarTechnologyCopiersElite Copiers 971Standard Class63660.4021962.415331.996630.41FailedCancelled</v>
      </c>
      <c r="W420" s="2">
        <f t="shared" si="19"/>
        <v>1</v>
      </c>
      <c r="X420">
        <f t="shared" si="20"/>
        <v>1</v>
      </c>
    </row>
    <row r="421" spans="1:25">
      <c r="A421" s="2" t="s">
        <v>2068</v>
      </c>
      <c r="B421" s="2" t="s">
        <v>2069</v>
      </c>
      <c r="C421" s="2" t="s">
        <v>2070</v>
      </c>
      <c r="D421" s="2" t="s">
        <v>2071</v>
      </c>
      <c r="E421" s="2" t="s">
        <v>168</v>
      </c>
      <c r="F421" s="2" t="s">
        <v>115</v>
      </c>
      <c r="G421" s="2" t="s">
        <v>27</v>
      </c>
      <c r="H421" s="2" t="s">
        <v>323</v>
      </c>
      <c r="I421" s="2" t="s">
        <v>324</v>
      </c>
      <c r="J421" s="2" t="s">
        <v>86</v>
      </c>
      <c r="K421" s="2" t="s">
        <v>223</v>
      </c>
      <c r="L421" s="2" t="s">
        <v>2072</v>
      </c>
      <c r="M421" s="2" t="s">
        <v>48</v>
      </c>
      <c r="N421" s="2">
        <v>2</v>
      </c>
      <c r="O421" s="2">
        <v>688.83</v>
      </c>
      <c r="P421" s="2">
        <v>0.05</v>
      </c>
      <c r="Q421" s="2">
        <v>1308.78</v>
      </c>
      <c r="R421" s="2">
        <v>843</v>
      </c>
      <c r="S421" s="2">
        <v>465.78</v>
      </c>
      <c r="T421" s="2" t="s">
        <v>34</v>
      </c>
      <c r="U421" s="2" t="s">
        <v>35</v>
      </c>
      <c r="V421" s="2" t="str">
        <f t="shared" si="18"/>
        <v>ORD-2025-1042026-09-202509/30/2025CUST-6552Sneha KapoorHome OfficeNorthHaryanaGurugramTechnologyPhonesClassic Phones 940Same Day2688.830.051308.78843465.78PaidCompleted</v>
      </c>
      <c r="W421" s="2">
        <f t="shared" si="19"/>
        <v>1</v>
      </c>
      <c r="X421">
        <f t="shared" si="20"/>
        <v>1</v>
      </c>
    </row>
    <row r="422" spans="1:25">
      <c r="A422" s="2" t="s">
        <v>2073</v>
      </c>
      <c r="B422" s="2" t="s">
        <v>963</v>
      </c>
      <c r="C422" s="2" t="s">
        <v>2074</v>
      </c>
      <c r="D422" s="2" t="s">
        <v>2075</v>
      </c>
      <c r="E422" s="2" t="s">
        <v>53</v>
      </c>
      <c r="F422" s="2" t="s">
        <v>108</v>
      </c>
      <c r="G422" s="2" t="s">
        <v>62</v>
      </c>
      <c r="H422" s="2" t="s">
        <v>339</v>
      </c>
      <c r="I422" s="2" t="s">
        <v>340</v>
      </c>
      <c r="J422" s="2" t="s">
        <v>86</v>
      </c>
      <c r="K422" s="2" t="s">
        <v>382</v>
      </c>
      <c r="L422" s="2" t="s">
        <v>2076</v>
      </c>
      <c r="M422" s="2" t="s">
        <v>67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137</v>
      </c>
      <c r="U422" s="2" t="s">
        <v>78</v>
      </c>
      <c r="V422" s="2" t="str">
        <f t="shared" si="18"/>
        <v>ORD-2025-1042118-03-20252025-03-19CUST-7131Isha NairCorporateSouthTamil NaduChennaiTechnologyMachinesPro Machines 579Standard Class21209.990.251814.991120.06694.93PendingCancelled</v>
      </c>
      <c r="W422" s="2">
        <f t="shared" si="19"/>
        <v>1</v>
      </c>
      <c r="X422">
        <f t="shared" si="20"/>
        <v>1</v>
      </c>
    </row>
    <row r="423" spans="1:25">
      <c r="A423" s="2" t="s">
        <v>2077</v>
      </c>
      <c r="B423" s="2" t="s">
        <v>2078</v>
      </c>
      <c r="C423" s="2" t="s">
        <v>2079</v>
      </c>
      <c r="D423" s="2" t="s">
        <v>2080</v>
      </c>
      <c r="E423" s="2" t="s">
        <v>180</v>
      </c>
      <c r="F423" s="2" t="s">
        <v>41</v>
      </c>
      <c r="G423" s="2" t="s">
        <v>27</v>
      </c>
      <c r="H423" s="2" t="s">
        <v>506</v>
      </c>
      <c r="I423" s="2" t="s">
        <v>507</v>
      </c>
      <c r="J423" s="2" t="s">
        <v>30</v>
      </c>
      <c r="K423" s="2" t="s">
        <v>198</v>
      </c>
      <c r="L423" s="2" t="s">
        <v>2081</v>
      </c>
      <c r="M423" s="2" t="s">
        <v>48</v>
      </c>
      <c r="N423" s="2">
        <v>3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137</v>
      </c>
      <c r="U423" s="2" t="s">
        <v>125</v>
      </c>
      <c r="V423" s="2" t="str">
        <f t="shared" si="18"/>
        <v>ORD-2025-1042206/14/202519 Jun 2025CUST-2779Rohan MehtaSmall BusinessNorthDelhiNew DelhiOffice SuppliesBindersElite Binders 943Same Day31037.450.22489.881707.52782.36PendingReturned</v>
      </c>
      <c r="W423" s="2">
        <f t="shared" si="19"/>
        <v>1</v>
      </c>
      <c r="X423">
        <f t="shared" si="20"/>
        <v>1</v>
      </c>
    </row>
    <row r="424" spans="1:25">
      <c r="A424" s="2" t="s">
        <v>2082</v>
      </c>
      <c r="B424" s="2" t="s">
        <v>2083</v>
      </c>
      <c r="C424" s="2" t="s">
        <v>2084</v>
      </c>
      <c r="D424" s="2" t="s">
        <v>2085</v>
      </c>
      <c r="E424" s="2" t="s">
        <v>366</v>
      </c>
      <c r="F424" s="2" t="s">
        <v>26</v>
      </c>
      <c r="G424" s="2" t="s">
        <v>73</v>
      </c>
      <c r="H424" s="2" t="s">
        <v>84</v>
      </c>
      <c r="I424" s="2" t="s">
        <v>85</v>
      </c>
      <c r="J424" s="2" t="s">
        <v>86</v>
      </c>
      <c r="K424" s="2" t="s">
        <v>94</v>
      </c>
      <c r="L424" s="2" t="s">
        <v>2086</v>
      </c>
      <c r="M424" s="2" t="s">
        <v>48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34</v>
      </c>
      <c r="U424" s="2" t="s">
        <v>35</v>
      </c>
      <c r="V424" s="2" t="str">
        <f t="shared" si="18"/>
        <v>ORD-2025-1042309/03/202506 Sep 2025CUST-6077Kabir SinghConsumerWestMadhya PradeshIndoreTechnologyCopiersElite Copiers 474Same Day7688.850.154098.662678.061420.6PaidCompleted</v>
      </c>
      <c r="W424" s="2">
        <f t="shared" si="19"/>
        <v>1</v>
      </c>
      <c r="X424">
        <f t="shared" si="20"/>
        <v>1</v>
      </c>
    </row>
    <row r="425" spans="1:25">
      <c r="A425" s="2" t="s">
        <v>2087</v>
      </c>
      <c r="B425" s="2" t="s">
        <v>2088</v>
      </c>
      <c r="C425" s="2" t="s">
        <v>2089</v>
      </c>
      <c r="D425" s="2" t="s">
        <v>2090</v>
      </c>
      <c r="E425" s="2" t="s">
        <v>210</v>
      </c>
      <c r="F425" s="2" t="s">
        <v>26</v>
      </c>
      <c r="G425" s="2" t="s">
        <v>62</v>
      </c>
      <c r="H425" s="2" t="s">
        <v>242</v>
      </c>
      <c r="I425" s="2" t="s">
        <v>243</v>
      </c>
      <c r="J425" s="2" t="s">
        <v>86</v>
      </c>
      <c r="K425" s="2" t="s">
        <v>87</v>
      </c>
      <c r="L425" s="2" t="s">
        <v>2091</v>
      </c>
      <c r="M425" s="2" t="s">
        <v>2092</v>
      </c>
      <c r="N425" s="2">
        <v>9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34</v>
      </c>
      <c r="U425" s="2" t="s">
        <v>35</v>
      </c>
      <c r="V425" s="2" t="str">
        <f t="shared" si="18"/>
        <v>ORD-2024-104242024-02-2027-02-2024CUST-6169Diya PatelConsumerSouthKeralaKochiTechnologyAccessoriesPrime Accessories 236FIRST CLASS93779.310.227211.0317940.439270.6PaidCompleted</v>
      </c>
      <c r="W425" s="2">
        <f t="shared" si="19"/>
        <v>1</v>
      </c>
      <c r="X425">
        <f t="shared" si="20"/>
        <v>2</v>
      </c>
      <c r="Y425" s="2" t="s">
        <v>4097</v>
      </c>
    </row>
    <row r="426" spans="1:25">
      <c r="A426" s="2" t="s">
        <v>2093</v>
      </c>
      <c r="B426" s="2" t="s">
        <v>2094</v>
      </c>
      <c r="C426" s="2" t="s">
        <v>2095</v>
      </c>
      <c r="D426" s="2" t="s">
        <v>2096</v>
      </c>
      <c r="E426" s="2" t="s">
        <v>93</v>
      </c>
      <c r="F426" s="2" t="s">
        <v>108</v>
      </c>
      <c r="G426" s="2" t="s">
        <v>27</v>
      </c>
      <c r="H426" s="2" t="s">
        <v>154</v>
      </c>
      <c r="I426" s="2" t="s">
        <v>155</v>
      </c>
      <c r="J426" s="2" t="s">
        <v>86</v>
      </c>
      <c r="K426" s="2" t="s">
        <v>223</v>
      </c>
      <c r="L426" s="2" t="s">
        <v>2097</v>
      </c>
      <c r="M426" s="2" t="s">
        <v>67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34</v>
      </c>
      <c r="U426" s="2" t="s">
        <v>35</v>
      </c>
      <c r="V426" s="2" t="str">
        <f t="shared" si="18"/>
        <v>ORD-2024-1042506/26/20242024-06-29CUST-8904Neha GuptaCorporateNorthPunjabLudhianaTechnologyPhonesPrime Phones 881Standard Class8804.5206436.164263.832172.33PaidCompleted</v>
      </c>
      <c r="W426" s="2">
        <f t="shared" si="19"/>
        <v>1</v>
      </c>
      <c r="X426">
        <f t="shared" si="20"/>
        <v>1</v>
      </c>
    </row>
    <row r="427" spans="1:25">
      <c r="A427" s="2" t="s">
        <v>2098</v>
      </c>
      <c r="B427" s="2" t="s">
        <v>2099</v>
      </c>
      <c r="C427" s="2" t="s">
        <v>2100</v>
      </c>
      <c r="D427" s="2" t="s">
        <v>2101</v>
      </c>
      <c r="E427" s="2" t="s">
        <v>53</v>
      </c>
      <c r="F427" s="2" t="s">
        <v>115</v>
      </c>
      <c r="G427" s="2" t="s">
        <v>27</v>
      </c>
      <c r="H427" s="2" t="s">
        <v>506</v>
      </c>
      <c r="I427" s="2" t="s">
        <v>507</v>
      </c>
      <c r="J427" s="2" t="s">
        <v>30</v>
      </c>
      <c r="K427" s="2" t="s">
        <v>109</v>
      </c>
      <c r="L427" s="2" t="s">
        <v>2102</v>
      </c>
      <c r="M427" s="2" t="s">
        <v>56</v>
      </c>
      <c r="N427" s="2">
        <v>2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124</v>
      </c>
      <c r="U427" s="2" t="s">
        <v>78</v>
      </c>
      <c r="V427" s="2" t="str">
        <f t="shared" si="18"/>
        <v>ORD-2024-1042626-09-202409/27/2024CUST-9586Isha NairHome OfficeNorthDelhiNew DelhiOffice SuppliesLabelsPro Labels 903First Class21065.690.11918.241373.52544.72RefundedCancelled</v>
      </c>
      <c r="W427" s="2">
        <f t="shared" si="19"/>
        <v>1</v>
      </c>
      <c r="X427">
        <f t="shared" si="20"/>
        <v>1</v>
      </c>
    </row>
    <row r="428" spans="1:25">
      <c r="A428" s="2" t="s">
        <v>2103</v>
      </c>
      <c r="B428" s="2" t="s">
        <v>2104</v>
      </c>
      <c r="C428" s="2" t="s">
        <v>2105</v>
      </c>
      <c r="D428" s="2" t="s">
        <v>2106</v>
      </c>
      <c r="E428" s="2" t="s">
        <v>107</v>
      </c>
      <c r="F428" s="2" t="s">
        <v>26</v>
      </c>
      <c r="G428" s="2" t="s">
        <v>27</v>
      </c>
      <c r="H428" s="2" t="s">
        <v>323</v>
      </c>
      <c r="I428" s="2" t="s">
        <v>324</v>
      </c>
      <c r="J428" s="2" t="s">
        <v>86</v>
      </c>
      <c r="K428" s="2" t="s">
        <v>94</v>
      </c>
      <c r="L428" s="2" t="s">
        <v>2107</v>
      </c>
      <c r="M428" s="2" t="s">
        <v>48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34</v>
      </c>
      <c r="U428" s="2" t="s">
        <v>35</v>
      </c>
      <c r="V428" s="2" t="str">
        <f t="shared" si="18"/>
        <v>ORD-2024-1042730-06-202401-07-2024CUST-5431Aditi SenConsumerNorthHaryanaGurugramTechnologyCopiersMax Copiers 402Same Day83756.660.127047.9518431.338616.62PaidCompleted</v>
      </c>
      <c r="W428" s="2">
        <f t="shared" si="19"/>
        <v>1</v>
      </c>
      <c r="X428">
        <f t="shared" si="20"/>
        <v>1</v>
      </c>
    </row>
    <row r="429" spans="1:25">
      <c r="A429" s="2" t="s">
        <v>2108</v>
      </c>
      <c r="B429" s="2" t="s">
        <v>2109</v>
      </c>
      <c r="C429" s="2" t="s">
        <v>2110</v>
      </c>
      <c r="D429" s="2" t="s">
        <v>2111</v>
      </c>
      <c r="E429" s="2" t="s">
        <v>53</v>
      </c>
      <c r="F429" s="2" t="s">
        <v>108</v>
      </c>
      <c r="H429" s="2" t="s">
        <v>311</v>
      </c>
      <c r="I429" s="2" t="s">
        <v>312</v>
      </c>
      <c r="J429" s="2" t="s">
        <v>86</v>
      </c>
      <c r="K429" s="2" t="s">
        <v>87</v>
      </c>
      <c r="L429" s="2" t="s">
        <v>2112</v>
      </c>
      <c r="M429" s="2" t="s">
        <v>286</v>
      </c>
      <c r="N429" s="2">
        <v>9</v>
      </c>
      <c r="O429" s="2">
        <v>2939.44</v>
      </c>
      <c r="P429" s="2">
        <v>0</v>
      </c>
      <c r="Q429" s="2">
        <v>26454.959999999999</v>
      </c>
      <c r="R429" s="2">
        <v>17630.25</v>
      </c>
      <c r="S429" s="2">
        <v>8824.7099999999991</v>
      </c>
      <c r="T429" s="2" t="s">
        <v>34</v>
      </c>
      <c r="U429" s="2" t="s">
        <v>35</v>
      </c>
      <c r="V429" s="2" t="str">
        <f t="shared" si="18"/>
        <v>ORD-2025-104282025-04-2224-04-2025CUST-8843Isha NairCorporateJharkhandRanchiTechnologyAccessoriesPrime Accessories 419STANDARD CLASS92939.44026454.9617630.258824.71PaidCompleted</v>
      </c>
      <c r="W429" s="2">
        <f t="shared" si="19"/>
        <v>1</v>
      </c>
      <c r="X429">
        <f t="shared" si="20"/>
        <v>1</v>
      </c>
    </row>
    <row r="430" spans="1:25">
      <c r="A430" s="2" t="s">
        <v>2113</v>
      </c>
      <c r="B430" s="2" t="s">
        <v>2114</v>
      </c>
      <c r="C430" s="2" t="s">
        <v>2115</v>
      </c>
      <c r="D430" s="2" t="s">
        <v>2116</v>
      </c>
      <c r="E430" s="2" t="s">
        <v>25</v>
      </c>
      <c r="F430" s="2" t="s">
        <v>41</v>
      </c>
      <c r="G430" s="2" t="s">
        <v>42</v>
      </c>
      <c r="H430" s="2" t="s">
        <v>121</v>
      </c>
      <c r="I430" s="2" t="s">
        <v>122</v>
      </c>
      <c r="J430" s="2" t="s">
        <v>86</v>
      </c>
      <c r="K430" s="2" t="s">
        <v>223</v>
      </c>
      <c r="L430" s="2" t="s">
        <v>2117</v>
      </c>
      <c r="M430" s="2" t="s">
        <v>48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137</v>
      </c>
      <c r="U430" s="2" t="s">
        <v>78</v>
      </c>
      <c r="V430" s="2" t="str">
        <f t="shared" si="18"/>
        <v>ORD-2025-104292025-03-1522 Mar 2025CUST-7626Karan MalhotraSmall BusinessEastWest BengalKolkataTechnologyPhonesElite Phones 488Same Day21235.930.251853.891101.23752.66PendingCancelled</v>
      </c>
      <c r="W430" s="2">
        <f t="shared" si="19"/>
        <v>1</v>
      </c>
      <c r="X430">
        <f t="shared" si="20"/>
        <v>1</v>
      </c>
    </row>
    <row r="431" spans="1:25">
      <c r="A431" s="2" t="s">
        <v>2118</v>
      </c>
      <c r="B431" s="2" t="s">
        <v>2119</v>
      </c>
      <c r="C431" s="2" t="s">
        <v>2120</v>
      </c>
      <c r="D431" s="2" t="s">
        <v>2121</v>
      </c>
      <c r="E431" s="2" t="s">
        <v>93</v>
      </c>
      <c r="F431" s="2" t="s">
        <v>115</v>
      </c>
      <c r="G431" s="2" t="s">
        <v>27</v>
      </c>
      <c r="H431" s="2" t="s">
        <v>28</v>
      </c>
      <c r="I431" s="2" t="s">
        <v>29</v>
      </c>
      <c r="J431" s="2" t="s">
        <v>86</v>
      </c>
      <c r="K431" s="2" t="s">
        <v>94</v>
      </c>
      <c r="L431" s="2" t="s">
        <v>2122</v>
      </c>
      <c r="M431" s="2" t="s">
        <v>48</v>
      </c>
      <c r="N431" s="2">
        <v>8</v>
      </c>
      <c r="O431" s="2">
        <v>2943.1</v>
      </c>
      <c r="P431" s="2">
        <v>0.25</v>
      </c>
      <c r="Q431" s="2">
        <v>17658.599999999999</v>
      </c>
      <c r="R431" s="2">
        <v>13842.48</v>
      </c>
      <c r="S431" s="2">
        <v>3816.12</v>
      </c>
      <c r="T431" s="2" t="s">
        <v>34</v>
      </c>
      <c r="U431" s="2" t="s">
        <v>35</v>
      </c>
      <c r="V431" s="2" t="str">
        <f t="shared" si="18"/>
        <v>ORD-2025-1043001 Mar 202508-03-2025CUST-8562Neha GuptaHome OfficeNorthRajasthanJaipurTechnologyCopiersPrime Copiers 109Same Day82943.10.2517658.613842.483816.12PaidCompleted</v>
      </c>
      <c r="W431" s="2">
        <f t="shared" si="19"/>
        <v>1</v>
      </c>
      <c r="X431">
        <f t="shared" si="20"/>
        <v>1</v>
      </c>
    </row>
    <row r="432" spans="1:25">
      <c r="A432" s="2" t="s">
        <v>2123</v>
      </c>
      <c r="B432" s="2" t="s">
        <v>2124</v>
      </c>
      <c r="C432" s="2" t="s">
        <v>2125</v>
      </c>
      <c r="D432" s="2" t="s">
        <v>2126</v>
      </c>
      <c r="E432" s="2" t="s">
        <v>93</v>
      </c>
      <c r="F432" s="2" t="s">
        <v>41</v>
      </c>
      <c r="G432" s="2" t="s">
        <v>27</v>
      </c>
      <c r="H432" s="2" t="s">
        <v>323</v>
      </c>
      <c r="I432" s="2" t="s">
        <v>324</v>
      </c>
      <c r="J432" s="2" t="s">
        <v>30</v>
      </c>
      <c r="K432" s="2" t="s">
        <v>31</v>
      </c>
      <c r="L432" s="2" t="s">
        <v>2127</v>
      </c>
      <c r="M432" s="2" t="s">
        <v>33</v>
      </c>
      <c r="N432" s="2">
        <v>1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34</v>
      </c>
      <c r="U432" s="2" t="s">
        <v>35</v>
      </c>
      <c r="V432" s="2" t="str">
        <f t="shared" si="18"/>
        <v>ORD-2024-1043130 Aug 202402-09-2024CUST-2732Neha GuptaSmall BusinessNorthHaryanaGurugramOffice SuppliesPaperMax Paper 576Second Class14320.840.153672.712714.23763.38PaidCompleted</v>
      </c>
      <c r="W432" s="2">
        <f t="shared" si="19"/>
        <v>1</v>
      </c>
      <c r="X432">
        <f t="shared" si="20"/>
        <v>1</v>
      </c>
    </row>
    <row r="433" spans="1:24">
      <c r="A433" s="2" t="s">
        <v>2128</v>
      </c>
      <c r="B433" s="2" t="s">
        <v>2129</v>
      </c>
      <c r="C433" s="2" t="s">
        <v>2130</v>
      </c>
      <c r="D433" s="2" t="s">
        <v>2131</v>
      </c>
      <c r="E433" s="2" t="s">
        <v>25</v>
      </c>
      <c r="F433" s="2" t="s">
        <v>115</v>
      </c>
      <c r="G433" s="2" t="s">
        <v>73</v>
      </c>
      <c r="H433" s="2" t="s">
        <v>249</v>
      </c>
      <c r="I433" s="2" t="s">
        <v>250</v>
      </c>
      <c r="J433" s="2" t="s">
        <v>86</v>
      </c>
      <c r="K433" s="2" t="s">
        <v>382</v>
      </c>
      <c r="L433" s="2" t="s">
        <v>2132</v>
      </c>
      <c r="M433" s="2" t="s">
        <v>48</v>
      </c>
      <c r="N433" s="2">
        <v>2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34</v>
      </c>
      <c r="U433" s="2" t="s">
        <v>35</v>
      </c>
      <c r="V433" s="2" t="str">
        <f t="shared" si="18"/>
        <v>ORD-2024-1043210 Feb 202402/13/2024CUST-3989Karan MalhotraHome OfficeWestGoaPanajiTechnologyMachinesMax Machines 412Same Day24118.450.256177.674520.751656.92PaidCompleted</v>
      </c>
      <c r="W433" s="2">
        <f t="shared" si="19"/>
        <v>1</v>
      </c>
      <c r="X433">
        <f t="shared" si="20"/>
        <v>1</v>
      </c>
    </row>
    <row r="434" spans="1:24">
      <c r="A434" s="2" t="s">
        <v>2133</v>
      </c>
      <c r="B434" s="2" t="s">
        <v>1950</v>
      </c>
      <c r="C434" s="2" t="s">
        <v>2125</v>
      </c>
      <c r="D434" s="2" t="s">
        <v>2134</v>
      </c>
      <c r="E434" s="2" t="s">
        <v>142</v>
      </c>
      <c r="F434" s="2" t="s">
        <v>41</v>
      </c>
      <c r="G434" s="2" t="s">
        <v>73</v>
      </c>
      <c r="H434" s="2" t="s">
        <v>74</v>
      </c>
      <c r="I434" s="2" t="s">
        <v>75</v>
      </c>
      <c r="J434" s="2" t="s">
        <v>45</v>
      </c>
      <c r="K434" s="2" t="s">
        <v>204</v>
      </c>
      <c r="L434" s="2" t="s">
        <v>2135</v>
      </c>
      <c r="M434" s="2" t="s">
        <v>67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34</v>
      </c>
      <c r="U434" s="2" t="s">
        <v>35</v>
      </c>
      <c r="V434" s="2" t="str">
        <f t="shared" si="18"/>
        <v>ORD-2024-1043308/29/202402-09-2024CUST-3522Priya MenonSmall BusinessWestMaharashtraMumbaiFurnitureBookcasesClassic Bookcases 291Standard Class6172.820.05985.07844.48140.59PaidCompleted</v>
      </c>
      <c r="W434" s="2">
        <f t="shared" si="19"/>
        <v>1</v>
      </c>
      <c r="X434">
        <f t="shared" si="20"/>
        <v>1</v>
      </c>
    </row>
    <row r="435" spans="1:24">
      <c r="A435" s="2" t="s">
        <v>2136</v>
      </c>
      <c r="B435" s="2" t="s">
        <v>2137</v>
      </c>
      <c r="C435" s="2" t="s">
        <v>2138</v>
      </c>
      <c r="D435" s="2" t="s">
        <v>2139</v>
      </c>
      <c r="E435" s="2" t="s">
        <v>142</v>
      </c>
      <c r="F435" s="2" t="s">
        <v>108</v>
      </c>
      <c r="G435" s="2" t="s">
        <v>62</v>
      </c>
      <c r="H435" s="2" t="s">
        <v>242</v>
      </c>
      <c r="I435" s="2" t="s">
        <v>243</v>
      </c>
      <c r="J435" s="2" t="s">
        <v>30</v>
      </c>
      <c r="K435" s="2" t="s">
        <v>54</v>
      </c>
      <c r="L435" s="2" t="s">
        <v>2140</v>
      </c>
      <c r="M435" s="2" t="s">
        <v>33</v>
      </c>
      <c r="N435" s="2">
        <v>4</v>
      </c>
      <c r="O435" s="2">
        <v>1540.22</v>
      </c>
      <c r="P435" s="2">
        <v>0</v>
      </c>
      <c r="Q435" s="2">
        <v>6160.88</v>
      </c>
      <c r="R435" s="2">
        <v>4938.7</v>
      </c>
      <c r="S435" s="2">
        <v>1222.18</v>
      </c>
      <c r="T435" s="2" t="s">
        <v>124</v>
      </c>
      <c r="U435" s="2" t="s">
        <v>125</v>
      </c>
      <c r="V435" s="2" t="str">
        <f t="shared" si="18"/>
        <v>ORD-2024-1043404/19/202420-04-2024CUST-7066Priya MenonCorporateSouthKeralaKochiOffice SuppliesArtElite Art 946Second Class41540.2206160.884938.71222.18RefundedReturned</v>
      </c>
      <c r="W435" s="2">
        <f t="shared" si="19"/>
        <v>1</v>
      </c>
      <c r="X435">
        <f t="shared" si="20"/>
        <v>1</v>
      </c>
    </row>
    <row r="436" spans="1:24">
      <c r="A436" s="2" t="s">
        <v>2141</v>
      </c>
      <c r="B436" s="2" t="s">
        <v>2142</v>
      </c>
      <c r="C436" s="2" t="s">
        <v>2143</v>
      </c>
      <c r="D436" s="2" t="s">
        <v>2144</v>
      </c>
      <c r="E436" s="2" t="s">
        <v>40</v>
      </c>
      <c r="F436" s="2" t="s">
        <v>115</v>
      </c>
      <c r="G436" s="2" t="s">
        <v>27</v>
      </c>
      <c r="H436" s="2" t="s">
        <v>174</v>
      </c>
      <c r="I436" s="2" t="s">
        <v>175</v>
      </c>
      <c r="J436" s="2" t="s">
        <v>86</v>
      </c>
      <c r="K436" s="2" t="s">
        <v>87</v>
      </c>
      <c r="L436" s="2" t="s">
        <v>2145</v>
      </c>
      <c r="M436" s="2" t="s">
        <v>33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34</v>
      </c>
      <c r="U436" s="2" t="s">
        <v>35</v>
      </c>
      <c r="V436" s="2" t="str">
        <f t="shared" si="18"/>
        <v>ORD-2025-1043504/11/20252025-04-15CUST-2351Mira DasHome OfficeNorthUttar PradeshNoidaTechnologyAccessoriesEco Accessories 705Second Class5652.7803263.92068.441195.46PaidCompleted</v>
      </c>
      <c r="W436" s="2">
        <f t="shared" si="19"/>
        <v>1</v>
      </c>
      <c r="X436">
        <f t="shared" si="20"/>
        <v>1</v>
      </c>
    </row>
    <row r="437" spans="1:24">
      <c r="A437" s="2" t="s">
        <v>2146</v>
      </c>
      <c r="B437" s="2" t="s">
        <v>2147</v>
      </c>
      <c r="C437" s="2" t="s">
        <v>1028</v>
      </c>
      <c r="D437" s="2" t="s">
        <v>2148</v>
      </c>
      <c r="E437" s="2" t="s">
        <v>366</v>
      </c>
      <c r="F437" s="2" t="s">
        <v>115</v>
      </c>
      <c r="G437" s="2" t="s">
        <v>27</v>
      </c>
      <c r="H437" s="2" t="s">
        <v>506</v>
      </c>
      <c r="I437" s="2" t="s">
        <v>507</v>
      </c>
      <c r="J437" s="2" t="s">
        <v>86</v>
      </c>
      <c r="K437" s="2" t="s">
        <v>382</v>
      </c>
      <c r="L437" s="2" t="s">
        <v>2149</v>
      </c>
      <c r="M437" s="2" t="s">
        <v>67</v>
      </c>
      <c r="N437" s="2">
        <v>1</v>
      </c>
      <c r="O437" s="2">
        <v>2737.71</v>
      </c>
      <c r="P437" s="2">
        <v>0.15</v>
      </c>
      <c r="Q437" s="2">
        <v>2327.0500000000002</v>
      </c>
      <c r="R437" s="2">
        <v>1919.42</v>
      </c>
      <c r="S437" s="2">
        <v>407.63</v>
      </c>
      <c r="T437" s="2" t="s">
        <v>34</v>
      </c>
      <c r="U437" s="2" t="s">
        <v>78</v>
      </c>
      <c r="V437" s="2" t="str">
        <f t="shared" si="18"/>
        <v>ORD-2025-104362025-04-1220-04-2025CUST-7291Kabir SinghHome OfficeNorthDelhiNew DelhiTechnologyMachinesMax Machines 151Standard Class12737.710.152327.051919.42407.63PaidCancelled</v>
      </c>
      <c r="W437" s="2">
        <f t="shared" si="19"/>
        <v>1</v>
      </c>
      <c r="X437">
        <f t="shared" si="20"/>
        <v>1</v>
      </c>
    </row>
    <row r="438" spans="1:24">
      <c r="A438" s="2" t="s">
        <v>2150</v>
      </c>
      <c r="B438" s="2" t="s">
        <v>2151</v>
      </c>
      <c r="C438" s="2" t="s">
        <v>2152</v>
      </c>
      <c r="D438" s="2" t="s">
        <v>2153</v>
      </c>
      <c r="E438" s="2" t="s">
        <v>93</v>
      </c>
      <c r="F438" s="2" t="s">
        <v>26</v>
      </c>
      <c r="G438" s="2" t="s">
        <v>62</v>
      </c>
      <c r="H438" s="2" t="s">
        <v>242</v>
      </c>
      <c r="I438" s="2" t="s">
        <v>243</v>
      </c>
      <c r="J438" s="2" t="s">
        <v>45</v>
      </c>
      <c r="K438" s="2" t="s">
        <v>65</v>
      </c>
      <c r="L438" s="2" t="s">
        <v>2154</v>
      </c>
      <c r="M438" s="2" t="s">
        <v>48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34</v>
      </c>
      <c r="U438" s="2" t="s">
        <v>125</v>
      </c>
      <c r="V438" s="2" t="str">
        <f t="shared" si="18"/>
        <v>ORD-2024-1043716 Jun 202421 Jun 2024CUST-4492Neha GuptaConsumerSouthKeralaKochiFurnitureFurnishingsMax Furnishings 803Same Day61156.780.056593.654359.392234.26PaidReturned</v>
      </c>
      <c r="W438" s="2">
        <f t="shared" si="19"/>
        <v>1</v>
      </c>
      <c r="X438">
        <f t="shared" si="20"/>
        <v>1</v>
      </c>
    </row>
    <row r="439" spans="1:24">
      <c r="A439" s="2" t="s">
        <v>2155</v>
      </c>
      <c r="B439" s="2" t="s">
        <v>2156</v>
      </c>
      <c r="C439" s="2" t="s">
        <v>2157</v>
      </c>
      <c r="D439" s="2" t="s">
        <v>2158</v>
      </c>
      <c r="E439" s="2" t="s">
        <v>107</v>
      </c>
      <c r="F439" s="2" t="s">
        <v>41</v>
      </c>
      <c r="G439" s="2" t="s">
        <v>62</v>
      </c>
      <c r="H439" s="2" t="s">
        <v>242</v>
      </c>
      <c r="I439" s="2" t="s">
        <v>243</v>
      </c>
      <c r="J439" s="2" t="s">
        <v>86</v>
      </c>
      <c r="K439" s="2" t="s">
        <v>87</v>
      </c>
      <c r="L439" s="2" t="s">
        <v>2159</v>
      </c>
      <c r="M439" s="2" t="s">
        <v>48</v>
      </c>
      <c r="N439" s="2">
        <v>8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1298.4000000000001</v>
      </c>
      <c r="T439" s="2" t="s">
        <v>200</v>
      </c>
      <c r="U439" s="2" t="s">
        <v>125</v>
      </c>
      <c r="V439" s="2" t="str">
        <f t="shared" si="18"/>
        <v>ORD-2024-1043815-02-20242024-02-18CUST-5029Aditi SenSmall BusinessSouthKeralaKochiTechnologyAccessoriesMax Accessories 423Same Day8379.820.052886.631588.231298.4FailedReturned</v>
      </c>
      <c r="W439" s="2">
        <f t="shared" si="19"/>
        <v>1</v>
      </c>
      <c r="X439">
        <f t="shared" si="20"/>
        <v>1</v>
      </c>
    </row>
    <row r="440" spans="1:24">
      <c r="A440" s="2" t="s">
        <v>2160</v>
      </c>
      <c r="B440" s="2" t="s">
        <v>1023</v>
      </c>
      <c r="C440" s="2" t="s">
        <v>2161</v>
      </c>
      <c r="D440" s="2" t="s">
        <v>2162</v>
      </c>
      <c r="E440" s="2" t="s">
        <v>93</v>
      </c>
      <c r="F440" s="2" t="s">
        <v>108</v>
      </c>
      <c r="G440" s="2" t="s">
        <v>42</v>
      </c>
      <c r="H440" s="2" t="s">
        <v>311</v>
      </c>
      <c r="I440" s="2" t="s">
        <v>312</v>
      </c>
      <c r="J440" s="2" t="s">
        <v>86</v>
      </c>
      <c r="K440" s="2" t="s">
        <v>223</v>
      </c>
      <c r="L440" s="2" t="s">
        <v>2163</v>
      </c>
      <c r="M440" s="2" t="s">
        <v>67</v>
      </c>
      <c r="N440" s="2">
        <v>1</v>
      </c>
      <c r="O440" s="2">
        <v>2266.4699999999998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34</v>
      </c>
      <c r="U440" s="2" t="s">
        <v>35</v>
      </c>
      <c r="V440" s="2" t="str">
        <f t="shared" si="18"/>
        <v>ORD-2025-1043907 May 202505/05/2025CUST-7252Neha GuptaCorporateEastJharkhandRanchiTechnologyPhonesElite Phones 276Standard Class12266.470.21813.181363.64449.54PaidCompleted</v>
      </c>
      <c r="W440" s="2">
        <f t="shared" si="19"/>
        <v>1</v>
      </c>
      <c r="X440">
        <f t="shared" si="20"/>
        <v>1</v>
      </c>
    </row>
    <row r="441" spans="1:24">
      <c r="A441" s="2" t="s">
        <v>2164</v>
      </c>
      <c r="B441" s="2" t="s">
        <v>2165</v>
      </c>
      <c r="C441" s="2" t="s">
        <v>2166</v>
      </c>
      <c r="D441" s="2" t="s">
        <v>2167</v>
      </c>
      <c r="E441" s="2" t="s">
        <v>162</v>
      </c>
      <c r="F441" s="2" t="s">
        <v>115</v>
      </c>
      <c r="G441" s="2" t="s">
        <v>73</v>
      </c>
      <c r="H441" s="2" t="s">
        <v>249</v>
      </c>
      <c r="I441" s="2" t="s">
        <v>250</v>
      </c>
      <c r="J441" s="2" t="s">
        <v>30</v>
      </c>
      <c r="K441" s="2" t="s">
        <v>156</v>
      </c>
      <c r="L441" s="2" t="s">
        <v>2168</v>
      </c>
      <c r="M441" s="2" t="s">
        <v>48</v>
      </c>
      <c r="N441" s="2">
        <v>5</v>
      </c>
      <c r="O441" s="2">
        <v>665.25</v>
      </c>
      <c r="P441" s="2">
        <v>0</v>
      </c>
      <c r="Q441" s="2">
        <v>3326.25</v>
      </c>
      <c r="R441" s="2">
        <v>2689.36</v>
      </c>
      <c r="S441" s="2">
        <v>636.89</v>
      </c>
      <c r="T441" s="2" t="s">
        <v>124</v>
      </c>
      <c r="U441" s="2" t="s">
        <v>125</v>
      </c>
      <c r="V441" s="2" t="str">
        <f t="shared" si="18"/>
        <v>ORD-2025-1044030-06-202503 Jul 2025CUST-7346Aarav SharmaHome OfficeWestGoaPanajiOffice SuppliesStorageSmart Storage 287Same Day5665.2503326.252689.36636.89RefundedReturned</v>
      </c>
      <c r="W441" s="2">
        <f t="shared" si="19"/>
        <v>1</v>
      </c>
      <c r="X441">
        <f t="shared" si="20"/>
        <v>1</v>
      </c>
    </row>
    <row r="442" spans="1:24">
      <c r="A442" s="2" t="s">
        <v>2169</v>
      </c>
      <c r="B442" s="2" t="s">
        <v>2170</v>
      </c>
      <c r="C442" s="2" t="s">
        <v>2171</v>
      </c>
      <c r="D442" s="2" t="s">
        <v>376</v>
      </c>
      <c r="E442" s="2" t="s">
        <v>83</v>
      </c>
      <c r="F442" s="2" t="s">
        <v>108</v>
      </c>
      <c r="G442" s="2" t="s">
        <v>42</v>
      </c>
      <c r="H442" s="2" t="s">
        <v>43</v>
      </c>
      <c r="I442" s="2" t="s">
        <v>44</v>
      </c>
      <c r="J442" s="2" t="s">
        <v>86</v>
      </c>
      <c r="K442" s="2" t="s">
        <v>382</v>
      </c>
      <c r="L442" s="2" t="s">
        <v>2172</v>
      </c>
      <c r="M442" s="2" t="s">
        <v>33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34</v>
      </c>
      <c r="U442" s="2" t="s">
        <v>35</v>
      </c>
      <c r="V442" s="2" t="str">
        <f t="shared" si="18"/>
        <v>ORD-2024-1044104/02/202404/08/2024CUST-9039Vikram IyerCorporateEastOdishaBhubaneswarTechnologyMachinesBasic Machines 610Second Class63722.840.217869.6312163.85705.83PaidCompleted</v>
      </c>
      <c r="W442" s="2">
        <f t="shared" si="19"/>
        <v>1</v>
      </c>
      <c r="X442">
        <f t="shared" si="20"/>
        <v>1</v>
      </c>
    </row>
    <row r="443" spans="1:24">
      <c r="A443" s="2" t="s">
        <v>2173</v>
      </c>
      <c r="B443" s="2" t="s">
        <v>2174</v>
      </c>
      <c r="C443" s="2" t="s">
        <v>525</v>
      </c>
      <c r="D443" s="2" t="s">
        <v>2175</v>
      </c>
      <c r="E443" s="2" t="s">
        <v>25</v>
      </c>
      <c r="F443" s="2" t="s">
        <v>26</v>
      </c>
      <c r="G443" s="2" t="s">
        <v>42</v>
      </c>
      <c r="H443" s="2" t="s">
        <v>186</v>
      </c>
      <c r="I443" s="2" t="s">
        <v>187</v>
      </c>
      <c r="J443" s="2" t="s">
        <v>45</v>
      </c>
      <c r="K443" s="2" t="s">
        <v>204</v>
      </c>
      <c r="L443" s="2" t="s">
        <v>2176</v>
      </c>
      <c r="M443" s="2" t="s">
        <v>67</v>
      </c>
      <c r="N443" s="2">
        <v>6</v>
      </c>
      <c r="O443" s="2">
        <v>4217.49</v>
      </c>
      <c r="P443" s="2">
        <v>0</v>
      </c>
      <c r="Q443" s="2">
        <v>25304.94</v>
      </c>
      <c r="R443" s="2">
        <v>20771.95</v>
      </c>
      <c r="S443" s="2">
        <v>4532.99</v>
      </c>
      <c r="T443" s="2" t="s">
        <v>34</v>
      </c>
      <c r="U443" s="2" t="s">
        <v>78</v>
      </c>
      <c r="V443" s="2" t="str">
        <f t="shared" si="18"/>
        <v>ORD-2024-1044203-10-20242024-10-03CUST-3975Karan MalhotraConsumerEastBiharPatnaFurnitureBookcasesElite Bookcases 393Standard Class64217.49025304.9420771.954532.99PaidCancelled</v>
      </c>
      <c r="W443" s="2">
        <f t="shared" si="19"/>
        <v>1</v>
      </c>
      <c r="X443">
        <f t="shared" si="20"/>
        <v>1</v>
      </c>
    </row>
    <row r="444" spans="1:24">
      <c r="A444" s="2" t="s">
        <v>2177</v>
      </c>
      <c r="B444" s="2" t="s">
        <v>2178</v>
      </c>
      <c r="C444" s="2" t="s">
        <v>2179</v>
      </c>
      <c r="D444" s="2" t="s">
        <v>2180</v>
      </c>
      <c r="E444" s="2" t="s">
        <v>162</v>
      </c>
      <c r="F444" s="2" t="s">
        <v>26</v>
      </c>
      <c r="G444" s="2" t="s">
        <v>42</v>
      </c>
      <c r="H444" s="2" t="s">
        <v>311</v>
      </c>
      <c r="I444" s="2" t="s">
        <v>312</v>
      </c>
      <c r="J444" s="2" t="s">
        <v>45</v>
      </c>
      <c r="K444" s="2" t="s">
        <v>46</v>
      </c>
      <c r="L444" s="2" t="s">
        <v>2181</v>
      </c>
      <c r="M444" s="2" t="s">
        <v>56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34</v>
      </c>
      <c r="U444" s="2" t="s">
        <v>35</v>
      </c>
      <c r="V444" s="2" t="str">
        <f t="shared" si="18"/>
        <v>ORD-2025-1044312 Jan 20252025-01-19CUST-6588Aarav SharmaConsumerEastJharkhandRanchiFurnitureTablesPrime Tables 242First Class11842.3101842.311019.17823.14PaidCompleted</v>
      </c>
      <c r="W444" s="2">
        <f t="shared" si="19"/>
        <v>1</v>
      </c>
      <c r="X444">
        <f t="shared" si="20"/>
        <v>1</v>
      </c>
    </row>
    <row r="445" spans="1:24">
      <c r="A445" s="2" t="s">
        <v>2182</v>
      </c>
      <c r="B445" s="2" t="s">
        <v>2183</v>
      </c>
      <c r="C445" s="2" t="s">
        <v>1894</v>
      </c>
      <c r="D445" s="2" t="s">
        <v>2184</v>
      </c>
      <c r="E445" s="2" t="s">
        <v>180</v>
      </c>
      <c r="F445" s="2" t="s">
        <v>115</v>
      </c>
      <c r="G445" s="2" t="s">
        <v>42</v>
      </c>
      <c r="H445" s="2" t="s">
        <v>43</v>
      </c>
      <c r="I445" s="2" t="s">
        <v>44</v>
      </c>
      <c r="J445" s="2" t="s">
        <v>45</v>
      </c>
      <c r="K445" s="2" t="s">
        <v>65</v>
      </c>
      <c r="L445" s="2" t="s">
        <v>2185</v>
      </c>
      <c r="M445" s="2" t="s">
        <v>56</v>
      </c>
      <c r="N445" s="2">
        <v>1</v>
      </c>
      <c r="O445" s="2">
        <v>3683.75</v>
      </c>
      <c r="P445" s="2">
        <v>0.1</v>
      </c>
      <c r="Q445" s="2">
        <v>3315.38</v>
      </c>
      <c r="R445" s="2">
        <v>2347.6799999999998</v>
      </c>
      <c r="S445" s="2">
        <v>967.7</v>
      </c>
      <c r="T445" s="2" t="s">
        <v>34</v>
      </c>
      <c r="U445" s="2" t="s">
        <v>35</v>
      </c>
      <c r="V445" s="2" t="str">
        <f t="shared" si="18"/>
        <v>ORD-2024-1044404-04-202407 Apr 2024CUST-2207Rohan MehtaHome OfficeEastOdishaBhubaneswarFurnitureFurnishingsBasic Furnishings 563First Class13683.750.13315.382347.68967.7PaidCompleted</v>
      </c>
      <c r="W445" s="2">
        <f t="shared" si="19"/>
        <v>1</v>
      </c>
      <c r="X445">
        <f t="shared" si="20"/>
        <v>1</v>
      </c>
    </row>
    <row r="446" spans="1:24">
      <c r="A446" s="2" t="s">
        <v>2186</v>
      </c>
      <c r="B446" s="2" t="s">
        <v>2187</v>
      </c>
      <c r="C446" s="2" t="s">
        <v>1859</v>
      </c>
      <c r="D446" s="2" t="s">
        <v>2188</v>
      </c>
      <c r="E446" s="2" t="s">
        <v>72</v>
      </c>
      <c r="F446" s="2" t="s">
        <v>26</v>
      </c>
      <c r="G446" s="2" t="s">
        <v>42</v>
      </c>
      <c r="H446" s="2" t="s">
        <v>216</v>
      </c>
      <c r="I446" s="2" t="s">
        <v>217</v>
      </c>
      <c r="J446" s="2" t="s">
        <v>86</v>
      </c>
      <c r="K446" s="2" t="s">
        <v>87</v>
      </c>
      <c r="L446" s="2" t="s">
        <v>2189</v>
      </c>
      <c r="M446" s="2" t="s">
        <v>48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34</v>
      </c>
      <c r="U446" s="2" t="s">
        <v>35</v>
      </c>
      <c r="V446" s="2" t="str">
        <f t="shared" si="18"/>
        <v>ORD-2025-1044512 Aug 20252025-08-16CUST-4475Ananya RaoConsumerEastAssamGuwahatiTechnologyAccessoriesPrime Accessories 482Same Day92379.240.0520342.512407.517934.99PaidCompleted</v>
      </c>
      <c r="W446" s="2">
        <f t="shared" si="19"/>
        <v>1</v>
      </c>
      <c r="X446">
        <f t="shared" si="20"/>
        <v>1</v>
      </c>
    </row>
    <row r="447" spans="1:24">
      <c r="A447" s="2" t="s">
        <v>2190</v>
      </c>
      <c r="B447" s="2" t="s">
        <v>2191</v>
      </c>
      <c r="C447" s="2" t="s">
        <v>2192</v>
      </c>
      <c r="D447" s="2" t="s">
        <v>2193</v>
      </c>
      <c r="E447" s="2" t="s">
        <v>61</v>
      </c>
      <c r="F447" s="2" t="s">
        <v>26</v>
      </c>
      <c r="G447" s="2" t="s">
        <v>42</v>
      </c>
      <c r="H447" s="2" t="s">
        <v>216</v>
      </c>
      <c r="I447" s="2" t="s">
        <v>217</v>
      </c>
      <c r="J447" s="2" t="s">
        <v>45</v>
      </c>
      <c r="K447" s="2" t="s">
        <v>204</v>
      </c>
      <c r="L447" s="2" t="s">
        <v>2194</v>
      </c>
      <c r="M447" s="2" t="s">
        <v>48</v>
      </c>
      <c r="N447" s="2">
        <v>2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34</v>
      </c>
      <c r="U447" s="2" t="s">
        <v>35</v>
      </c>
      <c r="V447" s="2" t="str">
        <f t="shared" si="18"/>
        <v>ORD-2024-1044605/09/202405-05-2024CUST-1351Arjun BoseConsumerEastAssamGuwahatiFurnitureBookcasesEco Bookcases 215Same Day22111.230.23377.972496.29881.68PaidCompleted</v>
      </c>
      <c r="W447" s="2">
        <f t="shared" si="19"/>
        <v>1</v>
      </c>
      <c r="X447">
        <f t="shared" si="20"/>
        <v>1</v>
      </c>
    </row>
    <row r="448" spans="1:24">
      <c r="A448" s="2" t="s">
        <v>2195</v>
      </c>
      <c r="B448" s="2" t="s">
        <v>2196</v>
      </c>
      <c r="C448" s="2" t="s">
        <v>2197</v>
      </c>
      <c r="D448" s="2" t="s">
        <v>2198</v>
      </c>
      <c r="E448" s="2" t="s">
        <v>168</v>
      </c>
      <c r="F448" s="2" t="s">
        <v>115</v>
      </c>
      <c r="G448" s="2" t="s">
        <v>62</v>
      </c>
      <c r="H448" s="2" t="s">
        <v>100</v>
      </c>
      <c r="I448" s="2" t="s">
        <v>101</v>
      </c>
      <c r="J448" s="2" t="s">
        <v>30</v>
      </c>
      <c r="K448" s="2" t="s">
        <v>156</v>
      </c>
      <c r="L448" s="2" t="s">
        <v>2199</v>
      </c>
      <c r="M448" s="2" t="s">
        <v>48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34</v>
      </c>
      <c r="U448" s="2" t="s">
        <v>35</v>
      </c>
      <c r="V448" s="2" t="str">
        <f t="shared" si="18"/>
        <v>ORD-2025-1044718-09-202519-09-2025CUST-9295Sneha KapoorHome OfficeSouthAndhra PradeshVijayawadaOffice SuppliesStorageEco Storage 793Same Day84242.51033940.0823754.1910185.89PaidCompleted</v>
      </c>
      <c r="W448" s="2">
        <f t="shared" si="19"/>
        <v>1</v>
      </c>
      <c r="X448">
        <f t="shared" si="20"/>
        <v>1</v>
      </c>
    </row>
    <row r="449" spans="1:24">
      <c r="A449" s="2" t="s">
        <v>2200</v>
      </c>
      <c r="B449" s="2" t="s">
        <v>944</v>
      </c>
      <c r="C449" s="2" t="s">
        <v>2201</v>
      </c>
      <c r="D449" s="2" t="s">
        <v>2202</v>
      </c>
      <c r="E449" s="2" t="s">
        <v>180</v>
      </c>
      <c r="F449" s="2" t="s">
        <v>115</v>
      </c>
      <c r="G449" s="2" t="s">
        <v>62</v>
      </c>
      <c r="H449" s="2" t="s">
        <v>63</v>
      </c>
      <c r="I449" s="2" t="s">
        <v>64</v>
      </c>
      <c r="J449" s="2" t="s">
        <v>45</v>
      </c>
      <c r="K449" s="2" t="s">
        <v>204</v>
      </c>
      <c r="L449" s="2" t="s">
        <v>2203</v>
      </c>
      <c r="M449" s="2" t="s">
        <v>67</v>
      </c>
      <c r="N449" s="2">
        <v>6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137</v>
      </c>
      <c r="U449" s="2" t="s">
        <v>125</v>
      </c>
      <c r="V449" s="2" t="str">
        <f t="shared" si="18"/>
        <v>ORD-2025-1044810-08-202510 Aug 2025CUST-3614Rohan MehtaHome OfficeSouthTelanganaHyderabadFurnitureBookcasesBasic Bookcases 182Standard Class64288.70.1521872.3713829.58042.87PendingReturned</v>
      </c>
      <c r="W449" s="2">
        <f t="shared" si="19"/>
        <v>1</v>
      </c>
      <c r="X449">
        <f t="shared" si="20"/>
        <v>1</v>
      </c>
    </row>
    <row r="450" spans="1:24">
      <c r="A450" s="2" t="s">
        <v>2204</v>
      </c>
      <c r="B450" s="2" t="s">
        <v>2205</v>
      </c>
      <c r="C450" s="2" t="s">
        <v>327</v>
      </c>
      <c r="D450" s="2" t="s">
        <v>2206</v>
      </c>
      <c r="E450" s="2" t="s">
        <v>40</v>
      </c>
      <c r="F450" s="2" t="s">
        <v>41</v>
      </c>
      <c r="G450" s="2" t="s">
        <v>62</v>
      </c>
      <c r="H450" s="2" t="s">
        <v>100</v>
      </c>
      <c r="I450" s="2" t="s">
        <v>101</v>
      </c>
      <c r="J450" s="2" t="s">
        <v>45</v>
      </c>
      <c r="K450" s="2" t="s">
        <v>76</v>
      </c>
      <c r="L450" s="2" t="s">
        <v>2207</v>
      </c>
      <c r="M450" s="2" t="s">
        <v>56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34</v>
      </c>
      <c r="U450" s="2" t="s">
        <v>35</v>
      </c>
      <c r="V450" s="2" t="str">
        <f t="shared" si="18"/>
        <v>ORD-2024-1044901/15/202418 Jan 2024CUST-1932Mira DasSmall BusinessSouthAndhra PradeshVijayawadaFurnitureChairsPrime Chairs 631First Class2201.210.15342.06244.5797.49PaidCompleted</v>
      </c>
      <c r="W450" s="2">
        <f t="shared" si="19"/>
        <v>1</v>
      </c>
      <c r="X450">
        <f t="shared" si="20"/>
        <v>1</v>
      </c>
    </row>
    <row r="451" spans="1:24">
      <c r="A451" s="2" t="s">
        <v>2208</v>
      </c>
      <c r="B451" s="2" t="s">
        <v>2209</v>
      </c>
      <c r="C451" s="2" t="s">
        <v>2210</v>
      </c>
      <c r="D451" s="2" t="s">
        <v>2043</v>
      </c>
      <c r="E451" s="2" t="s">
        <v>107</v>
      </c>
      <c r="F451" s="2" t="s">
        <v>108</v>
      </c>
      <c r="G451" s="2" t="s">
        <v>42</v>
      </c>
      <c r="H451" s="2" t="s">
        <v>216</v>
      </c>
      <c r="I451" s="2" t="s">
        <v>217</v>
      </c>
      <c r="J451" s="2" t="s">
        <v>86</v>
      </c>
      <c r="K451" s="2" t="s">
        <v>382</v>
      </c>
      <c r="L451" s="2" t="s">
        <v>2211</v>
      </c>
      <c r="M451" s="2" t="s">
        <v>33</v>
      </c>
      <c r="N451" s="2">
        <v>6</v>
      </c>
      <c r="O451" s="2">
        <v>3270.36</v>
      </c>
      <c r="P451" s="2">
        <v>0</v>
      </c>
      <c r="Q451" s="2">
        <v>19622.16</v>
      </c>
      <c r="R451" s="2">
        <v>14271.27</v>
      </c>
      <c r="S451" s="2">
        <v>5350.89</v>
      </c>
      <c r="T451" s="2" t="s">
        <v>34</v>
      </c>
      <c r="U451" s="2" t="s">
        <v>35</v>
      </c>
      <c r="V451" s="2" t="str">
        <f t="shared" ref="V451:V514" si="21">_xlfn.CONCAT(A451:U451)</f>
        <v>ORD-2024-1045006-06-202413 Jun 2024CUST-5094Aditi SenCorporateEastAssamGuwahatiTechnologyMachinesBasic Machines 808Second Class63270.36019622.1614271.275350.89PaidCompleted</v>
      </c>
      <c r="W451" s="2">
        <f t="shared" ref="W451:W514" si="22">COUNTIF($V$2:$V$933,V451)</f>
        <v>1</v>
      </c>
      <c r="X451">
        <f t="shared" ref="X451:X514" si="23">COUNTIF($A$2:$A$933,A451)</f>
        <v>1</v>
      </c>
    </row>
    <row r="452" spans="1:24">
      <c r="A452" s="2" t="s">
        <v>2212</v>
      </c>
      <c r="B452" s="2" t="s">
        <v>2213</v>
      </c>
      <c r="C452" s="2" t="s">
        <v>1577</v>
      </c>
      <c r="D452" s="2" t="s">
        <v>2214</v>
      </c>
      <c r="E452" s="2" t="s">
        <v>72</v>
      </c>
      <c r="F452" s="2" t="s">
        <v>108</v>
      </c>
      <c r="G452" s="2" t="s">
        <v>27</v>
      </c>
      <c r="H452" s="2" t="s">
        <v>506</v>
      </c>
      <c r="I452" s="2" t="s">
        <v>507</v>
      </c>
      <c r="J452" s="2" t="s">
        <v>45</v>
      </c>
      <c r="K452" s="2" t="s">
        <v>76</v>
      </c>
      <c r="L452" s="2" t="s">
        <v>2215</v>
      </c>
      <c r="M452" s="2" t="s">
        <v>67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34</v>
      </c>
      <c r="U452" s="2" t="s">
        <v>35</v>
      </c>
      <c r="V452" s="2" t="str">
        <f t="shared" si="21"/>
        <v>ORD-2025-1045106/12/20252025-06-19CUST-8672Ananya RaoCorporateNorthDelhiNew DelhiFurnitureChairsPro Chairs 302Standard Class92278.570.2515380.359907.375472.98PaidCompleted</v>
      </c>
      <c r="W452" s="2">
        <f t="shared" si="22"/>
        <v>1</v>
      </c>
      <c r="X452">
        <f t="shared" si="23"/>
        <v>1</v>
      </c>
    </row>
    <row r="453" spans="1:24">
      <c r="A453" s="2" t="s">
        <v>2216</v>
      </c>
      <c r="B453" s="2" t="s">
        <v>2217</v>
      </c>
      <c r="C453" s="2" t="s">
        <v>2218</v>
      </c>
      <c r="D453" s="2" t="s">
        <v>2219</v>
      </c>
      <c r="E453" s="2" t="s">
        <v>180</v>
      </c>
      <c r="F453" s="2" t="s">
        <v>41</v>
      </c>
      <c r="G453" s="2" t="s">
        <v>27</v>
      </c>
      <c r="H453" s="2" t="s">
        <v>323</v>
      </c>
      <c r="I453" s="2" t="s">
        <v>324</v>
      </c>
      <c r="J453" s="2" t="s">
        <v>30</v>
      </c>
      <c r="K453" s="2" t="s">
        <v>31</v>
      </c>
      <c r="L453" s="2" t="s">
        <v>2220</v>
      </c>
      <c r="M453" s="2" t="s">
        <v>33</v>
      </c>
      <c r="N453" s="2">
        <v>8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34</v>
      </c>
      <c r="U453" s="2" t="s">
        <v>78</v>
      </c>
      <c r="V453" s="2" t="str">
        <f t="shared" si="21"/>
        <v>ORD-2024-1045224-03-202426-03-2024CUST-3907Rohan MehtaSmall BusinessNorthHaryanaGurugramOffice SuppliesPaperClassic Paper 272Second Class81917.640.1513039.9511127.821912.13PaidCancelled</v>
      </c>
      <c r="W453" s="2">
        <f t="shared" si="22"/>
        <v>1</v>
      </c>
      <c r="X453">
        <f t="shared" si="23"/>
        <v>1</v>
      </c>
    </row>
    <row r="454" spans="1:24">
      <c r="A454" s="2" t="s">
        <v>2221</v>
      </c>
      <c r="B454" s="2" t="s">
        <v>2222</v>
      </c>
      <c r="C454" s="2" t="s">
        <v>1375</v>
      </c>
      <c r="D454" s="2" t="s">
        <v>2223</v>
      </c>
      <c r="E454" s="2" t="s">
        <v>210</v>
      </c>
      <c r="F454" s="2" t="s">
        <v>115</v>
      </c>
      <c r="G454" s="2" t="s">
        <v>42</v>
      </c>
      <c r="H454" s="2" t="s">
        <v>311</v>
      </c>
      <c r="I454" s="2" t="s">
        <v>312</v>
      </c>
      <c r="J454" s="2" t="s">
        <v>86</v>
      </c>
      <c r="K454" s="2" t="s">
        <v>87</v>
      </c>
      <c r="L454" s="2" t="s">
        <v>2224</v>
      </c>
      <c r="M454" s="2" t="s">
        <v>33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34</v>
      </c>
      <c r="U454" s="2" t="s">
        <v>35</v>
      </c>
      <c r="V454" s="2" t="str">
        <f t="shared" si="21"/>
        <v>ORD-2024-1045310-05-202416-05-2024CUST-8796Diya PatelHome OfficeEastJharkhandRanchiTechnologyAccessoriesSmart Accessories 149Second Class62013.330.29663.985628.934035.05PaidCompleted</v>
      </c>
      <c r="W454" s="2">
        <f t="shared" si="22"/>
        <v>1</v>
      </c>
      <c r="X454">
        <f t="shared" si="23"/>
        <v>1</v>
      </c>
    </row>
    <row r="455" spans="1:24">
      <c r="A455" s="2" t="s">
        <v>2225</v>
      </c>
      <c r="B455" s="2" t="s">
        <v>2226</v>
      </c>
      <c r="C455" s="2" t="s">
        <v>2227</v>
      </c>
      <c r="D455" s="2" t="s">
        <v>2228</v>
      </c>
      <c r="E455" s="2" t="s">
        <v>180</v>
      </c>
      <c r="F455" s="2" t="s">
        <v>41</v>
      </c>
      <c r="G455" s="2" t="s">
        <v>73</v>
      </c>
      <c r="H455" s="2" t="s">
        <v>84</v>
      </c>
      <c r="I455" s="2" t="s">
        <v>85</v>
      </c>
      <c r="J455" s="2" t="s">
        <v>30</v>
      </c>
      <c r="K455" s="2" t="s">
        <v>109</v>
      </c>
      <c r="L455" s="2" t="s">
        <v>2229</v>
      </c>
      <c r="M455" s="2" t="s">
        <v>48</v>
      </c>
      <c r="N455" s="2">
        <v>5</v>
      </c>
      <c r="O455" s="2">
        <v>1483.52</v>
      </c>
      <c r="P455" s="2">
        <v>0</v>
      </c>
      <c r="Q455" s="2">
        <v>7417.6</v>
      </c>
      <c r="R455" s="2">
        <v>4955.8599999999997</v>
      </c>
      <c r="S455" s="2">
        <v>2461.7399999999998</v>
      </c>
      <c r="T455" s="2" t="s">
        <v>34</v>
      </c>
      <c r="U455" s="2" t="s">
        <v>35</v>
      </c>
      <c r="V455" s="2" t="str">
        <f t="shared" si="21"/>
        <v>ORD-2025-1045405/03/20252025-05-11CUST-2317Rohan MehtaSmall BusinessWestMadhya PradeshIndoreOffice SuppliesLabelsElite Labels 322Same Day51483.5207417.64955.862461.74PaidCompleted</v>
      </c>
      <c r="W455" s="2">
        <f t="shared" si="22"/>
        <v>1</v>
      </c>
      <c r="X455">
        <f t="shared" si="23"/>
        <v>1</v>
      </c>
    </row>
    <row r="456" spans="1:24">
      <c r="A456" s="2" t="s">
        <v>2230</v>
      </c>
      <c r="B456" s="2" t="s">
        <v>2231</v>
      </c>
      <c r="C456" s="2" t="s">
        <v>2232</v>
      </c>
      <c r="D456" s="2" t="s">
        <v>2233</v>
      </c>
      <c r="E456" s="2" t="s">
        <v>83</v>
      </c>
      <c r="F456" s="2" t="s">
        <v>41</v>
      </c>
      <c r="G456" s="2" t="s">
        <v>27</v>
      </c>
      <c r="H456" s="2" t="s">
        <v>28</v>
      </c>
      <c r="I456" s="2" t="s">
        <v>29</v>
      </c>
      <c r="J456" s="2" t="s">
        <v>45</v>
      </c>
      <c r="K456" s="2" t="s">
        <v>65</v>
      </c>
      <c r="L456" s="2" t="s">
        <v>2234</v>
      </c>
      <c r="M456" s="2" t="s">
        <v>67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34</v>
      </c>
      <c r="U456" s="2" t="s">
        <v>35</v>
      </c>
      <c r="V456" s="2" t="str">
        <f t="shared" si="21"/>
        <v>ORD-2025-104552025-03-2328-03-2025CUST-8643Vikram IyerSmall BusinessNorthRajasthanJaipurFurnitureFurnishingsMax Furnishings 821Standard Class932980.1525229.720170.435059.27PaidCompleted</v>
      </c>
      <c r="W456" s="2">
        <f t="shared" si="22"/>
        <v>1</v>
      </c>
      <c r="X456">
        <f t="shared" si="23"/>
        <v>1</v>
      </c>
    </row>
    <row r="457" spans="1:24">
      <c r="A457" s="2" t="s">
        <v>2235</v>
      </c>
      <c r="B457" s="2" t="s">
        <v>2236</v>
      </c>
      <c r="C457" s="2" t="s">
        <v>2237</v>
      </c>
      <c r="D457" s="2" t="s">
        <v>2238</v>
      </c>
      <c r="E457" s="2" t="s">
        <v>93</v>
      </c>
      <c r="F457" s="2" t="s">
        <v>41</v>
      </c>
      <c r="G457" s="2" t="s">
        <v>62</v>
      </c>
      <c r="H457" s="2" t="s">
        <v>63</v>
      </c>
      <c r="I457" s="2" t="s">
        <v>64</v>
      </c>
      <c r="J457" s="2" t="s">
        <v>30</v>
      </c>
      <c r="K457" s="2" t="s">
        <v>54</v>
      </c>
      <c r="L457" s="2" t="s">
        <v>2239</v>
      </c>
      <c r="M457" s="2" t="s">
        <v>67</v>
      </c>
      <c r="N457" s="2">
        <v>4</v>
      </c>
      <c r="O457" s="2">
        <v>808.77</v>
      </c>
      <c r="P457" s="2">
        <v>0</v>
      </c>
      <c r="Q457" s="2">
        <v>3235.08</v>
      </c>
      <c r="R457" s="2">
        <v>1848.6</v>
      </c>
      <c r="S457" s="2">
        <v>1386.48</v>
      </c>
      <c r="T457" s="2" t="s">
        <v>34</v>
      </c>
      <c r="U457" s="2" t="s">
        <v>35</v>
      </c>
      <c r="V457" s="2" t="str">
        <f t="shared" si="21"/>
        <v>ORD-2024-1045618 Jul 202422-07-2024CUST-1800Neha GuptaSmall BusinessSouthTelanganaHyderabadOffice SuppliesArtBasic Art 556Standard Class4808.7703235.081848.61386.48PaidCompleted</v>
      </c>
      <c r="W457" s="2">
        <f t="shared" si="22"/>
        <v>1</v>
      </c>
      <c r="X457">
        <f t="shared" si="23"/>
        <v>1</v>
      </c>
    </row>
    <row r="458" spans="1:24">
      <c r="A458" s="2" t="s">
        <v>2240</v>
      </c>
      <c r="B458" s="2" t="s">
        <v>2088</v>
      </c>
      <c r="C458" s="2" t="s">
        <v>2088</v>
      </c>
      <c r="D458" s="2" t="s">
        <v>2241</v>
      </c>
      <c r="E458" s="2" t="s">
        <v>93</v>
      </c>
      <c r="F458" s="2" t="s">
        <v>108</v>
      </c>
      <c r="G458" s="2" t="s">
        <v>27</v>
      </c>
      <c r="H458" s="2" t="s">
        <v>174</v>
      </c>
      <c r="I458" s="2" t="s">
        <v>175</v>
      </c>
      <c r="J458" s="2" t="s">
        <v>86</v>
      </c>
      <c r="K458" s="2" t="s">
        <v>87</v>
      </c>
      <c r="L458" s="2" t="s">
        <v>2242</v>
      </c>
      <c r="M458" s="2" t="s">
        <v>48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34</v>
      </c>
      <c r="U458" s="2" t="s">
        <v>125</v>
      </c>
      <c r="V458" s="2" t="str">
        <f t="shared" si="21"/>
        <v>ORD-2024-104572024-02-202024-02-20CUST-7688Neha GuptaCorporateNorthUttar PradeshNoidaTechnologyAccessoriesSmart Accessories 265Same Day52604.910.1511070.876623.614447.26PaidReturned</v>
      </c>
      <c r="W458" s="2">
        <f t="shared" si="22"/>
        <v>1</v>
      </c>
      <c r="X458">
        <f t="shared" si="23"/>
        <v>1</v>
      </c>
    </row>
    <row r="459" spans="1:24">
      <c r="A459" s="2" t="s">
        <v>2243</v>
      </c>
      <c r="B459" s="2" t="s">
        <v>2244</v>
      </c>
      <c r="C459" s="2" t="s">
        <v>2245</v>
      </c>
      <c r="D459" s="2" t="s">
        <v>2246</v>
      </c>
      <c r="E459" s="2" t="s">
        <v>40</v>
      </c>
      <c r="F459" s="2" t="s">
        <v>41</v>
      </c>
      <c r="G459" s="2" t="s">
        <v>73</v>
      </c>
      <c r="H459" s="2" t="s">
        <v>249</v>
      </c>
      <c r="I459" s="2" t="s">
        <v>250</v>
      </c>
      <c r="J459" s="2" t="s">
        <v>45</v>
      </c>
      <c r="K459" s="2" t="s">
        <v>46</v>
      </c>
      <c r="L459" s="2" t="s">
        <v>2247</v>
      </c>
      <c r="M459" s="2" t="s">
        <v>67</v>
      </c>
      <c r="N459" s="2">
        <v>7</v>
      </c>
      <c r="O459" s="2">
        <v>2851.51</v>
      </c>
      <c r="P459" s="2">
        <v>0</v>
      </c>
      <c r="Q459" s="2">
        <v>19960.57</v>
      </c>
      <c r="R459" s="2">
        <v>16603.599999999999</v>
      </c>
      <c r="S459" s="2">
        <v>3356.97</v>
      </c>
      <c r="T459" s="2" t="s">
        <v>34</v>
      </c>
      <c r="U459" s="2" t="s">
        <v>35</v>
      </c>
      <c r="V459" s="2" t="str">
        <f t="shared" si="21"/>
        <v>ORD-2024-1045805/04/20242024-05-04CUST-4957Mira DasSmall BusinessWestGoaPanajiFurnitureTablesElite Tables 418Standard Class72851.51019960.5716603.63356.97PaidCompleted</v>
      </c>
      <c r="W459" s="2">
        <f t="shared" si="22"/>
        <v>1</v>
      </c>
      <c r="X459">
        <f t="shared" si="23"/>
        <v>1</v>
      </c>
    </row>
    <row r="460" spans="1:24">
      <c r="A460" s="2" t="s">
        <v>2248</v>
      </c>
      <c r="B460" s="2" t="s">
        <v>2249</v>
      </c>
      <c r="C460" s="2" t="s">
        <v>860</v>
      </c>
      <c r="D460" s="2" t="s">
        <v>2250</v>
      </c>
      <c r="E460" s="2" t="s">
        <v>25</v>
      </c>
      <c r="F460" s="2" t="s">
        <v>108</v>
      </c>
      <c r="G460" s="2" t="s">
        <v>27</v>
      </c>
      <c r="H460" s="2" t="s">
        <v>28</v>
      </c>
      <c r="I460" s="2" t="s">
        <v>29</v>
      </c>
      <c r="J460" s="2" t="s">
        <v>86</v>
      </c>
      <c r="K460" s="2" t="s">
        <v>223</v>
      </c>
      <c r="L460" s="2" t="s">
        <v>2251</v>
      </c>
      <c r="M460" s="2" t="s">
        <v>33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34</v>
      </c>
      <c r="U460" s="2" t="s">
        <v>35</v>
      </c>
      <c r="V460" s="2" t="str">
        <f t="shared" si="21"/>
        <v>ORD-2024-104592024-02-1002/11/2024CUST-1263Karan MalhotraCorporateNorthRajasthanJaipurTechnologyPhonesPro Phones 907Second Class33183.720.18596.045378.163217.88PaidCompleted</v>
      </c>
      <c r="W460" s="2">
        <f t="shared" si="22"/>
        <v>1</v>
      </c>
      <c r="X460">
        <f t="shared" si="23"/>
        <v>1</v>
      </c>
    </row>
    <row r="461" spans="1:24">
      <c r="A461" s="2" t="s">
        <v>2252</v>
      </c>
      <c r="B461" s="2" t="s">
        <v>2253</v>
      </c>
      <c r="C461" s="2" t="s">
        <v>2183</v>
      </c>
      <c r="D461" s="2" t="s">
        <v>2254</v>
      </c>
      <c r="E461" s="2" t="s">
        <v>72</v>
      </c>
      <c r="F461" s="2" t="s">
        <v>115</v>
      </c>
      <c r="G461" s="2" t="s">
        <v>73</v>
      </c>
      <c r="H461" s="2" t="s">
        <v>249</v>
      </c>
      <c r="I461" s="2" t="s">
        <v>250</v>
      </c>
      <c r="J461" s="2" t="s">
        <v>30</v>
      </c>
      <c r="K461" s="2" t="s">
        <v>31</v>
      </c>
      <c r="L461" s="2" t="s">
        <v>2255</v>
      </c>
      <c r="M461" s="2" t="s">
        <v>56</v>
      </c>
      <c r="N461" s="2">
        <v>3</v>
      </c>
      <c r="O461" s="2">
        <v>1150.92</v>
      </c>
      <c r="P461" s="2">
        <v>0</v>
      </c>
      <c r="Q461" s="2">
        <v>3452.76</v>
      </c>
      <c r="R461" s="2">
        <v>2077.96</v>
      </c>
      <c r="S461" s="2">
        <v>1374.8</v>
      </c>
      <c r="T461" s="2" t="s">
        <v>34</v>
      </c>
      <c r="U461" s="2" t="s">
        <v>35</v>
      </c>
      <c r="V461" s="2" t="str">
        <f t="shared" si="21"/>
        <v>ORD-2024-1046003/28/202404-04-2024CUST-4745Ananya RaoHome OfficeWestGoaPanajiOffice SuppliesPaperBasic Paper 233First Class31150.9203452.762077.961374.8PaidCompleted</v>
      </c>
      <c r="W461" s="2">
        <f t="shared" si="22"/>
        <v>1</v>
      </c>
      <c r="X461">
        <f t="shared" si="23"/>
        <v>1</v>
      </c>
    </row>
    <row r="462" spans="1:24">
      <c r="A462" s="2" t="s">
        <v>2256</v>
      </c>
      <c r="B462" s="2" t="s">
        <v>2257</v>
      </c>
      <c r="C462" s="2" t="s">
        <v>2258</v>
      </c>
      <c r="D462" s="2" t="s">
        <v>2259</v>
      </c>
      <c r="E462" s="2" t="s">
        <v>162</v>
      </c>
      <c r="F462" s="2" t="s">
        <v>108</v>
      </c>
      <c r="H462" s="2" t="s">
        <v>28</v>
      </c>
      <c r="I462" s="2" t="s">
        <v>29</v>
      </c>
      <c r="J462" s="2" t="s">
        <v>86</v>
      </c>
      <c r="K462" s="2" t="s">
        <v>94</v>
      </c>
      <c r="L462" s="2" t="s">
        <v>2260</v>
      </c>
      <c r="M462" s="2" t="s">
        <v>33</v>
      </c>
      <c r="N462" s="2">
        <v>9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4232.8999999999996</v>
      </c>
      <c r="T462" s="2" t="s">
        <v>34</v>
      </c>
      <c r="U462" s="2" t="s">
        <v>35</v>
      </c>
      <c r="V462" s="2" t="str">
        <f t="shared" si="21"/>
        <v>ORD-2025-1046130 Sep 202506 Oct 2025CUST-5551Aarav SharmaCorporateRajasthanJaipurTechnologyCopiersEco Copiers 603Second Class91359.880.0511626.977394.074232.9PaidCompleted</v>
      </c>
      <c r="W462" s="2">
        <f t="shared" si="22"/>
        <v>1</v>
      </c>
      <c r="X462">
        <f t="shared" si="23"/>
        <v>1</v>
      </c>
    </row>
    <row r="463" spans="1:24">
      <c r="A463" s="2" t="s">
        <v>2261</v>
      </c>
      <c r="B463" s="2" t="s">
        <v>2262</v>
      </c>
      <c r="C463" s="2" t="s">
        <v>1522</v>
      </c>
      <c r="D463" s="2" t="s">
        <v>2263</v>
      </c>
      <c r="E463" s="2" t="s">
        <v>93</v>
      </c>
      <c r="F463" s="2" t="s">
        <v>108</v>
      </c>
      <c r="G463" s="2" t="s">
        <v>62</v>
      </c>
      <c r="H463" s="2" t="s">
        <v>100</v>
      </c>
      <c r="I463" s="2" t="s">
        <v>101</v>
      </c>
      <c r="J463" s="2" t="s">
        <v>30</v>
      </c>
      <c r="K463" s="2" t="s">
        <v>31</v>
      </c>
      <c r="L463" s="2" t="s">
        <v>2264</v>
      </c>
      <c r="M463" s="2" t="s">
        <v>67</v>
      </c>
      <c r="N463" s="2">
        <v>3</v>
      </c>
      <c r="O463" s="2">
        <v>3378.15</v>
      </c>
      <c r="P463" s="2">
        <v>0.15</v>
      </c>
      <c r="Q463" s="2">
        <v>8614.2800000000007</v>
      </c>
      <c r="R463" s="2">
        <v>7052.08</v>
      </c>
      <c r="S463" s="2">
        <v>1562.2</v>
      </c>
      <c r="T463" s="2" t="s">
        <v>34</v>
      </c>
      <c r="U463" s="2" t="s">
        <v>35</v>
      </c>
      <c r="V463" s="2" t="str">
        <f t="shared" si="21"/>
        <v>ORD-2025-1046205/25/202505/26/2025CUST-3659Neha GuptaCorporateSouthAndhra PradeshVijayawadaOffice SuppliesPaperMax Paper 700Standard Class33378.150.158614.287052.081562.2PaidCompleted</v>
      </c>
      <c r="W463" s="2">
        <f t="shared" si="22"/>
        <v>1</v>
      </c>
      <c r="X463">
        <f t="shared" si="23"/>
        <v>1</v>
      </c>
    </row>
    <row r="464" spans="1:24">
      <c r="A464" s="2" t="s">
        <v>2265</v>
      </c>
      <c r="B464" s="2" t="s">
        <v>2008</v>
      </c>
      <c r="C464" s="2" t="s">
        <v>2266</v>
      </c>
      <c r="D464" s="2" t="s">
        <v>2267</v>
      </c>
      <c r="E464" s="2" t="s">
        <v>162</v>
      </c>
      <c r="F464" s="2" t="s">
        <v>115</v>
      </c>
      <c r="G464" s="2" t="s">
        <v>27</v>
      </c>
      <c r="H464" s="2" t="s">
        <v>506</v>
      </c>
      <c r="I464" s="2" t="s">
        <v>507</v>
      </c>
      <c r="J464" s="2" t="s">
        <v>30</v>
      </c>
      <c r="K464" s="2" t="s">
        <v>198</v>
      </c>
      <c r="L464" s="2" t="s">
        <v>2268</v>
      </c>
      <c r="M464" s="2" t="s">
        <v>56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34</v>
      </c>
      <c r="U464" s="2" t="s">
        <v>35</v>
      </c>
      <c r="V464" s="2" t="str">
        <f t="shared" si="21"/>
        <v>ORD-2024-1046309/23/202425-09-2024CUST-6594Aarav SharmaHome OfficeNorthDelhiNew DelhiOffice SuppliesBindersPro Binders 404First Class21275.140.22040.221395.71644.51PaidCompleted</v>
      </c>
      <c r="W464" s="2">
        <f t="shared" si="22"/>
        <v>1</v>
      </c>
      <c r="X464">
        <f t="shared" si="23"/>
        <v>1</v>
      </c>
    </row>
    <row r="465" spans="1:24">
      <c r="A465" s="2" t="s">
        <v>2269</v>
      </c>
      <c r="B465" s="2" t="s">
        <v>441</v>
      </c>
      <c r="C465" s="2" t="s">
        <v>2270</v>
      </c>
      <c r="D465" s="2" t="s">
        <v>2271</v>
      </c>
      <c r="E465" s="2" t="s">
        <v>61</v>
      </c>
      <c r="F465" s="2" t="s">
        <v>108</v>
      </c>
      <c r="G465" s="2" t="s">
        <v>73</v>
      </c>
      <c r="H465" s="2" t="s">
        <v>84</v>
      </c>
      <c r="I465" s="2" t="s">
        <v>85</v>
      </c>
      <c r="J465" s="2" t="s">
        <v>86</v>
      </c>
      <c r="K465" s="2" t="s">
        <v>223</v>
      </c>
      <c r="L465" s="2" t="s">
        <v>2272</v>
      </c>
      <c r="M465" s="2" t="s">
        <v>67</v>
      </c>
      <c r="N465" s="2">
        <v>4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34</v>
      </c>
      <c r="U465" s="2" t="s">
        <v>35</v>
      </c>
      <c r="V465" s="2" t="str">
        <f t="shared" si="21"/>
        <v>ORD-2025-1046407-02-20252025-02-08CUST-2626Arjun BoseCorporateWestMadhya PradeshIndoreTechnologyPhonesEco Phones 208Standard Class4889.50.22846.42132.37714.03PaidCompleted</v>
      </c>
      <c r="W465" s="2">
        <f t="shared" si="22"/>
        <v>1</v>
      </c>
      <c r="X465">
        <f t="shared" si="23"/>
        <v>1</v>
      </c>
    </row>
    <row r="466" spans="1:24">
      <c r="A466" s="2" t="s">
        <v>2273</v>
      </c>
      <c r="B466" s="2" t="s">
        <v>2274</v>
      </c>
      <c r="C466" s="2" t="s">
        <v>2275</v>
      </c>
      <c r="D466" s="2" t="s">
        <v>2276</v>
      </c>
      <c r="E466" s="2" t="s">
        <v>61</v>
      </c>
      <c r="F466" s="2" t="s">
        <v>108</v>
      </c>
      <c r="G466" s="2" t="s">
        <v>42</v>
      </c>
      <c r="H466" s="2" t="s">
        <v>186</v>
      </c>
      <c r="I466" s="2" t="s">
        <v>187</v>
      </c>
      <c r="J466" s="2" t="s">
        <v>30</v>
      </c>
      <c r="K466" s="2" t="s">
        <v>31</v>
      </c>
      <c r="L466" s="2" t="s">
        <v>2277</v>
      </c>
      <c r="M466" s="2" t="s">
        <v>48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137</v>
      </c>
      <c r="U466" s="2" t="s">
        <v>78</v>
      </c>
      <c r="V466" s="2" t="str">
        <f t="shared" si="21"/>
        <v>ORD-2025-1046511-03-202503/15/2025CUST-7362Arjun BoseCorporateEastBiharPatnaOffice SuppliesPaperElite Paper 106Same Day33625.080.0510331.487131.913199.57PendingCancelled</v>
      </c>
      <c r="W466" s="2">
        <f t="shared" si="22"/>
        <v>1</v>
      </c>
      <c r="X466">
        <f t="shared" si="23"/>
        <v>1</v>
      </c>
    </row>
    <row r="467" spans="1:24">
      <c r="A467" s="2" t="s">
        <v>2278</v>
      </c>
      <c r="B467" s="2" t="s">
        <v>2279</v>
      </c>
      <c r="C467" s="2" t="s">
        <v>2280</v>
      </c>
      <c r="D467" s="2" t="s">
        <v>2281</v>
      </c>
      <c r="E467" s="2" t="s">
        <v>162</v>
      </c>
      <c r="F467" s="2" t="s">
        <v>41</v>
      </c>
      <c r="G467" s="2" t="s">
        <v>73</v>
      </c>
      <c r="H467" s="2" t="s">
        <v>84</v>
      </c>
      <c r="I467" s="2" t="s">
        <v>85</v>
      </c>
      <c r="J467" s="2" t="s">
        <v>30</v>
      </c>
      <c r="K467" s="2" t="s">
        <v>109</v>
      </c>
      <c r="L467" s="2" t="s">
        <v>2282</v>
      </c>
      <c r="M467" s="2" t="s">
        <v>67</v>
      </c>
      <c r="N467" s="2">
        <v>2</v>
      </c>
      <c r="O467" s="2">
        <v>1258.9000000000001</v>
      </c>
      <c r="P467" s="2">
        <v>0</v>
      </c>
      <c r="Q467" s="2">
        <v>2517.8000000000002</v>
      </c>
      <c r="R467" s="2">
        <v>1478.54</v>
      </c>
      <c r="S467" s="2">
        <v>1039.26</v>
      </c>
      <c r="T467" s="2" t="s">
        <v>34</v>
      </c>
      <c r="U467" s="2" t="s">
        <v>35</v>
      </c>
      <c r="V467" s="2" t="str">
        <f t="shared" si="21"/>
        <v>ORD-2024-1046629-01-20242024-02-06CUST-1748Aarav SharmaSmall BusinessWestMadhya PradeshIndoreOffice SuppliesLabelsEco Labels 914Standard Class21258.902517.81478.541039.26PaidCompleted</v>
      </c>
      <c r="W467" s="2">
        <f t="shared" si="22"/>
        <v>1</v>
      </c>
      <c r="X467">
        <f t="shared" si="23"/>
        <v>1</v>
      </c>
    </row>
    <row r="468" spans="1:24">
      <c r="A468" s="2" t="s">
        <v>2283</v>
      </c>
      <c r="B468" s="2" t="s">
        <v>2284</v>
      </c>
      <c r="C468" s="2" t="s">
        <v>2285</v>
      </c>
      <c r="D468" s="2" t="s">
        <v>2286</v>
      </c>
      <c r="E468" s="2" t="s">
        <v>40</v>
      </c>
      <c r="F468" s="2" t="s">
        <v>41</v>
      </c>
      <c r="G468" s="2" t="s">
        <v>42</v>
      </c>
      <c r="H468" s="2" t="s">
        <v>186</v>
      </c>
      <c r="I468" s="2" t="s">
        <v>187</v>
      </c>
      <c r="J468" s="2" t="s">
        <v>86</v>
      </c>
      <c r="K468" s="2" t="s">
        <v>87</v>
      </c>
      <c r="L468" s="2" t="s">
        <v>2287</v>
      </c>
      <c r="M468" s="2" t="s">
        <v>48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34</v>
      </c>
      <c r="U468" s="2" t="s">
        <v>35</v>
      </c>
      <c r="V468" s="2" t="str">
        <f t="shared" si="21"/>
        <v>ORD-2024-1046704-01-202401/08/2024CUST-2725Mira DasSmall BusinessEastBiharPatnaTechnologyAccessoriesMax Accessories 486Same Day91591.960.211462.117105.484356.63PaidCompleted</v>
      </c>
      <c r="W468" s="2">
        <f t="shared" si="22"/>
        <v>1</v>
      </c>
      <c r="X468">
        <f t="shared" si="23"/>
        <v>1</v>
      </c>
    </row>
    <row r="469" spans="1:24">
      <c r="A469" s="2" t="s">
        <v>2288</v>
      </c>
      <c r="B469" s="2" t="s">
        <v>2289</v>
      </c>
      <c r="C469" s="2" t="s">
        <v>1626</v>
      </c>
      <c r="D469" s="2" t="s">
        <v>2290</v>
      </c>
      <c r="E469" s="2" t="s">
        <v>107</v>
      </c>
      <c r="F469" s="2" t="s">
        <v>108</v>
      </c>
      <c r="G469" s="2" t="s">
        <v>42</v>
      </c>
      <c r="H469" s="2" t="s">
        <v>43</v>
      </c>
      <c r="I469" s="2" t="s">
        <v>44</v>
      </c>
      <c r="J469" s="2" t="s">
        <v>86</v>
      </c>
      <c r="K469" s="2" t="s">
        <v>94</v>
      </c>
      <c r="L469" s="2" t="s">
        <v>2291</v>
      </c>
      <c r="M469" s="2" t="s">
        <v>56</v>
      </c>
      <c r="N469" s="2">
        <v>5</v>
      </c>
      <c r="O469" s="2">
        <v>4288.33</v>
      </c>
      <c r="P469" s="2">
        <v>0.1</v>
      </c>
      <c r="Q469" s="2">
        <v>19297.490000000002</v>
      </c>
      <c r="R469" s="2">
        <v>15451.66</v>
      </c>
      <c r="S469" s="2">
        <v>3845.83</v>
      </c>
      <c r="T469" s="2" t="s">
        <v>124</v>
      </c>
      <c r="U469" s="2" t="s">
        <v>78</v>
      </c>
      <c r="V469" s="2" t="str">
        <f t="shared" si="21"/>
        <v>ORD-2024-1046820-08-202421 Aug 2024CUST-9470Aditi SenCorporateEastOdishaBhubaneswarTechnologyCopiersMax Copiers 867First Class54288.330.119297.4915451.663845.83RefundedCancelled</v>
      </c>
      <c r="W469" s="2">
        <f t="shared" si="22"/>
        <v>1</v>
      </c>
      <c r="X469">
        <f t="shared" si="23"/>
        <v>1</v>
      </c>
    </row>
    <row r="470" spans="1:24">
      <c r="A470" s="2" t="s">
        <v>2292</v>
      </c>
      <c r="B470" s="2" t="s">
        <v>2293</v>
      </c>
      <c r="C470" s="2" t="s">
        <v>2294</v>
      </c>
      <c r="D470" s="2" t="s">
        <v>2295</v>
      </c>
      <c r="E470" s="2" t="s">
        <v>162</v>
      </c>
      <c r="F470" s="2" t="s">
        <v>115</v>
      </c>
      <c r="G470" s="2" t="s">
        <v>42</v>
      </c>
      <c r="H470" s="2" t="s">
        <v>121</v>
      </c>
      <c r="I470" s="2" t="s">
        <v>122</v>
      </c>
      <c r="J470" s="2" t="s">
        <v>30</v>
      </c>
      <c r="K470" s="2" t="s">
        <v>198</v>
      </c>
      <c r="L470" s="2" t="s">
        <v>2296</v>
      </c>
      <c r="M470" s="2" t="s">
        <v>33</v>
      </c>
      <c r="N470" s="2">
        <v>3</v>
      </c>
      <c r="O470" s="2">
        <v>2188.33</v>
      </c>
      <c r="P470" s="2">
        <v>0</v>
      </c>
      <c r="Q470" s="2">
        <v>6564.99</v>
      </c>
      <c r="R470" s="2">
        <v>5407.24</v>
      </c>
      <c r="S470" s="2">
        <v>1157.75</v>
      </c>
      <c r="T470" s="2" t="s">
        <v>34</v>
      </c>
      <c r="U470" s="2" t="s">
        <v>35</v>
      </c>
      <c r="V470" s="2" t="str">
        <f t="shared" si="21"/>
        <v>ORD-2025-1046909 Jan 202507 Jan 2025CUST-4176Aarav SharmaHome OfficeEastWest BengalKolkataOffice SuppliesBindersPro Binders 555Second Class32188.3306564.995407.241157.75PaidCompleted</v>
      </c>
      <c r="W470" s="2">
        <f t="shared" si="22"/>
        <v>1</v>
      </c>
      <c r="X470">
        <f t="shared" si="23"/>
        <v>1</v>
      </c>
    </row>
    <row r="471" spans="1:24">
      <c r="A471" s="2" t="s">
        <v>2297</v>
      </c>
      <c r="B471" s="2" t="s">
        <v>2298</v>
      </c>
      <c r="C471" s="2" t="s">
        <v>2051</v>
      </c>
      <c r="D471" s="2" t="s">
        <v>2299</v>
      </c>
      <c r="E471" s="2" t="s">
        <v>107</v>
      </c>
      <c r="F471" s="2" t="s">
        <v>108</v>
      </c>
      <c r="G471" s="2" t="s">
        <v>73</v>
      </c>
      <c r="H471" s="2" t="s">
        <v>249</v>
      </c>
      <c r="I471" s="2" t="s">
        <v>250</v>
      </c>
      <c r="J471" s="2" t="s">
        <v>86</v>
      </c>
      <c r="K471" s="2" t="s">
        <v>94</v>
      </c>
      <c r="L471" s="2" t="s">
        <v>2300</v>
      </c>
      <c r="M471" s="2" t="s">
        <v>56</v>
      </c>
      <c r="N471" s="2">
        <v>3</v>
      </c>
      <c r="O471" s="2">
        <v>1041.6600000000001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34</v>
      </c>
      <c r="U471" s="2" t="s">
        <v>35</v>
      </c>
      <c r="V471" s="2" t="str">
        <f t="shared" si="21"/>
        <v>ORD-2024-104702024-01-1901/25/2024CUST-3448Aditi SenCorporateWestGoaPanajiTechnologyCopiersPro Copiers 971First Class31041.660.12812.482282.12530.36PaidCompleted</v>
      </c>
      <c r="W471" s="2">
        <f t="shared" si="22"/>
        <v>1</v>
      </c>
      <c r="X471">
        <f t="shared" si="23"/>
        <v>1</v>
      </c>
    </row>
    <row r="472" spans="1:24">
      <c r="A472" s="2" t="s">
        <v>2301</v>
      </c>
      <c r="B472" s="2" t="s">
        <v>2302</v>
      </c>
      <c r="C472" s="2" t="s">
        <v>1594</v>
      </c>
      <c r="D472" s="2" t="s">
        <v>2303</v>
      </c>
      <c r="E472" s="2" t="s">
        <v>107</v>
      </c>
      <c r="F472" s="2" t="s">
        <v>26</v>
      </c>
      <c r="G472" s="2" t="s">
        <v>27</v>
      </c>
      <c r="H472" s="2" t="s">
        <v>28</v>
      </c>
      <c r="I472" s="2" t="s">
        <v>29</v>
      </c>
      <c r="J472" s="2" t="s">
        <v>45</v>
      </c>
      <c r="K472" s="2" t="s">
        <v>46</v>
      </c>
      <c r="L472" s="2" t="s">
        <v>2304</v>
      </c>
      <c r="M472" s="2" t="s">
        <v>48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34</v>
      </c>
      <c r="U472" s="2" t="s">
        <v>35</v>
      </c>
      <c r="V472" s="2" t="str">
        <f t="shared" si="21"/>
        <v>ORD-2024-1047128-07-202407/31/2024CUST-4970Aditi SenConsumerNorthRajasthanJaipurFurnitureTablesPro Tables 833Same Day24424.780.27079.654465.912613.74PaidCompleted</v>
      </c>
      <c r="W472" s="2">
        <f t="shared" si="22"/>
        <v>1</v>
      </c>
      <c r="X472">
        <f t="shared" si="23"/>
        <v>1</v>
      </c>
    </row>
    <row r="473" spans="1:24">
      <c r="A473" s="2" t="s">
        <v>2305</v>
      </c>
      <c r="B473" s="2" t="s">
        <v>2306</v>
      </c>
      <c r="C473" s="2" t="s">
        <v>2307</v>
      </c>
      <c r="D473" s="2" t="s">
        <v>2308</v>
      </c>
      <c r="E473" s="2" t="s">
        <v>366</v>
      </c>
      <c r="F473" s="2" t="s">
        <v>26</v>
      </c>
      <c r="G473" s="2" t="s">
        <v>62</v>
      </c>
      <c r="H473" s="2" t="s">
        <v>63</v>
      </c>
      <c r="I473" s="2" t="s">
        <v>64</v>
      </c>
      <c r="J473" s="2" t="s">
        <v>30</v>
      </c>
      <c r="K473" s="2" t="s">
        <v>198</v>
      </c>
      <c r="L473" s="2" t="s">
        <v>2309</v>
      </c>
      <c r="M473" s="2" t="s">
        <v>67</v>
      </c>
      <c r="N473" s="2">
        <v>3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34</v>
      </c>
      <c r="U473" s="2" t="s">
        <v>35</v>
      </c>
      <c r="V473" s="2" t="str">
        <f t="shared" si="21"/>
        <v>ORD-2024-1047211-02-202402/15/2024CUST-6147Kabir SinghConsumerSouthTelanganaHyderabadOffice SuppliesBindersPrime Binders 497Standard Class33019.140.256793.074985.221807.85PaidCompleted</v>
      </c>
      <c r="W473" s="2">
        <f t="shared" si="22"/>
        <v>1</v>
      </c>
      <c r="X473">
        <f t="shared" si="23"/>
        <v>1</v>
      </c>
    </row>
    <row r="474" spans="1:24">
      <c r="A474" s="2" t="s">
        <v>2310</v>
      </c>
      <c r="B474" s="2" t="s">
        <v>2311</v>
      </c>
      <c r="C474" s="2" t="s">
        <v>1506</v>
      </c>
      <c r="D474" s="2" t="s">
        <v>2312</v>
      </c>
      <c r="E474" s="2" t="s">
        <v>180</v>
      </c>
      <c r="F474" s="2" t="s">
        <v>108</v>
      </c>
      <c r="G474" s="2" t="s">
        <v>42</v>
      </c>
      <c r="H474" s="2" t="s">
        <v>43</v>
      </c>
      <c r="I474" s="2" t="s">
        <v>44</v>
      </c>
      <c r="J474" s="2" t="s">
        <v>30</v>
      </c>
      <c r="K474" s="2" t="s">
        <v>156</v>
      </c>
      <c r="L474" s="2" t="s">
        <v>2313</v>
      </c>
      <c r="M474" s="2" t="s">
        <v>67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34</v>
      </c>
      <c r="U474" s="2" t="s">
        <v>35</v>
      </c>
      <c r="V474" s="2" t="str">
        <f t="shared" si="21"/>
        <v>ORD-2024-1047302-03-202403/07/2024CUST-7208Rohan MehtaCorporateEastOdishaBhubaneswarOffice SuppliesStoragePro Storage 756Standard Class7263.4601844.221094.21750.01PaidCompleted</v>
      </c>
      <c r="W474" s="2">
        <f t="shared" si="22"/>
        <v>1</v>
      </c>
      <c r="X474">
        <f t="shared" si="23"/>
        <v>1</v>
      </c>
    </row>
    <row r="475" spans="1:24">
      <c r="A475" s="2" t="s">
        <v>2314</v>
      </c>
      <c r="B475" s="2" t="s">
        <v>2315</v>
      </c>
      <c r="C475" s="2" t="s">
        <v>445</v>
      </c>
      <c r="D475" s="2" t="s">
        <v>2316</v>
      </c>
      <c r="E475" s="2" t="s">
        <v>142</v>
      </c>
      <c r="F475" s="2" t="s">
        <v>26</v>
      </c>
      <c r="G475" s="2" t="s">
        <v>73</v>
      </c>
      <c r="H475" s="2" t="s">
        <v>249</v>
      </c>
      <c r="I475" s="2" t="s">
        <v>250</v>
      </c>
      <c r="J475" s="2" t="s">
        <v>86</v>
      </c>
      <c r="K475" s="2" t="s">
        <v>94</v>
      </c>
      <c r="L475" s="2" t="s">
        <v>2317</v>
      </c>
      <c r="M475" s="2" t="s">
        <v>67</v>
      </c>
      <c r="N475" s="2">
        <v>6</v>
      </c>
      <c r="O475" s="2">
        <v>191.45</v>
      </c>
      <c r="P475" s="2">
        <v>0.2</v>
      </c>
      <c r="Q475" s="2">
        <v>918.96</v>
      </c>
      <c r="R475" s="2">
        <v>554.17999999999995</v>
      </c>
      <c r="S475" s="2">
        <v>364.78</v>
      </c>
      <c r="T475" s="2" t="s">
        <v>34</v>
      </c>
      <c r="U475" s="2" t="s">
        <v>35</v>
      </c>
      <c r="V475" s="2" t="str">
        <f t="shared" si="21"/>
        <v>ORD-2024-1047413-11-202413 Nov 2024CUST-2794Priya MenonConsumerWestGoaPanajiTechnologyCopiersMax Copiers 829Standard Class6191.450.2918.96554.18364.78PaidCompleted</v>
      </c>
      <c r="W475" s="2">
        <f t="shared" si="22"/>
        <v>1</v>
      </c>
      <c r="X475">
        <f t="shared" si="23"/>
        <v>1</v>
      </c>
    </row>
    <row r="476" spans="1:24">
      <c r="A476" s="2" t="s">
        <v>2318</v>
      </c>
      <c r="B476" s="2" t="s">
        <v>1220</v>
      </c>
      <c r="C476" s="2" t="s">
        <v>2319</v>
      </c>
      <c r="D476" s="2" t="s">
        <v>2320</v>
      </c>
      <c r="E476" s="2" t="s">
        <v>210</v>
      </c>
      <c r="F476" s="2" t="s">
        <v>108</v>
      </c>
      <c r="G476" s="2" t="s">
        <v>27</v>
      </c>
      <c r="H476" s="2" t="s">
        <v>154</v>
      </c>
      <c r="I476" s="2" t="s">
        <v>155</v>
      </c>
      <c r="J476" s="2" t="s">
        <v>45</v>
      </c>
      <c r="K476" s="2" t="s">
        <v>65</v>
      </c>
      <c r="L476" s="2" t="s">
        <v>2321</v>
      </c>
      <c r="M476" s="2" t="s">
        <v>67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34</v>
      </c>
      <c r="U476" s="2" t="s">
        <v>35</v>
      </c>
      <c r="V476" s="2" t="str">
        <f t="shared" si="21"/>
        <v>ORD-2024-1047503-06-20242024-06-10CUST-6249Diya PatelCorporateNorthPunjabLudhianaFurnitureFurnishingsPrime Furnishings 827Standard Class31633.5704900.712713.92186.81PaidCompleted</v>
      </c>
      <c r="W476" s="2">
        <f t="shared" si="22"/>
        <v>1</v>
      </c>
      <c r="X476">
        <f t="shared" si="23"/>
        <v>1</v>
      </c>
    </row>
    <row r="477" spans="1:24">
      <c r="A477" s="2" t="s">
        <v>2322</v>
      </c>
      <c r="B477" s="2" t="s">
        <v>2323</v>
      </c>
      <c r="C477" s="2" t="s">
        <v>2324</v>
      </c>
      <c r="D477" s="2" t="s">
        <v>2325</v>
      </c>
      <c r="E477" s="2" t="s">
        <v>83</v>
      </c>
      <c r="F477" s="2" t="s">
        <v>26</v>
      </c>
      <c r="G477" s="2" t="s">
        <v>42</v>
      </c>
      <c r="H477" s="2" t="s">
        <v>121</v>
      </c>
      <c r="I477" s="2" t="s">
        <v>122</v>
      </c>
      <c r="J477" s="2" t="s">
        <v>45</v>
      </c>
      <c r="K477" s="2" t="s">
        <v>76</v>
      </c>
      <c r="L477" s="2" t="s">
        <v>2326</v>
      </c>
      <c r="M477" s="2" t="s">
        <v>48</v>
      </c>
      <c r="N477" s="2">
        <v>8</v>
      </c>
      <c r="O477" s="2">
        <v>3378.82</v>
      </c>
      <c r="P477" s="2">
        <v>0.25</v>
      </c>
      <c r="Q477" s="2">
        <v>20272.919999999998</v>
      </c>
      <c r="R477" s="2">
        <v>15873.38</v>
      </c>
      <c r="S477" s="2">
        <v>4399.54</v>
      </c>
      <c r="T477" s="2" t="s">
        <v>137</v>
      </c>
      <c r="U477" s="2" t="s">
        <v>125</v>
      </c>
      <c r="V477" s="2" t="str">
        <f t="shared" si="21"/>
        <v>ORD-2025-1047603/01/202508 Mar 2025CUST-5712Vikram IyerConsumerEastWest BengalKolkataFurnitureChairsEco Chairs 365Same Day83378.820.2520272.9215873.384399.54PendingReturned</v>
      </c>
      <c r="W477" s="2">
        <f t="shared" si="22"/>
        <v>1</v>
      </c>
      <c r="X477">
        <f t="shared" si="23"/>
        <v>1</v>
      </c>
    </row>
    <row r="478" spans="1:24">
      <c r="A478" s="2" t="s">
        <v>2327</v>
      </c>
      <c r="B478" s="2" t="s">
        <v>2328</v>
      </c>
      <c r="C478" s="2" t="s">
        <v>2329</v>
      </c>
      <c r="D478" s="2" t="s">
        <v>2330</v>
      </c>
      <c r="E478" s="2" t="s">
        <v>168</v>
      </c>
      <c r="F478" s="2" t="s">
        <v>41</v>
      </c>
      <c r="G478" s="2" t="s">
        <v>27</v>
      </c>
      <c r="H478" s="2" t="s">
        <v>28</v>
      </c>
      <c r="I478" s="2" t="s">
        <v>29</v>
      </c>
      <c r="J478" s="2" t="s">
        <v>30</v>
      </c>
      <c r="K478" s="2" t="s">
        <v>156</v>
      </c>
      <c r="L478" s="2" t="s">
        <v>2331</v>
      </c>
      <c r="M478" s="2" t="s">
        <v>56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34</v>
      </c>
      <c r="U478" s="2" t="s">
        <v>35</v>
      </c>
      <c r="V478" s="2" t="str">
        <f t="shared" si="21"/>
        <v>ORD-2024-1047705/07/202405/14/2024CUST-3004Sneha KapoorSmall BusinessNorthRajasthanJaipurOffice SuppliesStorageClassic Storage 545First Class3383.580.11035.67595.42440.25PaidCompleted</v>
      </c>
      <c r="W478" s="2">
        <f t="shared" si="22"/>
        <v>1</v>
      </c>
      <c r="X478">
        <f t="shared" si="23"/>
        <v>1</v>
      </c>
    </row>
    <row r="479" spans="1:24">
      <c r="A479" s="2" t="s">
        <v>2332</v>
      </c>
      <c r="B479" s="2" t="s">
        <v>2333</v>
      </c>
      <c r="C479" s="2" t="s">
        <v>2334</v>
      </c>
      <c r="D479" s="2" t="s">
        <v>2335</v>
      </c>
      <c r="E479" s="2" t="s">
        <v>83</v>
      </c>
      <c r="F479" s="2" t="s">
        <v>108</v>
      </c>
      <c r="G479" s="2" t="s">
        <v>73</v>
      </c>
      <c r="H479" s="2" t="s">
        <v>235</v>
      </c>
      <c r="I479" s="2" t="s">
        <v>236</v>
      </c>
      <c r="J479" s="2" t="s">
        <v>45</v>
      </c>
      <c r="K479" s="2" t="s">
        <v>76</v>
      </c>
      <c r="L479" s="2" t="s">
        <v>2336</v>
      </c>
      <c r="M479" s="2" t="s">
        <v>67</v>
      </c>
      <c r="N479" s="2">
        <v>6</v>
      </c>
      <c r="O479" s="2">
        <v>2193.23</v>
      </c>
      <c r="P479" s="2">
        <v>0.1</v>
      </c>
      <c r="Q479" s="2">
        <v>11843.44</v>
      </c>
      <c r="R479" s="2">
        <v>9356.8799999999992</v>
      </c>
      <c r="S479" s="2">
        <v>2486.56</v>
      </c>
      <c r="T479" s="2" t="s">
        <v>34</v>
      </c>
      <c r="U479" s="2" t="s">
        <v>78</v>
      </c>
      <c r="V479" s="2" t="str">
        <f t="shared" si="21"/>
        <v>ORD-2025-1047808/23/202528-08-2025CUST-6920Vikram IyerCorporateWestGujaratAhmedabadFurnitureChairsPro Chairs 186Standard Class62193.230.111843.449356.882486.56PaidCancelled</v>
      </c>
      <c r="W479" s="2">
        <f t="shared" si="22"/>
        <v>1</v>
      </c>
      <c r="X479">
        <f t="shared" si="23"/>
        <v>1</v>
      </c>
    </row>
    <row r="480" spans="1:24">
      <c r="A480" s="2" t="s">
        <v>2337</v>
      </c>
      <c r="B480" s="2" t="s">
        <v>2338</v>
      </c>
      <c r="C480" s="2" t="s">
        <v>2339</v>
      </c>
      <c r="D480" s="2" t="s">
        <v>2340</v>
      </c>
      <c r="E480" s="2" t="s">
        <v>40</v>
      </c>
      <c r="F480" s="2" t="s">
        <v>115</v>
      </c>
      <c r="H480" s="2" t="s">
        <v>174</v>
      </c>
      <c r="I480" s="2" t="s">
        <v>175</v>
      </c>
      <c r="J480" s="2" t="s">
        <v>86</v>
      </c>
      <c r="K480" s="2" t="s">
        <v>382</v>
      </c>
      <c r="L480" s="2" t="s">
        <v>2341</v>
      </c>
      <c r="M480" s="2" t="s">
        <v>48</v>
      </c>
      <c r="N480" s="2">
        <v>7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124</v>
      </c>
      <c r="U480" s="2" t="s">
        <v>125</v>
      </c>
      <c r="V480" s="2" t="str">
        <f t="shared" si="21"/>
        <v>ORD-2024-1047906/09/20242024-06-13CUST-4838Mira DasHome OfficeUttar PradeshNoidaTechnologyMachinesClassic Machines 561Same Day74079.710.125702.1714571.4811130.69RefundedReturned</v>
      </c>
      <c r="W480" s="2">
        <f t="shared" si="22"/>
        <v>1</v>
      </c>
      <c r="X480">
        <f t="shared" si="23"/>
        <v>1</v>
      </c>
    </row>
    <row r="481" spans="1:24">
      <c r="A481" s="2" t="s">
        <v>2342</v>
      </c>
      <c r="B481" s="2" t="s">
        <v>2343</v>
      </c>
      <c r="C481" s="2" t="s">
        <v>2088</v>
      </c>
      <c r="D481" s="2" t="s">
        <v>2344</v>
      </c>
      <c r="E481" s="2" t="s">
        <v>61</v>
      </c>
      <c r="F481" s="2" t="s">
        <v>108</v>
      </c>
      <c r="G481" s="2" t="s">
        <v>42</v>
      </c>
      <c r="H481" s="2" t="s">
        <v>43</v>
      </c>
      <c r="I481" s="2" t="s">
        <v>44</v>
      </c>
      <c r="J481" s="2" t="s">
        <v>45</v>
      </c>
      <c r="K481" s="2" t="s">
        <v>76</v>
      </c>
      <c r="L481" s="2" t="s">
        <v>2345</v>
      </c>
      <c r="M481" s="2" t="s">
        <v>33</v>
      </c>
      <c r="N481" s="2">
        <v>1</v>
      </c>
      <c r="O481" s="2">
        <v>2202.5500000000002</v>
      </c>
      <c r="Q481" s="2">
        <v>1651.91</v>
      </c>
      <c r="R481" s="2">
        <v>1034.57</v>
      </c>
      <c r="S481" s="2">
        <v>617.34</v>
      </c>
      <c r="T481" s="2" t="s">
        <v>34</v>
      </c>
      <c r="U481" s="2" t="s">
        <v>35</v>
      </c>
      <c r="V481" s="2" t="str">
        <f t="shared" si="21"/>
        <v>ORD-2024-1048023 Feb 20242024-02-20CUST-7520Arjun BoseCorporateEastOdishaBhubaneswarFurnitureChairsMax Chairs 594Second Class12202.551651.911034.57617.34PaidCompleted</v>
      </c>
      <c r="W481" s="2">
        <f t="shared" si="22"/>
        <v>1</v>
      </c>
      <c r="X481">
        <f t="shared" si="23"/>
        <v>1</v>
      </c>
    </row>
    <row r="482" spans="1:24">
      <c r="A482" s="2" t="s">
        <v>2346</v>
      </c>
      <c r="B482" s="2" t="s">
        <v>385</v>
      </c>
      <c r="C482" s="2" t="s">
        <v>2293</v>
      </c>
      <c r="D482" s="2" t="s">
        <v>2347</v>
      </c>
      <c r="E482" s="2" t="s">
        <v>93</v>
      </c>
      <c r="F482" s="2" t="s">
        <v>41</v>
      </c>
      <c r="G482" s="2" t="s">
        <v>62</v>
      </c>
      <c r="H482" s="2" t="s">
        <v>339</v>
      </c>
      <c r="I482" s="2" t="s">
        <v>340</v>
      </c>
      <c r="J482" s="2" t="s">
        <v>30</v>
      </c>
      <c r="K482" s="2" t="s">
        <v>156</v>
      </c>
      <c r="L482" s="2" t="s">
        <v>2348</v>
      </c>
      <c r="N482" s="2">
        <v>5</v>
      </c>
      <c r="O482" s="2">
        <v>905.16</v>
      </c>
      <c r="P482" s="2">
        <v>0</v>
      </c>
      <c r="Q482" s="2">
        <v>4525.8</v>
      </c>
      <c r="R482" s="2">
        <v>2714.51</v>
      </c>
      <c r="S482" s="2">
        <v>1811.29</v>
      </c>
      <c r="T482" s="2" t="s">
        <v>34</v>
      </c>
      <c r="U482" s="2" t="s">
        <v>35</v>
      </c>
      <c r="V482" s="2" t="str">
        <f t="shared" si="21"/>
        <v>ORD-2025-104812025-01-0509 Jan 2025CUST-9947Neha GuptaSmall BusinessSouthTamil NaduChennaiOffice SuppliesStorageEco Storage 9235905.1604525.82714.511811.29PaidCompleted</v>
      </c>
      <c r="W482" s="2">
        <f t="shared" si="22"/>
        <v>1</v>
      </c>
      <c r="X482">
        <f t="shared" si="23"/>
        <v>1</v>
      </c>
    </row>
    <row r="483" spans="1:24">
      <c r="A483" s="2" t="s">
        <v>2349</v>
      </c>
      <c r="B483" s="2" t="s">
        <v>2350</v>
      </c>
      <c r="C483" s="2" t="s">
        <v>2351</v>
      </c>
      <c r="D483" s="2" t="s">
        <v>2352</v>
      </c>
      <c r="E483" s="2" t="s">
        <v>53</v>
      </c>
      <c r="F483" s="2" t="s">
        <v>26</v>
      </c>
      <c r="G483" s="2" t="s">
        <v>27</v>
      </c>
      <c r="H483" s="2" t="s">
        <v>174</v>
      </c>
      <c r="I483" s="2" t="s">
        <v>175</v>
      </c>
      <c r="J483" s="2" t="s">
        <v>86</v>
      </c>
      <c r="K483" s="2" t="s">
        <v>382</v>
      </c>
      <c r="L483" s="2" t="s">
        <v>2353</v>
      </c>
      <c r="M483" s="2" t="s">
        <v>48</v>
      </c>
      <c r="N483" s="2">
        <v>4</v>
      </c>
      <c r="O483" s="2">
        <v>2793.88</v>
      </c>
      <c r="P483" s="2" t="s">
        <v>1170</v>
      </c>
      <c r="Q483" s="2">
        <v>10616.74</v>
      </c>
      <c r="R483" s="2">
        <v>6353.59</v>
      </c>
      <c r="S483" s="2">
        <v>4263.1499999999996</v>
      </c>
      <c r="T483" s="2" t="s">
        <v>34</v>
      </c>
      <c r="U483" s="2" t="s">
        <v>35</v>
      </c>
      <c r="V483" s="2" t="str">
        <f t="shared" si="21"/>
        <v>ORD-2025-104822025-06-0506/13/2025CUST-4403Isha NairConsumerNorthUttar PradeshNoidaTechnologyMachinesClassic Machines 287Same Day42793.8885%10616.746353.594263.15PaidCompleted</v>
      </c>
      <c r="W483" s="2">
        <f t="shared" si="22"/>
        <v>1</v>
      </c>
      <c r="X483">
        <f t="shared" si="23"/>
        <v>1</v>
      </c>
    </row>
    <row r="484" spans="1:24">
      <c r="A484" s="2" t="s">
        <v>2354</v>
      </c>
      <c r="B484" s="2" t="s">
        <v>263</v>
      </c>
      <c r="C484" s="2" t="s">
        <v>263</v>
      </c>
      <c r="D484" s="2" t="s">
        <v>2355</v>
      </c>
      <c r="E484" s="2" t="s">
        <v>142</v>
      </c>
      <c r="F484" s="2" t="s">
        <v>26</v>
      </c>
      <c r="G484" s="2" t="s">
        <v>62</v>
      </c>
      <c r="H484" s="2" t="s">
        <v>229</v>
      </c>
      <c r="I484" s="2" t="s">
        <v>230</v>
      </c>
      <c r="J484" s="2" t="s">
        <v>86</v>
      </c>
      <c r="K484" s="2" t="s">
        <v>87</v>
      </c>
      <c r="L484" s="2" t="s">
        <v>2356</v>
      </c>
      <c r="M484" s="2" t="s">
        <v>33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34</v>
      </c>
      <c r="U484" s="2" t="s">
        <v>35</v>
      </c>
      <c r="V484" s="2" t="str">
        <f t="shared" si="21"/>
        <v>ORD-2024-1048307/22/202407/22/2024CUST-3583Priya MenonConsumerSouthKarnatakaBengaluruTechnologyAccessoriesBasic Accessories 518Second Class31286.220.252893.991856.031037.96PaidCompleted</v>
      </c>
      <c r="W484" s="2">
        <f t="shared" si="22"/>
        <v>1</v>
      </c>
      <c r="X484">
        <f t="shared" si="23"/>
        <v>1</v>
      </c>
    </row>
    <row r="485" spans="1:24">
      <c r="A485" s="2" t="s">
        <v>2357</v>
      </c>
      <c r="B485" s="2" t="s">
        <v>1405</v>
      </c>
      <c r="C485" s="2" t="s">
        <v>2358</v>
      </c>
      <c r="D485" s="2" t="s">
        <v>2359</v>
      </c>
      <c r="E485" s="2" t="s">
        <v>40</v>
      </c>
      <c r="F485" s="2" t="s">
        <v>108</v>
      </c>
      <c r="G485" s="2" t="s">
        <v>42</v>
      </c>
      <c r="H485" s="2" t="s">
        <v>186</v>
      </c>
      <c r="I485" s="2" t="s">
        <v>187</v>
      </c>
      <c r="J485" s="2" t="s">
        <v>86</v>
      </c>
      <c r="K485" s="2" t="s">
        <v>94</v>
      </c>
      <c r="L485" s="2" t="s">
        <v>2360</v>
      </c>
      <c r="M485" s="2" t="s">
        <v>67</v>
      </c>
      <c r="N485" s="2">
        <v>1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34</v>
      </c>
      <c r="U485" s="2" t="s">
        <v>35</v>
      </c>
      <c r="V485" s="2" t="str">
        <f t="shared" si="21"/>
        <v>ORD-2024-1048425 Dec 202425-12-2024CUST-9432Mira DasCorporateEastBiharPatnaTechnologyCopiersPro Copiers 984Standard Class1829.660.15705.21438.32266.89PaidCompleted</v>
      </c>
      <c r="W485" s="2">
        <f t="shared" si="22"/>
        <v>1</v>
      </c>
      <c r="X485">
        <f t="shared" si="23"/>
        <v>1</v>
      </c>
    </row>
    <row r="486" spans="1:24">
      <c r="A486" s="2" t="s">
        <v>2361</v>
      </c>
      <c r="B486" s="2" t="s">
        <v>2362</v>
      </c>
      <c r="C486" s="2" t="s">
        <v>2363</v>
      </c>
      <c r="D486" s="2" t="s">
        <v>2364</v>
      </c>
      <c r="E486" s="2" t="s">
        <v>40</v>
      </c>
      <c r="F486" s="2" t="s">
        <v>41</v>
      </c>
      <c r="G486" s="2" t="s">
        <v>62</v>
      </c>
      <c r="H486" s="2" t="s">
        <v>100</v>
      </c>
      <c r="I486" s="2" t="s">
        <v>101</v>
      </c>
      <c r="J486" s="2" t="s">
        <v>45</v>
      </c>
      <c r="K486" s="2" t="s">
        <v>65</v>
      </c>
      <c r="L486" s="2" t="s">
        <v>2365</v>
      </c>
      <c r="M486" s="2" t="s">
        <v>56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34</v>
      </c>
      <c r="U486" s="2" t="s">
        <v>35</v>
      </c>
      <c r="V486" s="2" t="str">
        <f t="shared" si="21"/>
        <v>ORD-2024-104852024-12-2812/31/2024CUST-1801Mira DasSmall BusinessSouthAndhra PradeshVijayawadaFurnitureFurnishingsMax Furnishings 297First Class63641.220.2516385.4913679.242706.25PaidCompleted</v>
      </c>
      <c r="W486" s="2">
        <f t="shared" si="22"/>
        <v>1</v>
      </c>
      <c r="X486">
        <f t="shared" si="23"/>
        <v>1</v>
      </c>
    </row>
    <row r="487" spans="1:24">
      <c r="A487" s="2" t="s">
        <v>2366</v>
      </c>
      <c r="B487" s="2" t="s">
        <v>1837</v>
      </c>
      <c r="C487" s="2" t="s">
        <v>184</v>
      </c>
      <c r="D487" s="2" t="s">
        <v>2367</v>
      </c>
      <c r="E487" s="2" t="s">
        <v>148</v>
      </c>
      <c r="F487" s="2" t="s">
        <v>108</v>
      </c>
      <c r="G487" s="2" t="s">
        <v>73</v>
      </c>
      <c r="H487" s="2" t="s">
        <v>249</v>
      </c>
      <c r="I487" s="2" t="s">
        <v>250</v>
      </c>
      <c r="J487" s="2" t="s">
        <v>45</v>
      </c>
      <c r="K487" s="2" t="s">
        <v>204</v>
      </c>
      <c r="L487" s="2" t="s">
        <v>2368</v>
      </c>
      <c r="M487" s="2" t="s">
        <v>67</v>
      </c>
      <c r="N487" s="2">
        <v>4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2069.9699999999998</v>
      </c>
      <c r="T487" s="2" t="s">
        <v>34</v>
      </c>
      <c r="U487" s="2" t="s">
        <v>35</v>
      </c>
      <c r="V487" s="2" t="str">
        <f t="shared" si="21"/>
        <v>ORD-2025-104862025-01-2223 Jan 2025CUST-1594Rahul VermaCorporateWestGoaPanajiFurnitureBookcasesElite Bookcases 802Standard Class42555.190.257665.575595.62069.97PaidCompleted</v>
      </c>
      <c r="W487" s="2">
        <f t="shared" si="22"/>
        <v>1</v>
      </c>
      <c r="X487">
        <f t="shared" si="23"/>
        <v>1</v>
      </c>
    </row>
    <row r="488" spans="1:24">
      <c r="A488" s="2" t="s">
        <v>2369</v>
      </c>
      <c r="B488" s="2" t="s">
        <v>2370</v>
      </c>
      <c r="C488" s="2" t="s">
        <v>2371</v>
      </c>
      <c r="D488" s="2" t="s">
        <v>2372</v>
      </c>
      <c r="E488" s="2" t="s">
        <v>148</v>
      </c>
      <c r="F488" s="2" t="s">
        <v>108</v>
      </c>
      <c r="G488" s="2" t="s">
        <v>73</v>
      </c>
      <c r="H488" s="2" t="s">
        <v>249</v>
      </c>
      <c r="I488" s="2" t="s">
        <v>250</v>
      </c>
      <c r="J488" s="2" t="s">
        <v>45</v>
      </c>
      <c r="K488" s="2" t="s">
        <v>46</v>
      </c>
      <c r="L488" s="2" t="s">
        <v>2373</v>
      </c>
      <c r="M488" s="2" t="s">
        <v>67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34</v>
      </c>
      <c r="U488" s="2" t="s">
        <v>35</v>
      </c>
      <c r="V488" s="2" t="str">
        <f t="shared" si="21"/>
        <v>ORD-2025-1048722-06-202506/26/2025CUST-8132Rahul VermaCorporateWestGoaPanajiFurnitureTablesPro Tables 257Standard Class31946.180.24670.833166.491504.34PaidCompleted</v>
      </c>
      <c r="W488" s="2">
        <f t="shared" si="22"/>
        <v>1</v>
      </c>
      <c r="X488">
        <f t="shared" si="23"/>
        <v>1</v>
      </c>
    </row>
    <row r="489" spans="1:24">
      <c r="A489" s="2" t="s">
        <v>2374</v>
      </c>
      <c r="B489" s="2" t="s">
        <v>1968</v>
      </c>
      <c r="C489" s="2" t="s">
        <v>2375</v>
      </c>
      <c r="D489" s="2" t="s">
        <v>2376</v>
      </c>
      <c r="E489" s="2" t="s">
        <v>148</v>
      </c>
      <c r="F489" s="2" t="s">
        <v>108</v>
      </c>
      <c r="G489" s="2" t="s">
        <v>62</v>
      </c>
      <c r="H489" s="2" t="s">
        <v>63</v>
      </c>
      <c r="I489" s="2" t="s">
        <v>64</v>
      </c>
      <c r="J489" s="2" t="s">
        <v>45</v>
      </c>
      <c r="K489" s="2" t="s">
        <v>65</v>
      </c>
      <c r="L489" s="2" t="s">
        <v>2377</v>
      </c>
      <c r="M489" s="2" t="s">
        <v>67</v>
      </c>
      <c r="N489" s="2">
        <v>5</v>
      </c>
      <c r="O489" s="2">
        <v>1231.0999999999999</v>
      </c>
      <c r="P489" s="2">
        <v>0</v>
      </c>
      <c r="Q489" s="2">
        <v>6155.5</v>
      </c>
      <c r="R489" s="2">
        <v>4282.09</v>
      </c>
      <c r="S489" s="2">
        <v>1873.41</v>
      </c>
      <c r="T489" s="2" t="s">
        <v>124</v>
      </c>
      <c r="U489" s="2" t="s">
        <v>125</v>
      </c>
      <c r="V489" s="2" t="str">
        <f t="shared" si="21"/>
        <v>ORD-2025-1048810 Jun 202506/17/2025CUST-7685Rahul VermaCorporateSouthTelanganaHyderabadFurnitureFurnishingsPrime Furnishings 299Standard Class51231.106155.54282.091873.41RefundedReturned</v>
      </c>
      <c r="W489" s="2">
        <f t="shared" si="22"/>
        <v>1</v>
      </c>
      <c r="X489">
        <f t="shared" si="23"/>
        <v>1</v>
      </c>
    </row>
    <row r="490" spans="1:24">
      <c r="A490" s="2" t="s">
        <v>2378</v>
      </c>
      <c r="B490" s="2" t="s">
        <v>2379</v>
      </c>
      <c r="C490" s="2" t="s">
        <v>2380</v>
      </c>
      <c r="D490" s="2" t="s">
        <v>2381</v>
      </c>
      <c r="E490" s="2" t="s">
        <v>107</v>
      </c>
      <c r="F490" s="2" t="s">
        <v>41</v>
      </c>
      <c r="G490" s="2" t="s">
        <v>27</v>
      </c>
      <c r="H490" s="2" t="s">
        <v>28</v>
      </c>
      <c r="I490" s="2" t="s">
        <v>29</v>
      </c>
      <c r="J490" s="2" t="s">
        <v>45</v>
      </c>
      <c r="K490" s="2" t="s">
        <v>46</v>
      </c>
      <c r="L490" s="2" t="s">
        <v>2382</v>
      </c>
      <c r="M490" s="2" t="s">
        <v>48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34</v>
      </c>
      <c r="U490" s="2" t="s">
        <v>35</v>
      </c>
      <c r="V490" s="2" t="str">
        <f t="shared" si="21"/>
        <v>ORD-2024-1048914 Oct 20242024-10-20CUST-2183Aditi SenSmall BusinessNorthRajasthanJaipurFurnitureTablesEco Tables 487Same Day71547.60.28666.565967.442699.12PaidCompleted</v>
      </c>
      <c r="W490" s="2">
        <f t="shared" si="22"/>
        <v>1</v>
      </c>
      <c r="X490">
        <f t="shared" si="23"/>
        <v>1</v>
      </c>
    </row>
    <row r="491" spans="1:24">
      <c r="A491" s="2" t="s">
        <v>2383</v>
      </c>
      <c r="B491" s="2" t="s">
        <v>390</v>
      </c>
      <c r="C491" s="2" t="s">
        <v>2384</v>
      </c>
      <c r="D491" s="2" t="s">
        <v>2385</v>
      </c>
      <c r="E491" s="2" t="s">
        <v>61</v>
      </c>
      <c r="F491" s="2" t="s">
        <v>115</v>
      </c>
      <c r="G491" s="2" t="s">
        <v>42</v>
      </c>
      <c r="H491" s="2" t="s">
        <v>121</v>
      </c>
      <c r="I491" s="2" t="s">
        <v>122</v>
      </c>
      <c r="J491" s="2" t="s">
        <v>86</v>
      </c>
      <c r="K491" s="2" t="s">
        <v>87</v>
      </c>
      <c r="L491" s="2" t="s">
        <v>2386</v>
      </c>
      <c r="M491" s="2" t="s">
        <v>33</v>
      </c>
      <c r="N491" s="2">
        <v>1</v>
      </c>
      <c r="O491" s="2">
        <v>452.19</v>
      </c>
      <c r="P491" s="2">
        <v>0.2</v>
      </c>
      <c r="Q491" s="2">
        <v>361.75</v>
      </c>
      <c r="R491" s="2">
        <v>262.52999999999997</v>
      </c>
      <c r="S491" s="2">
        <v>99.22</v>
      </c>
      <c r="T491" s="2" t="s">
        <v>34</v>
      </c>
      <c r="U491" s="2" t="s">
        <v>35</v>
      </c>
      <c r="V491" s="2" t="str">
        <f t="shared" si="21"/>
        <v>ORD-2024-104902024-02-072024-02-12CUST-1636Arjun BoseHome OfficeEastWest BengalKolkataTechnologyAccessoriesPrime Accessories 960Second Class1452.190.2361.75262.5399.22PaidCompleted</v>
      </c>
      <c r="W491" s="2">
        <f t="shared" si="22"/>
        <v>1</v>
      </c>
      <c r="X491">
        <f t="shared" si="23"/>
        <v>1</v>
      </c>
    </row>
    <row r="492" spans="1:24">
      <c r="A492" s="2" t="s">
        <v>2387</v>
      </c>
      <c r="B492" s="2" t="s">
        <v>2388</v>
      </c>
      <c r="C492" s="2" t="s">
        <v>1889</v>
      </c>
      <c r="D492" s="2" t="s">
        <v>2389</v>
      </c>
      <c r="E492" s="2" t="s">
        <v>107</v>
      </c>
      <c r="F492" s="2" t="s">
        <v>26</v>
      </c>
      <c r="G492" s="2" t="s">
        <v>73</v>
      </c>
      <c r="H492" s="2" t="s">
        <v>28</v>
      </c>
      <c r="I492" s="2" t="s">
        <v>135</v>
      </c>
      <c r="J492" s="2" t="s">
        <v>30</v>
      </c>
      <c r="K492" s="2" t="s">
        <v>198</v>
      </c>
      <c r="L492" s="2" t="s">
        <v>2390</v>
      </c>
      <c r="M492" s="2" t="s">
        <v>56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34</v>
      </c>
      <c r="U492" s="2" t="s">
        <v>35</v>
      </c>
      <c r="V492" s="2" t="str">
        <f t="shared" si="21"/>
        <v>ORD-2024-104912024-09-1609/19/2024CUST-1350Aditi SenConsumerWestRajasthanUdaipurOffice SuppliesBindersSmart Binders 191First Class7406.420.152418.21613.82804.38PaidCompleted</v>
      </c>
      <c r="W492" s="2">
        <f t="shared" si="22"/>
        <v>1</v>
      </c>
      <c r="X492">
        <f t="shared" si="23"/>
        <v>1</v>
      </c>
    </row>
    <row r="493" spans="1:24">
      <c r="A493" s="2" t="s">
        <v>2391</v>
      </c>
      <c r="B493" s="2" t="s">
        <v>1978</v>
      </c>
      <c r="C493" s="2" t="s">
        <v>2392</v>
      </c>
      <c r="D493" s="2" t="s">
        <v>2393</v>
      </c>
      <c r="E493" s="2" t="s">
        <v>40</v>
      </c>
      <c r="F493" s="2" t="s">
        <v>108</v>
      </c>
      <c r="G493" s="2" t="s">
        <v>62</v>
      </c>
      <c r="H493" s="2" t="s">
        <v>242</v>
      </c>
      <c r="I493" s="2" t="s">
        <v>243</v>
      </c>
      <c r="J493" s="2" t="s">
        <v>86</v>
      </c>
      <c r="K493" s="2" t="s">
        <v>87</v>
      </c>
      <c r="L493" s="2" t="s">
        <v>2394</v>
      </c>
      <c r="M493" s="2" t="s">
        <v>67</v>
      </c>
      <c r="N493" s="2">
        <v>4</v>
      </c>
      <c r="O493" s="2">
        <v>606.58000000000004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34</v>
      </c>
      <c r="U493" s="2" t="s">
        <v>35</v>
      </c>
      <c r="V493" s="2" t="str">
        <f t="shared" si="21"/>
        <v>ORD-2025-104922025-04-2930-04-2025CUST-4101Mira DasCorporateSouthKeralaKochiTechnologyAccessoriesPrime Accessories 118Standard Class4606.580.21941.061207.42733.64PaidCompleted</v>
      </c>
      <c r="W493" s="2">
        <f t="shared" si="22"/>
        <v>1</v>
      </c>
      <c r="X493">
        <f t="shared" si="23"/>
        <v>1</v>
      </c>
    </row>
    <row r="494" spans="1:24">
      <c r="A494" s="2" t="s">
        <v>2395</v>
      </c>
      <c r="B494" s="2" t="s">
        <v>2396</v>
      </c>
      <c r="C494" s="2" t="s">
        <v>2397</v>
      </c>
      <c r="D494" s="2" t="s">
        <v>2398</v>
      </c>
      <c r="E494" s="2" t="s">
        <v>72</v>
      </c>
      <c r="F494" s="2" t="s">
        <v>108</v>
      </c>
      <c r="G494" s="2" t="s">
        <v>62</v>
      </c>
      <c r="H494" s="2" t="s">
        <v>100</v>
      </c>
      <c r="I494" s="2" t="s">
        <v>101</v>
      </c>
      <c r="J494" s="2" t="s">
        <v>30</v>
      </c>
      <c r="K494" s="2" t="s">
        <v>156</v>
      </c>
      <c r="L494" s="2" t="s">
        <v>2399</v>
      </c>
      <c r="M494" s="2" t="s">
        <v>33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34</v>
      </c>
      <c r="U494" s="2" t="s">
        <v>35</v>
      </c>
      <c r="V494" s="2" t="str">
        <f t="shared" si="21"/>
        <v>ORD-2025-1049328-06-202507/02/2025CUST-4679Ananya RaoCorporateSouthAndhra PradeshVijayawadaOffice SuppliesStorageElite Storage 331Second Class22725.440.254088.163205.68882.48PaidCompleted</v>
      </c>
      <c r="W494" s="2">
        <f t="shared" si="22"/>
        <v>1</v>
      </c>
      <c r="X494">
        <f t="shared" si="23"/>
        <v>1</v>
      </c>
    </row>
    <row r="495" spans="1:24">
      <c r="A495" s="2" t="s">
        <v>2400</v>
      </c>
      <c r="B495" s="2" t="s">
        <v>1415</v>
      </c>
      <c r="C495" s="2" t="s">
        <v>2401</v>
      </c>
      <c r="D495" s="2" t="s">
        <v>2402</v>
      </c>
      <c r="E495" s="2" t="s">
        <v>366</v>
      </c>
      <c r="F495" s="2" t="s">
        <v>108</v>
      </c>
      <c r="G495" s="2" t="s">
        <v>42</v>
      </c>
      <c r="H495" s="2" t="s">
        <v>43</v>
      </c>
      <c r="I495" s="2" t="s">
        <v>44</v>
      </c>
      <c r="J495" s="2" t="s">
        <v>30</v>
      </c>
      <c r="K495" s="2" t="s">
        <v>31</v>
      </c>
      <c r="L495" s="2" t="s">
        <v>2403</v>
      </c>
      <c r="M495" s="2" t="s">
        <v>33</v>
      </c>
      <c r="N495" s="2">
        <v>7</v>
      </c>
      <c r="O495" s="2">
        <v>2296.6999999999998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34</v>
      </c>
      <c r="U495" s="2" t="s">
        <v>2404</v>
      </c>
      <c r="V495" s="2" t="str">
        <f t="shared" si="21"/>
        <v>ORD-2025-1049413 Feb 20252025-02-13CUST-3765Kabir SinghCorporateEastOdishaBhubaneswarOffice SuppliesPaperPrime Paper 996Second Class72296.70.0515273.0511088.764184.29PaidCOMPLETED</v>
      </c>
      <c r="W495" s="2">
        <f t="shared" si="22"/>
        <v>1</v>
      </c>
      <c r="X495">
        <f t="shared" si="23"/>
        <v>1</v>
      </c>
    </row>
    <row r="496" spans="1:24">
      <c r="A496" s="2" t="s">
        <v>2405</v>
      </c>
      <c r="B496" s="2" t="s">
        <v>2406</v>
      </c>
      <c r="C496" s="2" t="s">
        <v>2407</v>
      </c>
      <c r="D496" s="2" t="s">
        <v>2408</v>
      </c>
      <c r="E496" s="2" t="s">
        <v>53</v>
      </c>
      <c r="F496" s="2" t="s">
        <v>26</v>
      </c>
      <c r="G496" s="2" t="s">
        <v>73</v>
      </c>
      <c r="H496" s="2" t="s">
        <v>84</v>
      </c>
      <c r="I496" s="2" t="s">
        <v>85</v>
      </c>
      <c r="J496" s="2" t="s">
        <v>86</v>
      </c>
      <c r="K496" s="2" t="s">
        <v>223</v>
      </c>
      <c r="L496" s="2" t="s">
        <v>2409</v>
      </c>
      <c r="M496" s="2" t="s">
        <v>67</v>
      </c>
      <c r="N496" s="2">
        <v>3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200</v>
      </c>
      <c r="U496" s="2" t="s">
        <v>78</v>
      </c>
      <c r="V496" s="2" t="str">
        <f t="shared" si="21"/>
        <v>ORD-2024-104952024-11-142024-11-22CUST-9056Isha NairConsumerWestMadhya PradeshIndoreTechnologyPhonesSmart Phones 125Standard Class3671.68-0.131712.781569.38360.66FailedCancelled</v>
      </c>
      <c r="W496" s="2">
        <f t="shared" si="22"/>
        <v>1</v>
      </c>
      <c r="X496">
        <f t="shared" si="23"/>
        <v>1</v>
      </c>
    </row>
    <row r="497" spans="1:25">
      <c r="A497" s="2" t="s">
        <v>2410</v>
      </c>
      <c r="B497" s="2" t="s">
        <v>2191</v>
      </c>
      <c r="C497" s="2" t="s">
        <v>2411</v>
      </c>
      <c r="D497" s="2" t="s">
        <v>2412</v>
      </c>
      <c r="E497" s="2" t="s">
        <v>40</v>
      </c>
      <c r="F497" s="2" t="s">
        <v>41</v>
      </c>
      <c r="G497" s="2" t="s">
        <v>42</v>
      </c>
      <c r="H497" s="2" t="s">
        <v>216</v>
      </c>
      <c r="I497" s="2" t="s">
        <v>217</v>
      </c>
      <c r="J497" s="2" t="s">
        <v>86</v>
      </c>
      <c r="K497" s="2" t="s">
        <v>223</v>
      </c>
      <c r="L497" s="2" t="s">
        <v>2413</v>
      </c>
      <c r="M497" s="2" t="s">
        <v>33</v>
      </c>
      <c r="N497" s="2">
        <v>4</v>
      </c>
      <c r="O497" s="2">
        <v>995.98</v>
      </c>
      <c r="P497" s="2">
        <v>0.05</v>
      </c>
      <c r="Q497" s="2">
        <v>3784.72</v>
      </c>
      <c r="R497" s="2">
        <v>2419.2399999999998</v>
      </c>
      <c r="S497" s="2">
        <v>1365.48</v>
      </c>
      <c r="T497" s="2" t="s">
        <v>124</v>
      </c>
      <c r="U497" s="2" t="s">
        <v>125</v>
      </c>
      <c r="V497" s="2" t="str">
        <f t="shared" si="21"/>
        <v>ORD-2024-1049605/09/202405/15/2024CUST-9801Mira DasSmall BusinessEastAssamGuwahatiTechnologyPhonesEco Phones 220Second Class4995.980.053784.722419.241365.48RefundedReturned</v>
      </c>
      <c r="W497" s="2">
        <f t="shared" si="22"/>
        <v>1</v>
      </c>
      <c r="X497">
        <f t="shared" si="23"/>
        <v>1</v>
      </c>
    </row>
    <row r="498" spans="1:25">
      <c r="A498" s="2" t="s">
        <v>2414</v>
      </c>
      <c r="B498" s="2" t="s">
        <v>2415</v>
      </c>
      <c r="C498" s="2" t="s">
        <v>2416</v>
      </c>
      <c r="D498" s="2" t="s">
        <v>2417</v>
      </c>
      <c r="E498" s="2" t="s">
        <v>366</v>
      </c>
      <c r="F498" s="2" t="s">
        <v>41</v>
      </c>
      <c r="G498" s="2" t="s">
        <v>42</v>
      </c>
      <c r="H498" s="2" t="s">
        <v>311</v>
      </c>
      <c r="I498" s="2" t="s">
        <v>312</v>
      </c>
      <c r="J498" s="2" t="s">
        <v>45</v>
      </c>
      <c r="K498" s="2" t="s">
        <v>76</v>
      </c>
      <c r="L498" s="2" t="s">
        <v>2418</v>
      </c>
      <c r="M498" s="2" t="s">
        <v>33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34</v>
      </c>
      <c r="U498" s="2" t="s">
        <v>35</v>
      </c>
      <c r="V498" s="2" t="str">
        <f t="shared" si="21"/>
        <v>ORD-2025-104972025-07-042025-07-06CUST-2038Kabir SinghSmall BusinessEastJharkhandRanchiFurnitureChairsEco Chairs 795Second Class23686.420.16635.563652.912982.65PaidCompleted</v>
      </c>
      <c r="W498" s="2">
        <f t="shared" si="22"/>
        <v>1</v>
      </c>
      <c r="X498">
        <f t="shared" si="23"/>
        <v>1</v>
      </c>
    </row>
    <row r="499" spans="1:25">
      <c r="A499" s="2" t="s">
        <v>2419</v>
      </c>
      <c r="B499" s="2" t="s">
        <v>2420</v>
      </c>
      <c r="C499" s="2" t="s">
        <v>2420</v>
      </c>
      <c r="D499" s="2" t="s">
        <v>2421</v>
      </c>
      <c r="E499" s="2" t="s">
        <v>168</v>
      </c>
      <c r="F499" s="2" t="s">
        <v>41</v>
      </c>
      <c r="G499" s="2" t="s">
        <v>712</v>
      </c>
      <c r="H499" s="2" t="s">
        <v>174</v>
      </c>
      <c r="I499" s="2" t="s">
        <v>175</v>
      </c>
      <c r="J499" s="2" t="s">
        <v>86</v>
      </c>
      <c r="K499" s="2" t="s">
        <v>87</v>
      </c>
      <c r="L499" s="2" t="s">
        <v>2422</v>
      </c>
      <c r="M499" s="2" t="s">
        <v>33</v>
      </c>
      <c r="N499" s="2">
        <v>1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34</v>
      </c>
      <c r="U499" s="2" t="s">
        <v>78</v>
      </c>
      <c r="V499" s="2" t="str">
        <f t="shared" si="21"/>
        <v>ORD-2024-1049829 Aug 202429 Aug 2024CUST-1567Sneha KapoorSmall BusinessNORTHUttar PradeshNoidaTechnologyAccessoriesSmart Accessories 896Second Class13106.880.22485.52028.43457.07PaidCancelled</v>
      </c>
      <c r="W499" s="2">
        <f t="shared" si="22"/>
        <v>1</v>
      </c>
      <c r="X499">
        <f t="shared" si="23"/>
        <v>1</v>
      </c>
    </row>
    <row r="500" spans="1:25">
      <c r="A500" s="2" t="s">
        <v>2423</v>
      </c>
      <c r="B500" s="2" t="s">
        <v>2424</v>
      </c>
      <c r="C500" s="2" t="s">
        <v>2425</v>
      </c>
      <c r="D500" s="2" t="s">
        <v>2426</v>
      </c>
      <c r="E500" s="2" t="s">
        <v>25</v>
      </c>
      <c r="F500" s="2" t="s">
        <v>26</v>
      </c>
      <c r="G500" s="2" t="s">
        <v>27</v>
      </c>
      <c r="H500" s="2" t="s">
        <v>154</v>
      </c>
      <c r="I500" s="2" t="s">
        <v>155</v>
      </c>
      <c r="J500" s="2" t="s">
        <v>45</v>
      </c>
      <c r="K500" s="2" t="s">
        <v>76</v>
      </c>
      <c r="L500" s="2" t="s">
        <v>2427</v>
      </c>
      <c r="M500" s="2" t="s">
        <v>48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124</v>
      </c>
      <c r="U500" s="2" t="s">
        <v>2428</v>
      </c>
      <c r="V500" s="2" t="str">
        <f t="shared" si="21"/>
        <v>ORD-2025-104992025-09-0710 Sep 2025CUST-1190Karan MalhotraConsumerNorthPunjabLudhianaFurnitureChairsBasic Chairs 255Same Day2447.550.05850.35600.98249.37Refundedcancelled</v>
      </c>
      <c r="W500" s="2">
        <f t="shared" si="22"/>
        <v>1</v>
      </c>
      <c r="X500">
        <f t="shared" si="23"/>
        <v>1</v>
      </c>
    </row>
    <row r="501" spans="1:25">
      <c r="A501" s="2" t="s">
        <v>2429</v>
      </c>
      <c r="B501" s="2" t="s">
        <v>2430</v>
      </c>
      <c r="C501" s="2" t="s">
        <v>1445</v>
      </c>
      <c r="D501" s="2" t="s">
        <v>2431</v>
      </c>
      <c r="E501" s="2" t="s">
        <v>148</v>
      </c>
      <c r="F501" s="2" t="s">
        <v>115</v>
      </c>
      <c r="G501" s="2" t="s">
        <v>27</v>
      </c>
      <c r="H501" s="2" t="s">
        <v>174</v>
      </c>
      <c r="I501" s="2" t="s">
        <v>175</v>
      </c>
      <c r="J501" s="2" t="s">
        <v>45</v>
      </c>
      <c r="K501" s="2" t="s">
        <v>76</v>
      </c>
      <c r="L501" s="2" t="s">
        <v>2432</v>
      </c>
      <c r="M501" s="2" t="s">
        <v>67</v>
      </c>
      <c r="N501" s="2">
        <v>9</v>
      </c>
      <c r="O501" s="2">
        <v>1110.8699999999999</v>
      </c>
      <c r="Q501" s="2">
        <v>7498.37</v>
      </c>
      <c r="R501" s="2">
        <v>6059.07</v>
      </c>
      <c r="S501" s="2">
        <v>1439.3</v>
      </c>
      <c r="T501" s="2" t="s">
        <v>34</v>
      </c>
      <c r="U501" s="2" t="s">
        <v>78</v>
      </c>
      <c r="V501" s="2" t="str">
        <f t="shared" si="21"/>
        <v>ORD-2024-105002024-12-2226-12-2024CUST-5604Rahul VermaHome OfficeNorthUttar PradeshNoidaFurnitureChairsEco Chairs 210Standard Class91110.877498.376059.071439.3PaidCancelled</v>
      </c>
      <c r="W501" s="2">
        <f t="shared" si="22"/>
        <v>1</v>
      </c>
      <c r="X501">
        <f t="shared" si="23"/>
        <v>1</v>
      </c>
    </row>
    <row r="502" spans="1:25">
      <c r="A502" s="2" t="s">
        <v>2433</v>
      </c>
      <c r="B502" s="2" t="s">
        <v>1129</v>
      </c>
      <c r="C502" s="2" t="s">
        <v>2434</v>
      </c>
      <c r="D502" s="2" t="s">
        <v>2435</v>
      </c>
      <c r="E502" s="2" t="s">
        <v>168</v>
      </c>
      <c r="F502" s="2" t="s">
        <v>26</v>
      </c>
      <c r="G502" s="2" t="s">
        <v>62</v>
      </c>
      <c r="H502" s="2" t="s">
        <v>242</v>
      </c>
      <c r="I502" s="2" t="s">
        <v>243</v>
      </c>
      <c r="J502" s="2" t="s">
        <v>86</v>
      </c>
      <c r="K502" s="2" t="s">
        <v>223</v>
      </c>
      <c r="L502" s="2" t="s">
        <v>2436</v>
      </c>
      <c r="M502" s="2" t="s">
        <v>48</v>
      </c>
      <c r="N502" s="2">
        <v>9</v>
      </c>
      <c r="O502" s="2">
        <v>3795.99</v>
      </c>
      <c r="P502" s="2" t="s">
        <v>1170</v>
      </c>
      <c r="Q502" s="2">
        <v>34163.910000000003</v>
      </c>
      <c r="R502" s="2">
        <v>28577.15</v>
      </c>
      <c r="S502" s="2">
        <v>5586.76</v>
      </c>
      <c r="T502" s="2" t="s">
        <v>34</v>
      </c>
      <c r="U502" s="2" t="s">
        <v>35</v>
      </c>
      <c r="V502" s="2" t="str">
        <f t="shared" si="21"/>
        <v>ORD-2024-1050105/17/202405/22/2024CUST-7661Sneha KapoorConsumerSouthKeralaKochiTechnologyPhonesPrime Phones 533Same Day93795.9985%34163.9128577.155586.76PaidCompleted</v>
      </c>
      <c r="W502" s="2">
        <f t="shared" si="22"/>
        <v>1</v>
      </c>
      <c r="X502">
        <f t="shared" si="23"/>
        <v>1</v>
      </c>
    </row>
    <row r="503" spans="1:25">
      <c r="A503" s="2" t="s">
        <v>2437</v>
      </c>
      <c r="B503" s="2" t="s">
        <v>2438</v>
      </c>
      <c r="C503" s="2" t="s">
        <v>2439</v>
      </c>
      <c r="D503" s="2" t="s">
        <v>1237</v>
      </c>
      <c r="E503" s="2" t="s">
        <v>93</v>
      </c>
      <c r="F503" s="2" t="s">
        <v>26</v>
      </c>
      <c r="G503" s="2" t="s">
        <v>42</v>
      </c>
      <c r="H503" s="2" t="s">
        <v>311</v>
      </c>
      <c r="I503" s="2" t="s">
        <v>312</v>
      </c>
      <c r="J503" s="2" t="s">
        <v>30</v>
      </c>
      <c r="K503" s="2" t="s">
        <v>54</v>
      </c>
      <c r="L503" s="2" t="s">
        <v>2440</v>
      </c>
      <c r="M503" s="2" t="s">
        <v>33</v>
      </c>
      <c r="N503" s="2">
        <v>6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34</v>
      </c>
      <c r="U503" s="2" t="s">
        <v>35</v>
      </c>
      <c r="V503" s="2" t="str">
        <f t="shared" si="21"/>
        <v>ORD-2024-1050211 Aug 202408/17/2024CUST-3710Neha GuptaConsumerEastJharkhandRanchiOffice SuppliesArtElite Art 325Second Class63497.540.1517837.4513627.024210.43PaidCompleted</v>
      </c>
      <c r="W503" s="2">
        <f t="shared" si="22"/>
        <v>1</v>
      </c>
      <c r="X503">
        <f t="shared" si="23"/>
        <v>1</v>
      </c>
    </row>
    <row r="504" spans="1:25">
      <c r="A504" s="2" t="s">
        <v>2441</v>
      </c>
      <c r="B504" s="2" t="s">
        <v>2442</v>
      </c>
      <c r="C504" s="2" t="s">
        <v>2443</v>
      </c>
      <c r="D504" s="2" t="s">
        <v>2444</v>
      </c>
      <c r="E504" s="2" t="s">
        <v>142</v>
      </c>
      <c r="F504" s="2" t="s">
        <v>41</v>
      </c>
      <c r="G504" s="2" t="s">
        <v>42</v>
      </c>
      <c r="H504" s="2" t="s">
        <v>43</v>
      </c>
      <c r="I504" s="2" t="s">
        <v>44</v>
      </c>
      <c r="J504" s="2" t="s">
        <v>86</v>
      </c>
      <c r="K504" s="2" t="s">
        <v>94</v>
      </c>
      <c r="L504" s="2" t="s">
        <v>2445</v>
      </c>
      <c r="M504" s="2" t="s">
        <v>33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34</v>
      </c>
      <c r="U504" s="2" t="s">
        <v>35</v>
      </c>
      <c r="V504" s="2" t="str">
        <f t="shared" si="21"/>
        <v>ORD-2024-1050304/01/20242024-04-09CUST-1534Priya MenonSmall BusinessEastOdishaBhubaneswarTechnologyCopiersPrime Copiers 557Second Class6826.930.14465.423377.11088.32PaidCompleted</v>
      </c>
      <c r="W504" s="2">
        <f t="shared" si="22"/>
        <v>2</v>
      </c>
      <c r="X504">
        <f t="shared" si="23"/>
        <v>2</v>
      </c>
      <c r="Y504" s="2" t="s">
        <v>4096</v>
      </c>
    </row>
    <row r="505" spans="1:25">
      <c r="A505" s="2" t="s">
        <v>2446</v>
      </c>
      <c r="B505" s="2" t="s">
        <v>2447</v>
      </c>
      <c r="C505" s="2" t="s">
        <v>2448</v>
      </c>
      <c r="D505" s="2" t="s">
        <v>2449</v>
      </c>
      <c r="E505" s="2" t="s">
        <v>162</v>
      </c>
      <c r="F505" s="2" t="s">
        <v>26</v>
      </c>
      <c r="G505" s="2" t="s">
        <v>62</v>
      </c>
      <c r="H505" s="2" t="s">
        <v>339</v>
      </c>
      <c r="I505" s="2" t="s">
        <v>340</v>
      </c>
      <c r="J505" s="2" t="s">
        <v>86</v>
      </c>
      <c r="K505" s="2" t="s">
        <v>223</v>
      </c>
      <c r="L505" s="2" t="s">
        <v>2450</v>
      </c>
      <c r="M505" s="2" t="s">
        <v>67</v>
      </c>
      <c r="N505" s="2">
        <v>7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34</v>
      </c>
      <c r="U505" s="2" t="s">
        <v>35</v>
      </c>
      <c r="V505" s="2" t="str">
        <f t="shared" si="21"/>
        <v>ORD-2024-105042024-09-282024-10-05CUST-7422Aarav SharmaConsumerSouthTamil NaduChennaiTechnologyPhonesSmart Phones 674Standard Class71681.60.110594.087160.313433.77PaidCompleted</v>
      </c>
      <c r="W505" s="2">
        <f t="shared" si="22"/>
        <v>1</v>
      </c>
      <c r="X505">
        <f t="shared" si="23"/>
        <v>1</v>
      </c>
    </row>
    <row r="506" spans="1:25">
      <c r="A506" s="2" t="s">
        <v>2451</v>
      </c>
      <c r="B506" s="2" t="s">
        <v>2452</v>
      </c>
      <c r="C506" s="2" t="s">
        <v>2453</v>
      </c>
      <c r="D506" s="2" t="s">
        <v>2454</v>
      </c>
      <c r="E506" s="2" t="s">
        <v>61</v>
      </c>
      <c r="F506" s="2" t="s">
        <v>108</v>
      </c>
      <c r="G506" s="2" t="s">
        <v>73</v>
      </c>
      <c r="H506" s="2" t="s">
        <v>235</v>
      </c>
      <c r="I506" s="2" t="s">
        <v>236</v>
      </c>
      <c r="J506" s="2" t="s">
        <v>30</v>
      </c>
      <c r="K506" s="2" t="s">
        <v>54</v>
      </c>
      <c r="L506" s="2" t="s">
        <v>2455</v>
      </c>
      <c r="M506" s="2" t="s">
        <v>67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34</v>
      </c>
      <c r="U506" s="2" t="s">
        <v>35</v>
      </c>
      <c r="V506" s="2" t="str">
        <f t="shared" si="21"/>
        <v>ORD-2025-105052025-02-122025-02-17CUST-9693Arjun BoseCorporateWestGujaratAhmedabadOffice SuppliesArtElite Art 553Standard Class44328.12017312.4814424.222888.26PaidCompleted</v>
      </c>
      <c r="W506" s="2">
        <f t="shared" si="22"/>
        <v>1</v>
      </c>
      <c r="X506">
        <f t="shared" si="23"/>
        <v>1</v>
      </c>
    </row>
    <row r="507" spans="1:25">
      <c r="A507" s="2" t="s">
        <v>2456</v>
      </c>
      <c r="B507" s="2" t="s">
        <v>2457</v>
      </c>
      <c r="C507" s="2" t="s">
        <v>1380</v>
      </c>
      <c r="D507" s="2" t="s">
        <v>2458</v>
      </c>
      <c r="E507" s="2" t="s">
        <v>93</v>
      </c>
      <c r="F507" s="2" t="s">
        <v>108</v>
      </c>
      <c r="G507" s="2" t="s">
        <v>73</v>
      </c>
      <c r="H507" s="2" t="s">
        <v>84</v>
      </c>
      <c r="I507" s="2" t="s">
        <v>85</v>
      </c>
      <c r="J507" s="2" t="s">
        <v>30</v>
      </c>
      <c r="K507" s="2" t="s">
        <v>54</v>
      </c>
      <c r="L507" s="2" t="s">
        <v>2459</v>
      </c>
      <c r="M507" s="2" t="s">
        <v>56</v>
      </c>
      <c r="N507" s="2">
        <v>9</v>
      </c>
      <c r="O507" s="2">
        <v>2438.29</v>
      </c>
      <c r="P507" s="2">
        <v>0.2</v>
      </c>
      <c r="Q507" s="2">
        <v>17555.689999999999</v>
      </c>
      <c r="R507" s="2">
        <v>13293.2</v>
      </c>
      <c r="S507" s="2">
        <v>4262.49</v>
      </c>
      <c r="T507" s="2" t="s">
        <v>34</v>
      </c>
      <c r="U507" s="2" t="s">
        <v>78</v>
      </c>
      <c r="V507" s="2" t="str">
        <f t="shared" si="21"/>
        <v>ORD-2024-105062024-11-0914 Nov 2024CUST-5458Neha GuptaCorporateWestMadhya PradeshIndoreOffice SuppliesArtClassic Art 339First Class92438.290.217555.6913293.24262.49PaidCancelled</v>
      </c>
      <c r="W507" s="2">
        <f t="shared" si="22"/>
        <v>1</v>
      </c>
      <c r="X507">
        <f t="shared" si="23"/>
        <v>1</v>
      </c>
    </row>
    <row r="508" spans="1:25">
      <c r="A508" s="2" t="s">
        <v>2460</v>
      </c>
      <c r="B508" s="2" t="s">
        <v>2461</v>
      </c>
      <c r="C508" s="2" t="s">
        <v>2462</v>
      </c>
      <c r="D508" s="2" t="s">
        <v>2463</v>
      </c>
      <c r="E508" s="2" t="s">
        <v>162</v>
      </c>
      <c r="F508" s="2" t="s">
        <v>41</v>
      </c>
      <c r="G508" s="2" t="s">
        <v>27</v>
      </c>
      <c r="H508" s="2" t="s">
        <v>154</v>
      </c>
      <c r="I508" s="2" t="s">
        <v>155</v>
      </c>
      <c r="J508" s="2" t="s">
        <v>45</v>
      </c>
      <c r="K508" s="2" t="s">
        <v>65</v>
      </c>
      <c r="L508" s="2" t="s">
        <v>2464</v>
      </c>
      <c r="M508" s="2" t="s">
        <v>56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124</v>
      </c>
      <c r="U508" s="2" t="s">
        <v>125</v>
      </c>
      <c r="V508" s="2" t="str">
        <f t="shared" si="21"/>
        <v>ORD-2024-1050715-12-20242024-12-15CUST-3011Aarav SharmaSmall BusinessNorthPunjabLudhianaFurnitureFurnishingsSmart Furnishings 352First Class2669.80.11205.64842.07363.57RefundedReturned</v>
      </c>
      <c r="W508" s="2">
        <f t="shared" si="22"/>
        <v>1</v>
      </c>
      <c r="X508">
        <f t="shared" si="23"/>
        <v>1</v>
      </c>
    </row>
    <row r="509" spans="1:25">
      <c r="A509" s="2" t="s">
        <v>2465</v>
      </c>
      <c r="B509" s="2" t="s">
        <v>2143</v>
      </c>
      <c r="C509" s="2" t="s">
        <v>2109</v>
      </c>
      <c r="D509" s="2" t="s">
        <v>2466</v>
      </c>
      <c r="E509" s="2" t="s">
        <v>53</v>
      </c>
      <c r="F509" s="2" t="s">
        <v>41</v>
      </c>
      <c r="G509" s="2" t="s">
        <v>27</v>
      </c>
      <c r="H509" s="2" t="s">
        <v>323</v>
      </c>
      <c r="I509" s="2" t="s">
        <v>324</v>
      </c>
      <c r="J509" s="2" t="s">
        <v>30</v>
      </c>
      <c r="K509" s="2" t="s">
        <v>198</v>
      </c>
      <c r="L509" s="2" t="s">
        <v>2467</v>
      </c>
      <c r="M509" s="2" t="s">
        <v>48</v>
      </c>
      <c r="N509" s="2">
        <v>4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34</v>
      </c>
      <c r="U509" s="2" t="s">
        <v>35</v>
      </c>
      <c r="V509" s="2" t="str">
        <f t="shared" si="21"/>
        <v>ORD-2025-105082025-04-152025-04-22CUST-1826Isha NairSmall BusinessNorthHaryanaGurugramOffice SuppliesBindersClassic Binders 602Same Day42990.420.258971.266814.352156.91PaidCompleted</v>
      </c>
      <c r="W509" s="2">
        <f t="shared" si="22"/>
        <v>1</v>
      </c>
      <c r="X509">
        <f t="shared" si="23"/>
        <v>1</v>
      </c>
    </row>
    <row r="510" spans="1:25">
      <c r="A510" s="2" t="s">
        <v>2468</v>
      </c>
      <c r="B510" s="2" t="s">
        <v>2469</v>
      </c>
      <c r="C510" s="2" t="s">
        <v>1419</v>
      </c>
      <c r="D510" s="2" t="s">
        <v>2470</v>
      </c>
      <c r="E510" s="2" t="s">
        <v>53</v>
      </c>
      <c r="F510" s="2" t="s">
        <v>41</v>
      </c>
      <c r="G510" s="2" t="s">
        <v>27</v>
      </c>
      <c r="H510" s="2" t="s">
        <v>323</v>
      </c>
      <c r="I510" s="2" t="s">
        <v>324</v>
      </c>
      <c r="J510" s="2" t="s">
        <v>86</v>
      </c>
      <c r="K510" s="2" t="s">
        <v>382</v>
      </c>
      <c r="L510" s="2" t="s">
        <v>2471</v>
      </c>
      <c r="M510" s="2" t="s">
        <v>33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34</v>
      </c>
      <c r="U510" s="2" t="s">
        <v>35</v>
      </c>
      <c r="V510" s="2" t="str">
        <f t="shared" si="21"/>
        <v>ORD-2024-1050931 Mar 202407-04-2024CUST-3333Isha NairSmall BusinessNorthHaryanaGurugramTechnologyMachinesSmart Machines 853Second Class41831073244179.633144.37PaidCompleted</v>
      </c>
      <c r="W510" s="2">
        <f t="shared" si="22"/>
        <v>1</v>
      </c>
      <c r="X510">
        <f t="shared" si="23"/>
        <v>1</v>
      </c>
    </row>
    <row r="511" spans="1:25">
      <c r="A511" s="2" t="s">
        <v>2472</v>
      </c>
      <c r="B511" s="2" t="s">
        <v>2473</v>
      </c>
      <c r="C511" s="2" t="s">
        <v>2474</v>
      </c>
      <c r="D511" s="2" t="s">
        <v>2475</v>
      </c>
      <c r="E511" s="2" t="s">
        <v>93</v>
      </c>
      <c r="F511" s="2" t="s">
        <v>26</v>
      </c>
      <c r="G511" s="2" t="s">
        <v>73</v>
      </c>
      <c r="H511" s="2" t="s">
        <v>235</v>
      </c>
      <c r="I511" s="2" t="s">
        <v>236</v>
      </c>
      <c r="J511" s="2" t="s">
        <v>86</v>
      </c>
      <c r="K511" s="2" t="s">
        <v>382</v>
      </c>
      <c r="L511" s="2" t="s">
        <v>2476</v>
      </c>
      <c r="M511" s="2" t="s">
        <v>48</v>
      </c>
      <c r="N511" s="2">
        <v>8</v>
      </c>
      <c r="O511" s="2">
        <v>3631.44</v>
      </c>
      <c r="P511" s="2">
        <v>0.2</v>
      </c>
      <c r="Q511" s="2">
        <v>23241.22</v>
      </c>
      <c r="R511" s="2">
        <v>17220.900000000001</v>
      </c>
      <c r="S511" s="2">
        <v>6020.32</v>
      </c>
      <c r="T511" s="2" t="s">
        <v>34</v>
      </c>
      <c r="U511" s="2" t="s">
        <v>35</v>
      </c>
      <c r="V511" s="2" t="str">
        <f t="shared" si="21"/>
        <v>ORD-2025-105102025-05-1205/14/2025CUST-7901Neha GuptaConsumerWestGujaratAhmedabadTechnologyMachinesClassic Machines 599Same Day83631.440.223241.2217220.96020.32PaidCompleted</v>
      </c>
      <c r="W511" s="2">
        <f t="shared" si="22"/>
        <v>1</v>
      </c>
      <c r="X511">
        <f t="shared" si="23"/>
        <v>1</v>
      </c>
    </row>
    <row r="512" spans="1:25">
      <c r="A512" s="2" t="s">
        <v>2477</v>
      </c>
      <c r="B512" s="2" t="s">
        <v>644</v>
      </c>
      <c r="C512" s="2" t="s">
        <v>2478</v>
      </c>
      <c r="D512" s="2" t="s">
        <v>2479</v>
      </c>
      <c r="E512" s="2" t="s">
        <v>2480</v>
      </c>
      <c r="F512" s="2" t="s">
        <v>26</v>
      </c>
      <c r="G512" s="2" t="s">
        <v>62</v>
      </c>
      <c r="H512" s="2" t="s">
        <v>229</v>
      </c>
      <c r="I512" s="2" t="s">
        <v>230</v>
      </c>
      <c r="J512" s="2" t="s">
        <v>30</v>
      </c>
      <c r="K512" s="2" t="s">
        <v>156</v>
      </c>
      <c r="L512" s="2" t="s">
        <v>2481</v>
      </c>
      <c r="M512" s="2" t="s">
        <v>33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34</v>
      </c>
      <c r="U512" s="2" t="s">
        <v>35</v>
      </c>
      <c r="V512" s="2" t="str">
        <f t="shared" si="21"/>
        <v>ORD-2024-1051110/18/202421-10-2024CUST-9759Aarav  SharmaConsumerSouthKarnatakaBengaluruOffice SuppliesStoragePro Storage 373Second Class24238.5108477.026884.961592.06PaidCompleted</v>
      </c>
      <c r="W512" s="2">
        <f t="shared" si="22"/>
        <v>1</v>
      </c>
      <c r="X512">
        <f t="shared" si="23"/>
        <v>1</v>
      </c>
    </row>
    <row r="513" spans="1:24">
      <c r="A513" s="2" t="s">
        <v>2482</v>
      </c>
      <c r="B513" s="2" t="s">
        <v>2483</v>
      </c>
      <c r="C513" s="2" t="s">
        <v>2484</v>
      </c>
      <c r="D513" s="2" t="s">
        <v>2485</v>
      </c>
      <c r="E513" s="2" t="s">
        <v>168</v>
      </c>
      <c r="F513" s="2" t="s">
        <v>26</v>
      </c>
      <c r="G513" s="2" t="s">
        <v>73</v>
      </c>
      <c r="H513" s="2" t="s">
        <v>84</v>
      </c>
      <c r="I513" s="2" t="s">
        <v>85</v>
      </c>
      <c r="J513" s="2" t="s">
        <v>45</v>
      </c>
      <c r="K513" s="2" t="s">
        <v>204</v>
      </c>
      <c r="L513" s="2" t="s">
        <v>2486</v>
      </c>
      <c r="M513" s="2" t="s">
        <v>67</v>
      </c>
      <c r="N513" s="2">
        <v>9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34</v>
      </c>
      <c r="U513" s="2" t="s">
        <v>35</v>
      </c>
      <c r="V513" s="2" t="str">
        <f t="shared" si="21"/>
        <v>ORD-2024-1051210/23/202426 Oct 2024CUST-7232Sneha KapoorConsumerWestMadhya PradeshIndoreFurnitureBookcasesSmart Bookcases 920Standard Class9544.270.253673.822088.151585.67PaidCompleted</v>
      </c>
      <c r="W513" s="2">
        <f t="shared" si="22"/>
        <v>1</v>
      </c>
      <c r="X513">
        <f t="shared" si="23"/>
        <v>1</v>
      </c>
    </row>
    <row r="514" spans="1:24">
      <c r="A514" s="2" t="s">
        <v>2487</v>
      </c>
      <c r="B514" s="2" t="s">
        <v>786</v>
      </c>
      <c r="C514" s="2" t="s">
        <v>2488</v>
      </c>
      <c r="D514" s="2" t="s">
        <v>1900</v>
      </c>
      <c r="E514" s="2" t="s">
        <v>53</v>
      </c>
      <c r="F514" s="2" t="s">
        <v>108</v>
      </c>
      <c r="G514" s="2" t="s">
        <v>62</v>
      </c>
      <c r="H514" s="2" t="s">
        <v>242</v>
      </c>
      <c r="I514" s="2" t="s">
        <v>243</v>
      </c>
      <c r="J514" s="2" t="s">
        <v>30</v>
      </c>
      <c r="K514" s="2" t="s">
        <v>109</v>
      </c>
      <c r="L514" s="2" t="s">
        <v>2489</v>
      </c>
      <c r="M514" s="2" t="s">
        <v>33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34</v>
      </c>
      <c r="U514" s="2" t="s">
        <v>35</v>
      </c>
      <c r="V514" s="2" t="str">
        <f t="shared" si="21"/>
        <v>ORD-2025-1051303/02/20252025-03-03CUST-9943Isha NairCorporateSouthKeralaKochiOffice SuppliesLabelsPro Labels 849Second Class24031.450.256047.173368.792678.38PaidCompleted</v>
      </c>
      <c r="W514" s="2">
        <f t="shared" si="22"/>
        <v>1</v>
      </c>
      <c r="X514">
        <f t="shared" si="23"/>
        <v>1</v>
      </c>
    </row>
    <row r="515" spans="1:24">
      <c r="A515" s="2" t="s">
        <v>2490</v>
      </c>
      <c r="B515" s="2" t="s">
        <v>997</v>
      </c>
      <c r="C515" s="2" t="s">
        <v>2397</v>
      </c>
      <c r="D515" s="2" t="s">
        <v>2491</v>
      </c>
      <c r="E515" s="2" t="s">
        <v>162</v>
      </c>
      <c r="F515" s="2" t="s">
        <v>108</v>
      </c>
      <c r="G515" s="2" t="s">
        <v>62</v>
      </c>
      <c r="H515" s="2" t="s">
        <v>242</v>
      </c>
      <c r="I515" s="2" t="s">
        <v>243</v>
      </c>
      <c r="J515" s="2" t="s">
        <v>86</v>
      </c>
      <c r="K515" s="2" t="s">
        <v>87</v>
      </c>
      <c r="L515" s="2" t="s">
        <v>2492</v>
      </c>
      <c r="M515" s="2" t="s">
        <v>56</v>
      </c>
      <c r="N515" s="2">
        <v>6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34</v>
      </c>
      <c r="U515" s="2" t="s">
        <v>35</v>
      </c>
      <c r="V515" s="2" t="str">
        <f t="shared" ref="V515:V578" si="24">_xlfn.CONCAT(A515:U515)</f>
        <v>ORD-2025-1051427-06-202507/02/2025CUST-8993Aarav SharmaCorporateSouthKeralaKochiTechnologyAccessoriesPrime Accessories 849First Class61099.490.16212.384088.461848.79PaidCompleted</v>
      </c>
      <c r="W515" s="2">
        <f t="shared" ref="W515:W578" si="25">COUNTIF($V$2:$V$933,V515)</f>
        <v>1</v>
      </c>
      <c r="X515">
        <f t="shared" ref="X515:X578" si="26">COUNTIF($A$2:$A$933,A515)</f>
        <v>1</v>
      </c>
    </row>
    <row r="516" spans="1:24">
      <c r="A516" s="2" t="s">
        <v>2493</v>
      </c>
      <c r="B516" s="2" t="s">
        <v>2494</v>
      </c>
      <c r="C516" s="2" t="s">
        <v>2407</v>
      </c>
      <c r="D516" s="2" t="s">
        <v>2495</v>
      </c>
      <c r="E516" s="2" t="s">
        <v>25</v>
      </c>
      <c r="F516" s="2" t="s">
        <v>115</v>
      </c>
      <c r="G516" s="2" t="s">
        <v>62</v>
      </c>
      <c r="H516" s="2" t="s">
        <v>242</v>
      </c>
      <c r="I516" s="2" t="s">
        <v>243</v>
      </c>
      <c r="J516" s="2" t="s">
        <v>86</v>
      </c>
      <c r="K516" s="2" t="s">
        <v>87</v>
      </c>
      <c r="L516" s="2" t="s">
        <v>2496</v>
      </c>
      <c r="M516" s="2" t="s">
        <v>67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34</v>
      </c>
      <c r="U516" s="2" t="s">
        <v>35</v>
      </c>
      <c r="V516" s="2" t="str">
        <f t="shared" si="24"/>
        <v>ORD-2024-1051518 Nov 20242024-11-22CUST-7729Karan MalhotraHome OfficeSouthKeralaKochiTechnologyAccessoriesSmart Accessories 388Standard Class63872.940.120913.8811684.689229.2PaidCompleted</v>
      </c>
      <c r="W516" s="2">
        <f t="shared" si="25"/>
        <v>1</v>
      </c>
      <c r="X516">
        <f t="shared" si="26"/>
        <v>1</v>
      </c>
    </row>
    <row r="517" spans="1:24">
      <c r="A517" s="2" t="s">
        <v>2497</v>
      </c>
      <c r="B517" s="2" t="s">
        <v>2142</v>
      </c>
      <c r="C517" s="2" t="s">
        <v>2498</v>
      </c>
      <c r="D517" s="2" t="s">
        <v>2499</v>
      </c>
      <c r="E517" s="2" t="s">
        <v>148</v>
      </c>
      <c r="F517" s="2" t="s">
        <v>108</v>
      </c>
      <c r="G517" s="2" t="s">
        <v>27</v>
      </c>
      <c r="H517" s="2" t="s">
        <v>506</v>
      </c>
      <c r="I517" s="2" t="s">
        <v>507</v>
      </c>
      <c r="J517" s="2" t="s">
        <v>30</v>
      </c>
      <c r="K517" s="2" t="s">
        <v>31</v>
      </c>
      <c r="L517" s="2" t="s">
        <v>2500</v>
      </c>
      <c r="M517" s="2" t="s">
        <v>67</v>
      </c>
      <c r="N517" s="2">
        <v>1</v>
      </c>
      <c r="O517" s="2">
        <v>4458.49</v>
      </c>
      <c r="P517" s="2">
        <v>-7.0000000000000007E-2</v>
      </c>
      <c r="Q517" s="2">
        <v>3566.79</v>
      </c>
      <c r="R517" s="2">
        <v>2083.41</v>
      </c>
      <c r="S517" s="2">
        <v>1483.38</v>
      </c>
      <c r="T517" s="2" t="s">
        <v>34</v>
      </c>
      <c r="U517" s="2" t="s">
        <v>35</v>
      </c>
      <c r="V517" s="2" t="str">
        <f t="shared" si="24"/>
        <v>ORD-2025-1051604/11/20252025-04-11CUST-9986Rahul VermaCorporateNorthDelhiNew DelhiOffice SuppliesPaperClassic Paper 752Standard Class14458.49-0.073566.792083.411483.38PaidCompleted</v>
      </c>
      <c r="W517" s="2">
        <f t="shared" si="25"/>
        <v>1</v>
      </c>
      <c r="X517">
        <f t="shared" si="26"/>
        <v>1</v>
      </c>
    </row>
    <row r="518" spans="1:24">
      <c r="A518" s="2" t="s">
        <v>2501</v>
      </c>
      <c r="B518" s="2" t="s">
        <v>2502</v>
      </c>
      <c r="C518" s="2" t="s">
        <v>2503</v>
      </c>
      <c r="D518" s="2" t="s">
        <v>2504</v>
      </c>
      <c r="E518" s="2" t="s">
        <v>366</v>
      </c>
      <c r="F518" s="2" t="s">
        <v>115</v>
      </c>
      <c r="G518" s="2" t="s">
        <v>27</v>
      </c>
      <c r="H518" s="2" t="s">
        <v>506</v>
      </c>
      <c r="I518" s="2" t="s">
        <v>507</v>
      </c>
      <c r="J518" s="2" t="s">
        <v>86</v>
      </c>
      <c r="K518" s="2" t="s">
        <v>94</v>
      </c>
      <c r="L518" s="2" t="s">
        <v>2505</v>
      </c>
      <c r="M518" s="2" t="s">
        <v>67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200</v>
      </c>
      <c r="U518" s="2" t="s">
        <v>125</v>
      </c>
      <c r="V518" s="2" t="str">
        <f t="shared" si="24"/>
        <v>ORD-2024-1051709/28/202404 Oct 2024CUST-2731Kabir SinghHome OfficeNorthDelhiNew DelhiTechnologyCopiersClassic Copiers 143Standard Class12233.1802233.181585.82647.36FailedReturned</v>
      </c>
      <c r="W518" s="2">
        <f t="shared" si="25"/>
        <v>1</v>
      </c>
      <c r="X518">
        <f t="shared" si="26"/>
        <v>1</v>
      </c>
    </row>
    <row r="519" spans="1:24">
      <c r="A519" s="2" t="s">
        <v>2506</v>
      </c>
      <c r="B519" s="2" t="s">
        <v>2507</v>
      </c>
      <c r="C519" s="2" t="s">
        <v>1682</v>
      </c>
      <c r="D519" s="2" t="s">
        <v>2508</v>
      </c>
      <c r="E519" s="2" t="s">
        <v>148</v>
      </c>
      <c r="F519" s="2" t="s">
        <v>26</v>
      </c>
      <c r="G519" s="2" t="s">
        <v>42</v>
      </c>
      <c r="H519" s="2" t="s">
        <v>43</v>
      </c>
      <c r="I519" s="2" t="s">
        <v>44</v>
      </c>
      <c r="J519" s="2" t="s">
        <v>45</v>
      </c>
      <c r="K519" s="2" t="s">
        <v>65</v>
      </c>
      <c r="L519" s="2" t="s">
        <v>2509</v>
      </c>
      <c r="M519" s="2" t="s">
        <v>33</v>
      </c>
      <c r="N519" s="2">
        <v>7</v>
      </c>
      <c r="O519" s="2">
        <v>2123.2800000000002</v>
      </c>
      <c r="P519" s="2">
        <v>0.2</v>
      </c>
      <c r="Q519" s="2">
        <v>11890.37</v>
      </c>
      <c r="R519" s="2">
        <v>9234.5300000000007</v>
      </c>
      <c r="S519" s="2">
        <v>2655.84</v>
      </c>
      <c r="T519" s="2" t="s">
        <v>124</v>
      </c>
      <c r="U519" s="2" t="s">
        <v>125</v>
      </c>
      <c r="V519" s="2" t="str">
        <f t="shared" si="24"/>
        <v>ORD-2025-105182025-05-2527 May 2025CUST-4235Rahul VermaConsumerEastOdishaBhubaneswarFurnitureFurnishingsBasic Furnishings 386Second Class72123.280.211890.379234.532655.84RefundedReturned</v>
      </c>
      <c r="W519" s="2">
        <f t="shared" si="25"/>
        <v>1</v>
      </c>
      <c r="X519">
        <f t="shared" si="26"/>
        <v>1</v>
      </c>
    </row>
    <row r="520" spans="1:24">
      <c r="A520" s="2" t="s">
        <v>2510</v>
      </c>
      <c r="B520" s="2" t="s">
        <v>2392</v>
      </c>
      <c r="C520" s="2" t="s">
        <v>2511</v>
      </c>
      <c r="D520" s="2" t="s">
        <v>2512</v>
      </c>
      <c r="E520" s="2" t="s">
        <v>210</v>
      </c>
      <c r="F520" s="2" t="s">
        <v>108</v>
      </c>
      <c r="G520" s="2" t="s">
        <v>42</v>
      </c>
      <c r="H520" s="2" t="s">
        <v>43</v>
      </c>
      <c r="I520" s="2" t="s">
        <v>44</v>
      </c>
      <c r="J520" s="2" t="s">
        <v>45</v>
      </c>
      <c r="K520" s="2" t="s">
        <v>46</v>
      </c>
      <c r="L520" s="2" t="s">
        <v>2513</v>
      </c>
      <c r="M520" s="2" t="s">
        <v>56</v>
      </c>
      <c r="N520" s="2">
        <v>7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34</v>
      </c>
      <c r="U520" s="2" t="s">
        <v>78</v>
      </c>
      <c r="V520" s="2" t="str">
        <f t="shared" si="24"/>
        <v>ORD-2025-1051930-04-202526 Apr 2025CUST-3377Diya PatelCorporateEastOdishaBhubaneswarFurnitureTablesClassic Tables 592First Class71604.130.258421.686534.471887.21PaidCancelled</v>
      </c>
      <c r="W520" s="2">
        <f t="shared" si="25"/>
        <v>1</v>
      </c>
      <c r="X520">
        <f t="shared" si="26"/>
        <v>1</v>
      </c>
    </row>
    <row r="521" spans="1:24">
      <c r="A521" s="2" t="s">
        <v>2514</v>
      </c>
      <c r="B521" s="2" t="s">
        <v>380</v>
      </c>
      <c r="C521" s="2" t="s">
        <v>2515</v>
      </c>
      <c r="D521" s="2" t="s">
        <v>2516</v>
      </c>
      <c r="E521" s="2" t="s">
        <v>142</v>
      </c>
      <c r="F521" s="2" t="s">
        <v>26</v>
      </c>
      <c r="G521" s="2" t="s">
        <v>27</v>
      </c>
      <c r="H521" s="2" t="s">
        <v>174</v>
      </c>
      <c r="I521" s="2" t="s">
        <v>175</v>
      </c>
      <c r="J521" s="2" t="s">
        <v>45</v>
      </c>
      <c r="K521" s="2" t="s">
        <v>46</v>
      </c>
      <c r="L521" s="2" t="s">
        <v>2517</v>
      </c>
      <c r="M521" s="2" t="s">
        <v>67</v>
      </c>
      <c r="N521" s="2">
        <v>4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137</v>
      </c>
      <c r="U521" s="2" t="s">
        <v>78</v>
      </c>
      <c r="V521" s="2" t="str">
        <f t="shared" si="24"/>
        <v>ORD-2025-1052003-07-20252025-07-07CUST-3258Priya MenonConsumerNorthUttar PradeshNoidaFurnitureTablesPro Tables 412Standard Class44365.210.213968.678857.585111.09PendingCancelled</v>
      </c>
      <c r="W521" s="2">
        <f t="shared" si="25"/>
        <v>1</v>
      </c>
      <c r="X521">
        <f t="shared" si="26"/>
        <v>1</v>
      </c>
    </row>
    <row r="522" spans="1:24">
      <c r="A522" s="2" t="s">
        <v>2518</v>
      </c>
      <c r="B522" s="2" t="s">
        <v>1109</v>
      </c>
      <c r="C522" s="2" t="s">
        <v>2519</v>
      </c>
      <c r="D522" s="2" t="s">
        <v>2520</v>
      </c>
      <c r="E522" s="2" t="s">
        <v>162</v>
      </c>
      <c r="F522" s="2" t="s">
        <v>115</v>
      </c>
      <c r="G522" s="2" t="s">
        <v>62</v>
      </c>
      <c r="H522" s="2" t="s">
        <v>229</v>
      </c>
      <c r="I522" s="2" t="s">
        <v>230</v>
      </c>
      <c r="J522" s="2" t="s">
        <v>86</v>
      </c>
      <c r="K522" s="2" t="s">
        <v>382</v>
      </c>
      <c r="L522" s="2" t="s">
        <v>2521</v>
      </c>
      <c r="M522" s="2" t="s">
        <v>48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34</v>
      </c>
      <c r="U522" s="2" t="s">
        <v>35</v>
      </c>
      <c r="V522" s="2" t="str">
        <f t="shared" si="24"/>
        <v>ORD-2024-105212024-07-1623 Jul 2024CUST-2155Aarav SharmaHome OfficeSouthKarnatakaBengaluruTechnologyMachinesPrime Machines 393Same Day11695.910.051611.11895.15715.96PaidCompleted</v>
      </c>
      <c r="W522" s="2">
        <f t="shared" si="25"/>
        <v>1</v>
      </c>
      <c r="X522">
        <f t="shared" si="26"/>
        <v>1</v>
      </c>
    </row>
    <row r="523" spans="1:24">
      <c r="A523" s="2" t="s">
        <v>2522</v>
      </c>
      <c r="B523" s="2" t="s">
        <v>2523</v>
      </c>
      <c r="C523" s="2" t="s">
        <v>2524</v>
      </c>
      <c r="D523" s="2" t="s">
        <v>2525</v>
      </c>
      <c r="E523" s="2" t="s">
        <v>210</v>
      </c>
      <c r="F523" s="2" t="s">
        <v>26</v>
      </c>
      <c r="G523" s="2" t="s">
        <v>27</v>
      </c>
      <c r="H523" s="2" t="s">
        <v>154</v>
      </c>
      <c r="I523" s="2" t="s">
        <v>155</v>
      </c>
      <c r="J523" s="2" t="s">
        <v>30</v>
      </c>
      <c r="K523" s="2" t="s">
        <v>109</v>
      </c>
      <c r="L523" s="2" t="s">
        <v>2526</v>
      </c>
      <c r="M523" s="2" t="s">
        <v>33</v>
      </c>
      <c r="N523" s="2">
        <v>6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34</v>
      </c>
      <c r="U523" s="2" t="s">
        <v>35</v>
      </c>
      <c r="V523" s="2" t="str">
        <f t="shared" si="24"/>
        <v>ORD-2025-105222025-03-252025-04-01CUST-8012Diya PatelConsumerNorthPunjabLudhianaOffice SuppliesLabelsClassic Labels 776Second Class62192.110.0512495.039184.523310.51PaidCompleted</v>
      </c>
      <c r="W523" s="2">
        <f t="shared" si="25"/>
        <v>1</v>
      </c>
      <c r="X523">
        <f t="shared" si="26"/>
        <v>1</v>
      </c>
    </row>
    <row r="524" spans="1:24">
      <c r="A524" s="2" t="s">
        <v>2527</v>
      </c>
      <c r="B524" s="2" t="s">
        <v>2528</v>
      </c>
      <c r="C524" s="2" t="s">
        <v>2324</v>
      </c>
      <c r="D524" s="2" t="s">
        <v>2529</v>
      </c>
      <c r="E524" s="2" t="s">
        <v>93</v>
      </c>
      <c r="F524" s="2" t="s">
        <v>41</v>
      </c>
      <c r="G524" s="2" t="s">
        <v>42</v>
      </c>
      <c r="H524" s="2" t="s">
        <v>311</v>
      </c>
      <c r="I524" s="2" t="s">
        <v>312</v>
      </c>
      <c r="J524" s="2" t="s">
        <v>86</v>
      </c>
      <c r="K524" s="2" t="s">
        <v>223</v>
      </c>
      <c r="L524" s="2" t="s">
        <v>2530</v>
      </c>
      <c r="M524" s="2" t="s">
        <v>56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34</v>
      </c>
      <c r="U524" s="2" t="s">
        <v>35</v>
      </c>
      <c r="V524" s="2" t="str">
        <f t="shared" si="24"/>
        <v>ORD-2025-1052302/28/202508 Mar 2025CUST-2917Neha GuptaSmall BusinessEastJharkhandRanchiTechnologyPhonesMax Phones 612First Class93670.54033034.8624539.838495.03PaidCompleted</v>
      </c>
      <c r="W524" s="2">
        <f t="shared" si="25"/>
        <v>1</v>
      </c>
      <c r="X524">
        <f t="shared" si="26"/>
        <v>1</v>
      </c>
    </row>
    <row r="525" spans="1:24">
      <c r="A525" s="2" t="s">
        <v>2531</v>
      </c>
      <c r="B525" s="2" t="s">
        <v>2532</v>
      </c>
      <c r="C525" s="2" t="s">
        <v>2533</v>
      </c>
      <c r="D525" s="2" t="s">
        <v>2534</v>
      </c>
      <c r="E525" s="2" t="s">
        <v>366</v>
      </c>
      <c r="F525" s="2" t="s">
        <v>115</v>
      </c>
      <c r="G525" s="2" t="s">
        <v>73</v>
      </c>
      <c r="H525" s="2" t="s">
        <v>249</v>
      </c>
      <c r="I525" s="2" t="s">
        <v>250</v>
      </c>
      <c r="J525" s="2" t="s">
        <v>30</v>
      </c>
      <c r="K525" s="2" t="s">
        <v>31</v>
      </c>
      <c r="L525" s="2" t="s">
        <v>2535</v>
      </c>
      <c r="M525" s="2" t="s">
        <v>33</v>
      </c>
      <c r="N525" s="2">
        <v>2</v>
      </c>
      <c r="O525" s="2">
        <v>2902.63</v>
      </c>
      <c r="P525" s="2">
        <v>0</v>
      </c>
      <c r="Q525" s="2">
        <v>5805.26</v>
      </c>
      <c r="R525" s="2">
        <v>4654.3599999999997</v>
      </c>
      <c r="S525" s="2">
        <v>1150.9000000000001</v>
      </c>
      <c r="T525" s="2" t="s">
        <v>34</v>
      </c>
      <c r="U525" s="2" t="s">
        <v>125</v>
      </c>
      <c r="V525" s="2" t="str">
        <f t="shared" si="24"/>
        <v>ORD-2024-1052402-04-20242024-04-03CUST-4653Kabir SinghHome OfficeWestGoaPanajiOffice SuppliesPaperBasic Paper 315Second Class22902.6305805.264654.361150.9PaidReturned</v>
      </c>
      <c r="W525" s="2">
        <f t="shared" si="25"/>
        <v>1</v>
      </c>
      <c r="X525">
        <f t="shared" si="26"/>
        <v>1</v>
      </c>
    </row>
    <row r="526" spans="1:24">
      <c r="A526" s="2" t="s">
        <v>2536</v>
      </c>
      <c r="B526" s="2" t="s">
        <v>2537</v>
      </c>
      <c r="C526" s="2" t="s">
        <v>2538</v>
      </c>
      <c r="D526" s="2" t="s">
        <v>2539</v>
      </c>
      <c r="E526" s="2" t="s">
        <v>72</v>
      </c>
      <c r="F526" s="2" t="s">
        <v>108</v>
      </c>
      <c r="G526" s="2" t="s">
        <v>73</v>
      </c>
      <c r="H526" s="2" t="s">
        <v>235</v>
      </c>
      <c r="I526" s="2" t="s">
        <v>236</v>
      </c>
      <c r="J526" s="2" t="s">
        <v>45</v>
      </c>
      <c r="K526" s="2" t="s">
        <v>76</v>
      </c>
      <c r="L526" s="2" t="s">
        <v>2540</v>
      </c>
      <c r="M526" s="2" t="s">
        <v>56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34</v>
      </c>
      <c r="U526" s="2" t="s">
        <v>35</v>
      </c>
      <c r="V526" s="2" t="str">
        <f t="shared" si="24"/>
        <v>ORD-2024-1052530 Nov 202401 Dec 2024CUST-3311Ananya RaoCorporateWestGujaratAhmedabadFurnitureChairsBasic Chairs 333First Class94207.360.134079.6221871.3912208.23PaidCompleted</v>
      </c>
      <c r="W526" s="2">
        <f t="shared" si="25"/>
        <v>1</v>
      </c>
      <c r="X526">
        <f t="shared" si="26"/>
        <v>1</v>
      </c>
    </row>
    <row r="527" spans="1:24">
      <c r="A527" s="2" t="s">
        <v>2541</v>
      </c>
      <c r="B527" s="2" t="s">
        <v>2542</v>
      </c>
      <c r="C527" s="2" t="s">
        <v>2543</v>
      </c>
      <c r="D527" s="2" t="s">
        <v>2544</v>
      </c>
      <c r="E527" s="2" t="s">
        <v>142</v>
      </c>
      <c r="F527" s="2" t="s">
        <v>115</v>
      </c>
      <c r="G527" s="2" t="s">
        <v>42</v>
      </c>
      <c r="H527" s="2" t="s">
        <v>121</v>
      </c>
      <c r="I527" s="2" t="s">
        <v>122</v>
      </c>
      <c r="J527" s="2" t="s">
        <v>45</v>
      </c>
      <c r="K527" s="2" t="s">
        <v>76</v>
      </c>
      <c r="L527" s="2" t="s">
        <v>2545</v>
      </c>
      <c r="M527" s="2" t="s">
        <v>67</v>
      </c>
      <c r="N527" s="2">
        <v>5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4297.3599999999997</v>
      </c>
      <c r="T527" s="2" t="s">
        <v>34</v>
      </c>
      <c r="U527" s="2" t="s">
        <v>35</v>
      </c>
      <c r="V527" s="2" t="str">
        <f t="shared" si="24"/>
        <v>ORD-2024-1052610/17/20242024-10-17CUST-2924Priya MenonHome OfficeEastWest BengalKolkataFurnitureChairsPrime Chairs 215Standard Class52524.40.111359.87062.444297.36PaidCompleted</v>
      </c>
      <c r="W527" s="2">
        <f t="shared" si="25"/>
        <v>1</v>
      </c>
      <c r="X527">
        <f t="shared" si="26"/>
        <v>1</v>
      </c>
    </row>
    <row r="528" spans="1:24">
      <c r="A528" s="2" t="s">
        <v>2546</v>
      </c>
      <c r="B528" s="2" t="s">
        <v>2547</v>
      </c>
      <c r="C528" s="2" t="s">
        <v>2548</v>
      </c>
      <c r="D528" s="2" t="s">
        <v>2549</v>
      </c>
      <c r="E528" s="2" t="s">
        <v>142</v>
      </c>
      <c r="F528" s="2" t="s">
        <v>26</v>
      </c>
      <c r="G528" s="2" t="s">
        <v>42</v>
      </c>
      <c r="H528" s="2" t="s">
        <v>43</v>
      </c>
      <c r="I528" s="2" t="s">
        <v>44</v>
      </c>
      <c r="J528" s="2" t="s">
        <v>45</v>
      </c>
      <c r="K528" s="2" t="s">
        <v>46</v>
      </c>
      <c r="L528" s="2" t="s">
        <v>2550</v>
      </c>
      <c r="M528" s="2" t="s">
        <v>33</v>
      </c>
      <c r="N528" s="2">
        <v>4</v>
      </c>
      <c r="O528" s="2">
        <v>284.04000000000002</v>
      </c>
      <c r="Q528" s="2">
        <v>908.93</v>
      </c>
      <c r="R528" s="2">
        <v>572.08000000000004</v>
      </c>
      <c r="S528" s="2">
        <v>336.85</v>
      </c>
      <c r="T528" s="2" t="s">
        <v>34</v>
      </c>
      <c r="U528" s="2" t="s">
        <v>35</v>
      </c>
      <c r="V528" s="2" t="str">
        <f t="shared" si="24"/>
        <v>ORD-2025-105272025-07-1821 Jul 2025CUST-7198Priya MenonConsumerEastOdishaBhubaneswarFurnitureTablesElite Tables 815Second Class4284.04908.93572.08336.85PaidCompleted</v>
      </c>
      <c r="W528" s="2">
        <f t="shared" si="25"/>
        <v>1</v>
      </c>
      <c r="X528">
        <f t="shared" si="26"/>
        <v>1</v>
      </c>
    </row>
    <row r="529" spans="1:24">
      <c r="A529" s="2" t="s">
        <v>2551</v>
      </c>
      <c r="B529" s="2" t="s">
        <v>2552</v>
      </c>
      <c r="C529" s="2" t="s">
        <v>2553</v>
      </c>
      <c r="D529" s="2" t="s">
        <v>2554</v>
      </c>
      <c r="E529" s="2" t="s">
        <v>107</v>
      </c>
      <c r="F529" s="2" t="s">
        <v>115</v>
      </c>
      <c r="G529" s="2" t="s">
        <v>27</v>
      </c>
      <c r="H529" s="2" t="s">
        <v>323</v>
      </c>
      <c r="I529" s="2" t="s">
        <v>324</v>
      </c>
      <c r="J529" s="2" t="s">
        <v>30</v>
      </c>
      <c r="K529" s="2" t="s">
        <v>31</v>
      </c>
      <c r="L529" s="2" t="s">
        <v>2555</v>
      </c>
      <c r="M529" s="2" t="s">
        <v>56</v>
      </c>
      <c r="N529" s="2">
        <v>5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34</v>
      </c>
      <c r="U529" s="2" t="s">
        <v>35</v>
      </c>
      <c r="V529" s="2" t="str">
        <f t="shared" si="24"/>
        <v>ORD-2025-1052801-10-20252025-10-05CUST-3419Aditi SenHome OfficeNorthHaryanaGurugramOffice SuppliesPaperBasic Paper 388First Class53247.560.1513802.1310075.933726.2PaidCompleted</v>
      </c>
      <c r="W529" s="2">
        <f t="shared" si="25"/>
        <v>1</v>
      </c>
      <c r="X529">
        <f t="shared" si="26"/>
        <v>1</v>
      </c>
    </row>
    <row r="530" spans="1:24">
      <c r="A530" s="2" t="s">
        <v>2556</v>
      </c>
      <c r="B530" s="2" t="s">
        <v>2557</v>
      </c>
      <c r="C530" s="2" t="s">
        <v>2558</v>
      </c>
      <c r="D530" s="2" t="s">
        <v>2559</v>
      </c>
      <c r="E530" s="2" t="s">
        <v>210</v>
      </c>
      <c r="F530" s="2" t="s">
        <v>26</v>
      </c>
      <c r="G530" s="2" t="s">
        <v>62</v>
      </c>
      <c r="H530" s="2" t="s">
        <v>339</v>
      </c>
      <c r="I530" s="2" t="s">
        <v>340</v>
      </c>
      <c r="J530" s="2" t="s">
        <v>30</v>
      </c>
      <c r="K530" s="2" t="s">
        <v>198</v>
      </c>
      <c r="L530" s="2" t="s">
        <v>2560</v>
      </c>
      <c r="M530" s="2" t="s">
        <v>67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137</v>
      </c>
      <c r="U530" s="2" t="s">
        <v>125</v>
      </c>
      <c r="V530" s="2" t="str">
        <f t="shared" si="24"/>
        <v>ORD-2024-105292024-10-0709-10-2024CUST-2390Diya PatelConsumerSouthTamil NaduChennaiOffice SuppliesBindersEco Binders 855Standard Class93457.090.0529558.1221302.138255.99PendingReturned</v>
      </c>
      <c r="W530" s="2">
        <f t="shared" si="25"/>
        <v>1</v>
      </c>
      <c r="X530">
        <f t="shared" si="26"/>
        <v>1</v>
      </c>
    </row>
    <row r="531" spans="1:24">
      <c r="A531" s="2" t="s">
        <v>2561</v>
      </c>
      <c r="B531" s="2" t="s">
        <v>2280</v>
      </c>
      <c r="C531" s="2" t="s">
        <v>2562</v>
      </c>
      <c r="D531" s="2" t="s">
        <v>1110</v>
      </c>
      <c r="E531" s="2" t="s">
        <v>25</v>
      </c>
      <c r="F531" s="2" t="s">
        <v>26</v>
      </c>
      <c r="G531" s="2" t="s">
        <v>42</v>
      </c>
      <c r="H531" s="2" t="s">
        <v>311</v>
      </c>
      <c r="I531" s="2" t="s">
        <v>312</v>
      </c>
      <c r="J531" s="2" t="s">
        <v>45</v>
      </c>
      <c r="K531" s="2" t="s">
        <v>204</v>
      </c>
      <c r="L531" s="2" t="s">
        <v>2563</v>
      </c>
      <c r="M531" s="2" t="s">
        <v>33</v>
      </c>
      <c r="N531" s="2">
        <v>9</v>
      </c>
      <c r="O531" s="2">
        <v>1822.25</v>
      </c>
      <c r="P531" s="2">
        <v>0</v>
      </c>
      <c r="Q531" s="2">
        <v>16400.25</v>
      </c>
      <c r="R531" s="2">
        <v>12146.96</v>
      </c>
      <c r="S531" s="2">
        <v>4253.29</v>
      </c>
      <c r="T531" s="2" t="s">
        <v>34</v>
      </c>
      <c r="U531" s="2" t="s">
        <v>35</v>
      </c>
      <c r="V531" s="2" t="str">
        <f t="shared" si="24"/>
        <v>ORD-2024-105302024-02-062024-02-08CUST-3362Karan MalhotraConsumerEastJharkhandRanchiFurnitureBookcasesClassic Bookcases 947Second Class91822.25016400.2512146.964253.29PaidCompleted</v>
      </c>
      <c r="W531" s="2">
        <f t="shared" si="25"/>
        <v>1</v>
      </c>
      <c r="X531">
        <f t="shared" si="26"/>
        <v>1</v>
      </c>
    </row>
    <row r="532" spans="1:24">
      <c r="A532" s="2" t="s">
        <v>2564</v>
      </c>
      <c r="B532" s="2" t="s">
        <v>2565</v>
      </c>
      <c r="C532" s="2" t="s">
        <v>2566</v>
      </c>
      <c r="D532" s="2" t="s">
        <v>2567</v>
      </c>
      <c r="E532" s="2" t="s">
        <v>148</v>
      </c>
      <c r="F532" s="2" t="s">
        <v>115</v>
      </c>
      <c r="G532" s="2" t="s">
        <v>62</v>
      </c>
      <c r="H532" s="2" t="s">
        <v>339</v>
      </c>
      <c r="I532" s="2" t="s">
        <v>340</v>
      </c>
      <c r="J532" s="2" t="s">
        <v>30</v>
      </c>
      <c r="K532" s="2" t="s">
        <v>198</v>
      </c>
      <c r="L532" s="2" t="s">
        <v>2568</v>
      </c>
      <c r="M532" s="2" t="s">
        <v>67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34</v>
      </c>
      <c r="U532" s="2" t="s">
        <v>35</v>
      </c>
      <c r="V532" s="2" t="str">
        <f t="shared" si="24"/>
        <v>ORD-2025-1053105/30/20252025-06-01CUST-8177Rahul VermaHome OfficeSouthTamil NaduChennaiOffice SuppliesBindersEco Binders 352Standard Class91994.510.0517053.0610742.386310.68PaidCompleted</v>
      </c>
      <c r="W532" s="2">
        <f t="shared" si="25"/>
        <v>1</v>
      </c>
      <c r="X532">
        <f t="shared" si="26"/>
        <v>1</v>
      </c>
    </row>
    <row r="533" spans="1:24">
      <c r="A533" s="2" t="s">
        <v>2569</v>
      </c>
      <c r="B533" s="2" t="s">
        <v>1299</v>
      </c>
      <c r="C533" s="2" t="s">
        <v>2570</v>
      </c>
      <c r="D533" s="2" t="s">
        <v>2571</v>
      </c>
      <c r="E533" s="2" t="s">
        <v>210</v>
      </c>
      <c r="F533" s="2" t="s">
        <v>41</v>
      </c>
      <c r="G533" s="2" t="s">
        <v>73</v>
      </c>
      <c r="H533" s="2" t="s">
        <v>74</v>
      </c>
      <c r="I533" s="2" t="s">
        <v>75</v>
      </c>
      <c r="J533" s="2" t="s">
        <v>30</v>
      </c>
      <c r="K533" s="2" t="s">
        <v>156</v>
      </c>
      <c r="L533" s="2" t="s">
        <v>2572</v>
      </c>
      <c r="N533" s="2">
        <v>1</v>
      </c>
      <c r="O533" s="2">
        <v>442.97</v>
      </c>
      <c r="P533" s="2">
        <v>0.1</v>
      </c>
      <c r="Q533" s="2">
        <v>398.67</v>
      </c>
      <c r="R533" s="2">
        <v>311.66000000000003</v>
      </c>
      <c r="S533" s="2">
        <v>87.01</v>
      </c>
      <c r="T533" s="2" t="s">
        <v>34</v>
      </c>
      <c r="U533" s="2" t="s">
        <v>35</v>
      </c>
      <c r="V533" s="2" t="str">
        <f t="shared" si="24"/>
        <v>ORD-2024-1053201 Aug 202408-08-2024CUST-6357Diya PatelSmall BusinessWestMaharashtraMumbaiOffice SuppliesStoragePro Storage 3641442.970.1398.67311.6687.01PaidCompleted</v>
      </c>
      <c r="W533" s="2">
        <f t="shared" si="25"/>
        <v>1</v>
      </c>
      <c r="X533">
        <f t="shared" si="26"/>
        <v>1</v>
      </c>
    </row>
    <row r="534" spans="1:24">
      <c r="A534" s="2" t="s">
        <v>2573</v>
      </c>
      <c r="B534" s="2" t="s">
        <v>2553</v>
      </c>
      <c r="C534" s="2" t="s">
        <v>308</v>
      </c>
      <c r="D534" s="2" t="s">
        <v>2574</v>
      </c>
      <c r="E534" s="2" t="s">
        <v>142</v>
      </c>
      <c r="F534" s="2" t="s">
        <v>108</v>
      </c>
      <c r="G534" s="2" t="s">
        <v>42</v>
      </c>
      <c r="H534" s="2" t="s">
        <v>216</v>
      </c>
      <c r="I534" s="2" t="s">
        <v>217</v>
      </c>
      <c r="J534" s="2" t="s">
        <v>45</v>
      </c>
      <c r="K534" s="2" t="s">
        <v>46</v>
      </c>
      <c r="L534" s="2" t="s">
        <v>2575</v>
      </c>
      <c r="M534" s="2" t="s">
        <v>33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200</v>
      </c>
      <c r="U534" s="2" t="s">
        <v>78</v>
      </c>
      <c r="V534" s="2" t="str">
        <f t="shared" si="24"/>
        <v>ORD-2025-105332025-10-052025-10-10CUST-7690Priya MenonCorporateEastAssamGuwahatiFurnitureTablesClassic Tables 213Second Class92089.140.0517862.159892.217969.94FailedCancelled</v>
      </c>
      <c r="W534" s="2">
        <f t="shared" si="25"/>
        <v>1</v>
      </c>
      <c r="X534">
        <f t="shared" si="26"/>
        <v>1</v>
      </c>
    </row>
    <row r="535" spans="1:24">
      <c r="A535" s="2" t="s">
        <v>2576</v>
      </c>
      <c r="B535" s="2" t="s">
        <v>2577</v>
      </c>
      <c r="C535" s="2" t="s">
        <v>395</v>
      </c>
      <c r="D535" s="2" t="s">
        <v>2578</v>
      </c>
      <c r="E535" s="2" t="s">
        <v>53</v>
      </c>
      <c r="F535" s="2" t="s">
        <v>115</v>
      </c>
      <c r="G535" s="2" t="s">
        <v>27</v>
      </c>
      <c r="H535" s="2" t="s">
        <v>28</v>
      </c>
      <c r="I535" s="2" t="s">
        <v>29</v>
      </c>
      <c r="J535" s="2" t="s">
        <v>45</v>
      </c>
      <c r="K535" s="2" t="s">
        <v>46</v>
      </c>
      <c r="L535" s="2" t="s">
        <v>2579</v>
      </c>
      <c r="M535" s="2" t="s">
        <v>48</v>
      </c>
      <c r="N535" s="2">
        <v>6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34</v>
      </c>
      <c r="U535" s="2" t="s">
        <v>35</v>
      </c>
      <c r="V535" s="2" t="str">
        <f t="shared" si="24"/>
        <v>ORD-2024-1053425 Aug 20242024-09-01CUST-4487Isha NairHome OfficeNorthRajasthanJaipurFurnitureTablesSmart Tables 659Same Day6481.30.252165.852124.48430.45PaidCompleted</v>
      </c>
      <c r="W535" s="2">
        <f t="shared" si="25"/>
        <v>1</v>
      </c>
      <c r="X535">
        <f t="shared" si="26"/>
        <v>1</v>
      </c>
    </row>
    <row r="536" spans="1:24">
      <c r="A536" s="2" t="s">
        <v>2580</v>
      </c>
      <c r="B536" s="2" t="s">
        <v>2581</v>
      </c>
      <c r="C536" s="2" t="s">
        <v>2582</v>
      </c>
      <c r="D536" s="2" t="s">
        <v>2583</v>
      </c>
      <c r="E536" s="2" t="s">
        <v>180</v>
      </c>
      <c r="F536" s="2" t="s">
        <v>115</v>
      </c>
      <c r="G536" s="2" t="s">
        <v>42</v>
      </c>
      <c r="H536" s="2" t="s">
        <v>186</v>
      </c>
      <c r="I536" s="2" t="s">
        <v>187</v>
      </c>
      <c r="J536" s="2" t="s">
        <v>86</v>
      </c>
      <c r="K536" s="2" t="s">
        <v>87</v>
      </c>
      <c r="L536" s="2" t="s">
        <v>2584</v>
      </c>
      <c r="M536" s="2" t="s">
        <v>33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137</v>
      </c>
      <c r="U536" s="2" t="s">
        <v>125</v>
      </c>
      <c r="V536" s="2" t="str">
        <f t="shared" si="24"/>
        <v>ORD-2025-1053504/27/20252025-05-05CUST-8204Rohan MehtaHome OfficeEastBiharPatnaTechnologyAccessoriesClassic Accessories 325Second Class43963.390.114268.211705.32562.9PendingReturned</v>
      </c>
      <c r="W536" s="2">
        <f t="shared" si="25"/>
        <v>1</v>
      </c>
      <c r="X536">
        <f t="shared" si="26"/>
        <v>1</v>
      </c>
    </row>
    <row r="537" spans="1:24">
      <c r="A537" s="2" t="s">
        <v>2585</v>
      </c>
      <c r="B537" s="2" t="s">
        <v>2586</v>
      </c>
      <c r="C537" s="2" t="s">
        <v>2587</v>
      </c>
      <c r="D537" s="2" t="s">
        <v>2588</v>
      </c>
      <c r="E537" s="2" t="s">
        <v>210</v>
      </c>
      <c r="F537" s="2" t="s">
        <v>41</v>
      </c>
      <c r="G537" s="2" t="s">
        <v>73</v>
      </c>
      <c r="H537" s="2" t="s">
        <v>74</v>
      </c>
      <c r="I537" s="2" t="s">
        <v>75</v>
      </c>
      <c r="J537" s="2" t="s">
        <v>86</v>
      </c>
      <c r="K537" s="2" t="s">
        <v>94</v>
      </c>
      <c r="L537" s="2" t="s">
        <v>2589</v>
      </c>
      <c r="M537" s="2" t="s">
        <v>56</v>
      </c>
      <c r="N537" s="2">
        <v>3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2214.7800000000002</v>
      </c>
      <c r="T537" s="2" t="s">
        <v>34</v>
      </c>
      <c r="U537" s="2" t="s">
        <v>35</v>
      </c>
      <c r="V537" s="2" t="str">
        <f t="shared" si="24"/>
        <v>ORD-2024-1053619-05-202421 May 2024CUST-1729Diya PatelSmall BusinessWestMaharashtraMumbaiTechnologyCopiersEco Copiers 243First Class34000.980.29602.357387.572214.78PaidCompleted</v>
      </c>
      <c r="W537" s="2">
        <f t="shared" si="25"/>
        <v>1</v>
      </c>
      <c r="X537">
        <f t="shared" si="26"/>
        <v>1</v>
      </c>
    </row>
    <row r="538" spans="1:24">
      <c r="A538" s="2" t="s">
        <v>2590</v>
      </c>
      <c r="B538" s="2" t="s">
        <v>2591</v>
      </c>
      <c r="C538" s="2" t="s">
        <v>2592</v>
      </c>
      <c r="D538" s="2" t="s">
        <v>2593</v>
      </c>
      <c r="E538" s="2" t="s">
        <v>72</v>
      </c>
      <c r="F538" s="2" t="s">
        <v>41</v>
      </c>
      <c r="G538" s="2" t="s">
        <v>73</v>
      </c>
      <c r="H538" s="2" t="s">
        <v>28</v>
      </c>
      <c r="I538" s="2" t="s">
        <v>135</v>
      </c>
      <c r="J538" s="2" t="s">
        <v>45</v>
      </c>
      <c r="K538" s="2" t="s">
        <v>76</v>
      </c>
      <c r="L538" s="2" t="s">
        <v>2594</v>
      </c>
      <c r="M538" s="2" t="s">
        <v>56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200</v>
      </c>
      <c r="U538" s="2" t="s">
        <v>78</v>
      </c>
      <c r="V538" s="2" t="str">
        <f t="shared" si="24"/>
        <v>ORD-2025-105372025-04-102025-04-17CUST-4269Ananya RaoSmall BusinessWestRajasthanUdaipurFurnitureChairsElite Chairs 777First Class73788.90.2519891.7212295.767595.96FailedCancelled</v>
      </c>
      <c r="W538" s="2">
        <f t="shared" si="25"/>
        <v>1</v>
      </c>
      <c r="X538">
        <f t="shared" si="26"/>
        <v>1</v>
      </c>
    </row>
    <row r="539" spans="1:24">
      <c r="A539" s="2" t="s">
        <v>2595</v>
      </c>
      <c r="B539" s="2" t="s">
        <v>2038</v>
      </c>
      <c r="C539" s="2" t="s">
        <v>2596</v>
      </c>
      <c r="D539" s="2" t="s">
        <v>2597</v>
      </c>
      <c r="E539" s="2" t="s">
        <v>72</v>
      </c>
      <c r="F539" s="2" t="s">
        <v>41</v>
      </c>
      <c r="G539" s="2" t="s">
        <v>27</v>
      </c>
      <c r="H539" s="2" t="s">
        <v>323</v>
      </c>
      <c r="I539" s="2" t="s">
        <v>324</v>
      </c>
      <c r="J539" s="2" t="s">
        <v>30</v>
      </c>
      <c r="K539" s="2" t="s">
        <v>54</v>
      </c>
      <c r="L539" s="2" t="s">
        <v>2598</v>
      </c>
      <c r="M539" s="2" t="s">
        <v>48</v>
      </c>
      <c r="N539" s="2">
        <v>3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200</v>
      </c>
      <c r="U539" s="2" t="s">
        <v>78</v>
      </c>
      <c r="V539" s="2" t="str">
        <f t="shared" si="24"/>
        <v>ORD-2024-105382024-01-222024-01-30CUST-1370Ananya RaoSmall BusinessNorthHaryanaGurugramOffice SuppliesArtClassic Art 772Same Day3676.370.051927.651460.6467.05FailedCancelled</v>
      </c>
      <c r="W539" s="2">
        <f t="shared" si="25"/>
        <v>1</v>
      </c>
      <c r="X539">
        <f t="shared" si="26"/>
        <v>1</v>
      </c>
    </row>
    <row r="540" spans="1:24">
      <c r="A540" s="2" t="s">
        <v>2599</v>
      </c>
      <c r="B540" s="2" t="s">
        <v>2266</v>
      </c>
      <c r="C540" s="2" t="s">
        <v>2600</v>
      </c>
      <c r="D540" s="2" t="s">
        <v>2601</v>
      </c>
      <c r="E540" s="2" t="s">
        <v>210</v>
      </c>
      <c r="F540" s="2" t="s">
        <v>41</v>
      </c>
      <c r="G540" s="2" t="s">
        <v>42</v>
      </c>
      <c r="H540" s="2" t="s">
        <v>311</v>
      </c>
      <c r="I540" s="2" t="s">
        <v>312</v>
      </c>
      <c r="J540" s="2" t="s">
        <v>45</v>
      </c>
      <c r="K540" s="2" t="s">
        <v>46</v>
      </c>
      <c r="L540" s="2" t="s">
        <v>2602</v>
      </c>
      <c r="M540" s="2" t="s">
        <v>33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34</v>
      </c>
      <c r="U540" s="2" t="s">
        <v>35</v>
      </c>
      <c r="V540" s="2" t="str">
        <f t="shared" si="24"/>
        <v>ORD-2024-1053925-09-202401-10-2024CUST-5381Diya PatelSmall BusinessEastJharkhandRanchiFurnitureTablesElite Tables 888Second Class93908.60.1529900.7924650.675250.12PaidCompleted</v>
      </c>
      <c r="W540" s="2">
        <f t="shared" si="25"/>
        <v>1</v>
      </c>
      <c r="X540">
        <f t="shared" si="26"/>
        <v>1</v>
      </c>
    </row>
    <row r="541" spans="1:24">
      <c r="A541" s="2" t="s">
        <v>2603</v>
      </c>
      <c r="B541" s="2" t="s">
        <v>1216</v>
      </c>
      <c r="C541" s="2" t="s">
        <v>2415</v>
      </c>
      <c r="D541" s="2" t="s">
        <v>2604</v>
      </c>
      <c r="E541" s="2" t="s">
        <v>2605</v>
      </c>
      <c r="F541" s="2" t="s">
        <v>41</v>
      </c>
      <c r="G541" s="2" t="s">
        <v>62</v>
      </c>
      <c r="H541" s="2" t="s">
        <v>339</v>
      </c>
      <c r="I541" s="2" t="s">
        <v>340</v>
      </c>
      <c r="J541" s="2" t="s">
        <v>45</v>
      </c>
      <c r="K541" s="2" t="s">
        <v>76</v>
      </c>
      <c r="L541" s="2" t="s">
        <v>2606</v>
      </c>
      <c r="M541" s="2" t="s">
        <v>67</v>
      </c>
      <c r="N541" s="2">
        <v>3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34</v>
      </c>
      <c r="U541" s="2" t="s">
        <v>78</v>
      </c>
      <c r="V541" s="2" t="str">
        <f t="shared" si="24"/>
        <v>ORD-2025-1054007/04/20252025-07-04CUST-3694mira dasSmall BusinessSouthTamil NaduChennaiFurnitureChairsClassic Chairs 666Standard Class3705.350.11904.451316.54587.91PaidCancelled</v>
      </c>
      <c r="W541" s="2">
        <f t="shared" si="25"/>
        <v>1</v>
      </c>
      <c r="X541">
        <f t="shared" si="26"/>
        <v>1</v>
      </c>
    </row>
    <row r="542" spans="1:24">
      <c r="A542" s="2" t="s">
        <v>2607</v>
      </c>
      <c r="B542" s="2" t="s">
        <v>2608</v>
      </c>
      <c r="C542" s="2" t="s">
        <v>2343</v>
      </c>
      <c r="D542" s="2" t="s">
        <v>2609</v>
      </c>
      <c r="E542" s="2" t="s">
        <v>366</v>
      </c>
      <c r="F542" s="2" t="s">
        <v>26</v>
      </c>
      <c r="G542" s="2" t="s">
        <v>73</v>
      </c>
      <c r="H542" s="2" t="s">
        <v>235</v>
      </c>
      <c r="I542" s="2" t="s">
        <v>236</v>
      </c>
      <c r="J542" s="2" t="s">
        <v>45</v>
      </c>
      <c r="K542" s="2" t="s">
        <v>65</v>
      </c>
      <c r="L542" s="2" t="s">
        <v>2610</v>
      </c>
      <c r="M542" s="2" t="s">
        <v>67</v>
      </c>
      <c r="N542" s="2">
        <v>7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4453.5200000000004</v>
      </c>
      <c r="T542" s="2" t="s">
        <v>34</v>
      </c>
      <c r="U542" s="2" t="s">
        <v>35</v>
      </c>
      <c r="V542" s="2" t="str">
        <f t="shared" si="24"/>
        <v>ORD-2024-1054126-02-202423 Feb 2024CUST-7563Kabir SinghConsumerWestGujaratAhmedabadFurnitureFurnishingsBasic Furnishings 350Standard Class73852.070.221571.5917118.074453.52PaidCompleted</v>
      </c>
      <c r="W542" s="2">
        <f t="shared" si="25"/>
        <v>1</v>
      </c>
      <c r="X542">
        <f t="shared" si="26"/>
        <v>1</v>
      </c>
    </row>
    <row r="543" spans="1:24">
      <c r="A543" s="2" t="s">
        <v>2611</v>
      </c>
      <c r="B543" s="2" t="s">
        <v>2612</v>
      </c>
      <c r="C543" s="2" t="s">
        <v>2613</v>
      </c>
      <c r="D543" s="2" t="s">
        <v>2614</v>
      </c>
      <c r="E543" s="2" t="s">
        <v>168</v>
      </c>
      <c r="F543" s="2" t="s">
        <v>26</v>
      </c>
      <c r="G543" s="2" t="s">
        <v>73</v>
      </c>
      <c r="H543" s="2" t="s">
        <v>74</v>
      </c>
      <c r="I543" s="2" t="s">
        <v>75</v>
      </c>
      <c r="J543" s="2" t="s">
        <v>86</v>
      </c>
      <c r="K543" s="2" t="s">
        <v>94</v>
      </c>
      <c r="L543" s="2" t="s">
        <v>2615</v>
      </c>
      <c r="M543" s="2" t="s">
        <v>48</v>
      </c>
      <c r="N543" s="2">
        <v>3</v>
      </c>
      <c r="O543" s="2">
        <v>2880.56</v>
      </c>
      <c r="P543" s="2">
        <v>0</v>
      </c>
      <c r="Q543" s="2">
        <v>8641.68</v>
      </c>
      <c r="R543" s="2">
        <v>5747.09</v>
      </c>
      <c r="S543" s="2">
        <v>2894.59</v>
      </c>
      <c r="T543" s="2" t="s">
        <v>34</v>
      </c>
      <c r="U543" s="2" t="s">
        <v>125</v>
      </c>
      <c r="V543" s="2" t="str">
        <f t="shared" si="24"/>
        <v>ORD-2025-1054208-07-20252025-07-09CUST-4188Sneha KapoorConsumerWestMaharashtraMumbaiTechnologyCopiersElite Copiers 831Same Day32880.5608641.685747.092894.59PaidReturned</v>
      </c>
      <c r="W543" s="2">
        <f t="shared" si="25"/>
        <v>1</v>
      </c>
      <c r="X543">
        <f t="shared" si="26"/>
        <v>1</v>
      </c>
    </row>
    <row r="544" spans="1:24">
      <c r="A544" s="2" t="s">
        <v>2616</v>
      </c>
      <c r="B544" s="2" t="s">
        <v>2617</v>
      </c>
      <c r="C544" s="2" t="s">
        <v>2618</v>
      </c>
      <c r="D544" s="2" t="s">
        <v>2619</v>
      </c>
      <c r="E544" s="2" t="s">
        <v>148</v>
      </c>
      <c r="F544" s="2" t="s">
        <v>115</v>
      </c>
      <c r="G544" s="2" t="s">
        <v>62</v>
      </c>
      <c r="H544" s="2" t="s">
        <v>242</v>
      </c>
      <c r="I544" s="2" t="s">
        <v>243</v>
      </c>
      <c r="J544" s="2" t="s">
        <v>45</v>
      </c>
      <c r="K544" s="2" t="s">
        <v>204</v>
      </c>
      <c r="L544" s="2" t="s">
        <v>2620</v>
      </c>
      <c r="M544" s="2" t="s">
        <v>33</v>
      </c>
      <c r="N544" s="2">
        <v>3</v>
      </c>
      <c r="O544" s="2">
        <v>4067.62</v>
      </c>
      <c r="P544" s="2">
        <v>0.2</v>
      </c>
      <c r="Q544" s="2">
        <v>9988.5300000000007</v>
      </c>
      <c r="R544" s="2">
        <v>8368.24</v>
      </c>
      <c r="S544" s="2">
        <v>1394.05</v>
      </c>
      <c r="T544" s="2" t="s">
        <v>34</v>
      </c>
      <c r="U544" s="2" t="s">
        <v>2621</v>
      </c>
      <c r="V544" s="2" t="str">
        <f t="shared" si="24"/>
        <v>ORD-2024-1054309/17/20242024-09-23CUST-9376Rahul VermaHome OfficeSouthKeralaKochiFurnitureBookcasesEco Bookcases 759Second Class34067.620.29988.538368.241394.05PaidCANCELLED</v>
      </c>
      <c r="W544" s="2">
        <f t="shared" si="25"/>
        <v>1</v>
      </c>
      <c r="X544">
        <f t="shared" si="26"/>
        <v>1</v>
      </c>
    </row>
    <row r="545" spans="1:25">
      <c r="A545" s="2" t="s">
        <v>2622</v>
      </c>
      <c r="B545" s="2" t="s">
        <v>2623</v>
      </c>
      <c r="C545" s="2" t="s">
        <v>400</v>
      </c>
      <c r="D545" s="2" t="s">
        <v>2624</v>
      </c>
      <c r="E545" s="2" t="s">
        <v>40</v>
      </c>
      <c r="F545" s="2" t="s">
        <v>26</v>
      </c>
      <c r="G545" s="2" t="s">
        <v>42</v>
      </c>
      <c r="H545" s="2" t="s">
        <v>186</v>
      </c>
      <c r="I545" s="2" t="s">
        <v>187</v>
      </c>
      <c r="J545" s="2" t="s">
        <v>86</v>
      </c>
      <c r="K545" s="2" t="s">
        <v>94</v>
      </c>
      <c r="L545" s="2" t="s">
        <v>2625</v>
      </c>
      <c r="M545" s="2" t="s">
        <v>48</v>
      </c>
      <c r="N545" s="2">
        <v>1</v>
      </c>
      <c r="O545" s="2">
        <v>492.67</v>
      </c>
      <c r="P545" s="2">
        <v>0.15</v>
      </c>
      <c r="Q545" s="2">
        <v>418.77</v>
      </c>
      <c r="R545" s="2">
        <v>313.72000000000003</v>
      </c>
      <c r="S545" s="2">
        <v>105.05</v>
      </c>
      <c r="T545" s="2" t="s">
        <v>34</v>
      </c>
      <c r="U545" s="2" t="s">
        <v>35</v>
      </c>
      <c r="V545" s="2" t="str">
        <f t="shared" si="24"/>
        <v>ORD-2024-105442024-07-1420-07-2024CUST-9094Mira DasConsumerEastBiharPatnaTechnologyCopiersMax Copiers 440Same Day1492.670.15418.77313.72105.05PaidCompleted</v>
      </c>
      <c r="W545" s="2">
        <f t="shared" si="25"/>
        <v>1</v>
      </c>
      <c r="X545">
        <f t="shared" si="26"/>
        <v>1</v>
      </c>
    </row>
    <row r="546" spans="1:25">
      <c r="A546" s="2" t="s">
        <v>2626</v>
      </c>
      <c r="B546" s="2" t="s">
        <v>2627</v>
      </c>
      <c r="C546" s="2" t="s">
        <v>2060</v>
      </c>
      <c r="D546" s="2" t="s">
        <v>2628</v>
      </c>
      <c r="E546" s="2" t="s">
        <v>72</v>
      </c>
      <c r="F546" s="2" t="s">
        <v>26</v>
      </c>
      <c r="G546" s="2" t="s">
        <v>62</v>
      </c>
      <c r="H546" s="2" t="s">
        <v>242</v>
      </c>
      <c r="I546" s="2" t="s">
        <v>243</v>
      </c>
      <c r="J546" s="2" t="s">
        <v>30</v>
      </c>
      <c r="K546" s="2" t="s">
        <v>54</v>
      </c>
      <c r="L546" s="2" t="s">
        <v>2629</v>
      </c>
      <c r="M546" s="2" t="s">
        <v>48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34</v>
      </c>
      <c r="U546" s="2" t="s">
        <v>78</v>
      </c>
      <c r="V546" s="2" t="str">
        <f t="shared" si="24"/>
        <v>ORD-2025-105452025-01-2902/05/2025CUST-2366Ananya RaoConsumerSouthKeralaKochiOffice SuppliesArtSmart Art 201Same Day83643.620.2521861.7218464.343397.38PaidCancelled</v>
      </c>
      <c r="W546" s="2">
        <f t="shared" si="25"/>
        <v>1</v>
      </c>
      <c r="X546">
        <f t="shared" si="26"/>
        <v>1</v>
      </c>
    </row>
    <row r="547" spans="1:25">
      <c r="A547" s="2" t="s">
        <v>2630</v>
      </c>
      <c r="B547" s="2" t="s">
        <v>2631</v>
      </c>
      <c r="C547" s="2" t="s">
        <v>2632</v>
      </c>
      <c r="D547" s="2" t="s">
        <v>2633</v>
      </c>
      <c r="E547" s="2" t="s">
        <v>366</v>
      </c>
      <c r="F547" s="2" t="s">
        <v>41</v>
      </c>
      <c r="G547" s="2" t="s">
        <v>42</v>
      </c>
      <c r="H547" s="2" t="s">
        <v>311</v>
      </c>
      <c r="I547" s="2" t="s">
        <v>312</v>
      </c>
      <c r="J547" s="2" t="s">
        <v>30</v>
      </c>
      <c r="K547" s="2" t="s">
        <v>156</v>
      </c>
      <c r="L547" s="2" t="s">
        <v>2634</v>
      </c>
      <c r="M547" s="2" t="s">
        <v>48</v>
      </c>
      <c r="N547" s="2">
        <v>7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34</v>
      </c>
      <c r="U547" s="2" t="s">
        <v>35</v>
      </c>
      <c r="V547" s="2" t="str">
        <f t="shared" si="24"/>
        <v>ORD-2024-1054605/27/202430 May 2024CUST-7168Kabir SinghSmall BusinessEastJharkhandRanchiOffice SuppliesStorageClassic Storage 755Same Day72900.860.1517260.1213513.513746.61PaidCompleted</v>
      </c>
      <c r="W547" s="2">
        <f t="shared" si="25"/>
        <v>1</v>
      </c>
      <c r="X547">
        <f t="shared" si="26"/>
        <v>1</v>
      </c>
    </row>
    <row r="548" spans="1:25">
      <c r="A548" s="2" t="s">
        <v>2635</v>
      </c>
      <c r="B548" s="2" t="s">
        <v>2636</v>
      </c>
      <c r="C548" s="2" t="s">
        <v>1491</v>
      </c>
      <c r="D548" s="2" t="s">
        <v>2637</v>
      </c>
      <c r="E548" s="2" t="s">
        <v>61</v>
      </c>
      <c r="F548" s="2" t="s">
        <v>108</v>
      </c>
      <c r="G548" s="2" t="s">
        <v>73</v>
      </c>
      <c r="H548" s="2" t="s">
        <v>235</v>
      </c>
      <c r="I548" s="2" t="s">
        <v>236</v>
      </c>
      <c r="J548" s="2" t="s">
        <v>2638</v>
      </c>
      <c r="K548" s="2" t="s">
        <v>31</v>
      </c>
      <c r="L548" s="2" t="s">
        <v>2639</v>
      </c>
      <c r="M548" s="2" t="s">
        <v>56</v>
      </c>
      <c r="N548" s="2">
        <v>5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34</v>
      </c>
      <c r="U548" s="2" t="s">
        <v>35</v>
      </c>
      <c r="V548" s="2" t="str">
        <f t="shared" si="24"/>
        <v>ORD-2025-105472025-08-1422 Aug 2025CUST-8157Arjun BoseCorporateWestGujaratAhmedabadoffice suppliesPaperPrime Paper 143First Class52567.370.1510911.326966.444395.17PaidCompleted</v>
      </c>
      <c r="W548" s="2">
        <f t="shared" si="25"/>
        <v>1</v>
      </c>
      <c r="X548">
        <f t="shared" si="26"/>
        <v>1</v>
      </c>
    </row>
    <row r="549" spans="1:25">
      <c r="A549" s="2" t="s">
        <v>2640</v>
      </c>
      <c r="B549" s="2" t="s">
        <v>2641</v>
      </c>
      <c r="C549" s="2" t="s">
        <v>2642</v>
      </c>
      <c r="D549" s="2" t="s">
        <v>2643</v>
      </c>
      <c r="E549" s="2" t="s">
        <v>93</v>
      </c>
      <c r="F549" s="2" t="s">
        <v>41</v>
      </c>
      <c r="G549" s="2" t="s">
        <v>27</v>
      </c>
      <c r="H549" s="2" t="s">
        <v>174</v>
      </c>
      <c r="I549" s="2" t="s">
        <v>175</v>
      </c>
      <c r="J549" s="2" t="s">
        <v>86</v>
      </c>
      <c r="K549" s="2" t="s">
        <v>94</v>
      </c>
      <c r="L549" s="2" t="s">
        <v>2644</v>
      </c>
      <c r="M549" s="2" t="s">
        <v>67</v>
      </c>
      <c r="N549" s="2">
        <v>9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4993.8599999999997</v>
      </c>
      <c r="T549" s="2" t="s">
        <v>34</v>
      </c>
      <c r="U549" s="2" t="s">
        <v>35</v>
      </c>
      <c r="V549" s="2" t="str">
        <f t="shared" si="24"/>
        <v>ORD-2024-1054816 May 202423 May 2024CUST-9146Neha GuptaSmall BusinessNorthUttar PradeshNoidaTechnologyCopiersMax Copiers 607Standard Class93722.090.130148.9325155.074993.86PaidCompleted</v>
      </c>
      <c r="W549" s="2">
        <f t="shared" si="25"/>
        <v>1</v>
      </c>
      <c r="X549">
        <f t="shared" si="26"/>
        <v>1</v>
      </c>
    </row>
    <row r="550" spans="1:25">
      <c r="A550" s="2" t="s">
        <v>2645</v>
      </c>
      <c r="B550" s="2" t="s">
        <v>274</v>
      </c>
      <c r="C550" s="2" t="s">
        <v>273</v>
      </c>
      <c r="D550" s="2" t="s">
        <v>2646</v>
      </c>
      <c r="E550" s="2" t="s">
        <v>180</v>
      </c>
      <c r="F550" s="2" t="s">
        <v>108</v>
      </c>
      <c r="G550" s="2" t="s">
        <v>42</v>
      </c>
      <c r="H550" s="2" t="s">
        <v>186</v>
      </c>
      <c r="I550" s="2" t="s">
        <v>187</v>
      </c>
      <c r="J550" s="2" t="s">
        <v>45</v>
      </c>
      <c r="K550" s="2" t="s">
        <v>204</v>
      </c>
      <c r="L550" s="2" t="s">
        <v>2647</v>
      </c>
      <c r="M550" s="2" t="s">
        <v>48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137</v>
      </c>
      <c r="U550" s="2" t="s">
        <v>78</v>
      </c>
      <c r="V550" s="2" t="str">
        <f t="shared" si="24"/>
        <v>ORD-2024-1054929 May 202429-05-2024CUST-5129Rohan MehtaCorporateEastBiharPatnaFurnitureBookcasesPrime Bookcases 402Same Day11072.0101072.01852.62219.39PendingCancelled</v>
      </c>
      <c r="W550" s="2">
        <f t="shared" si="25"/>
        <v>1</v>
      </c>
      <c r="X550">
        <f t="shared" si="26"/>
        <v>1</v>
      </c>
    </row>
    <row r="551" spans="1:25">
      <c r="A551" s="2" t="s">
        <v>2648</v>
      </c>
      <c r="B551" s="2" t="s">
        <v>2649</v>
      </c>
      <c r="C551" s="2" t="s">
        <v>2650</v>
      </c>
      <c r="D551" s="2" t="s">
        <v>2651</v>
      </c>
      <c r="E551" s="2" t="s">
        <v>40</v>
      </c>
      <c r="F551" s="2" t="s">
        <v>108</v>
      </c>
      <c r="G551" s="2" t="s">
        <v>62</v>
      </c>
      <c r="H551" s="2" t="s">
        <v>63</v>
      </c>
      <c r="I551" s="2" t="s">
        <v>64</v>
      </c>
      <c r="J551" s="2" t="s">
        <v>30</v>
      </c>
      <c r="K551" s="2" t="s">
        <v>54</v>
      </c>
      <c r="L551" s="2" t="s">
        <v>2652</v>
      </c>
      <c r="M551" s="2" t="s">
        <v>33</v>
      </c>
      <c r="N551" s="2">
        <v>3</v>
      </c>
      <c r="O551" s="2">
        <v>3804.27</v>
      </c>
      <c r="P551" s="2">
        <v>0.1</v>
      </c>
      <c r="Q551" s="2">
        <v>10271.530000000001</v>
      </c>
      <c r="R551" s="2">
        <v>8272.24</v>
      </c>
      <c r="S551" s="2">
        <v>1999.29</v>
      </c>
      <c r="T551" s="2" t="s">
        <v>34</v>
      </c>
      <c r="U551" s="2" t="s">
        <v>35</v>
      </c>
      <c r="V551" s="2" t="str">
        <f t="shared" si="24"/>
        <v>ORD-2025-1055010/11/202513 Oct 2025CUST-6028Mira DasCorporateSouthTelanganaHyderabadOffice SuppliesArtPro Art 287Second Class33804.270.110271.538272.241999.29PaidCompleted</v>
      </c>
      <c r="W551" s="2">
        <f t="shared" si="25"/>
        <v>2</v>
      </c>
      <c r="X551">
        <f t="shared" si="26"/>
        <v>2</v>
      </c>
      <c r="Y551" s="2" t="s">
        <v>4096</v>
      </c>
    </row>
    <row r="552" spans="1:25">
      <c r="A552" s="2" t="s">
        <v>2653</v>
      </c>
      <c r="B552" s="2" t="s">
        <v>538</v>
      </c>
      <c r="C552" s="2" t="s">
        <v>2654</v>
      </c>
      <c r="D552" s="2" t="s">
        <v>2655</v>
      </c>
      <c r="E552" s="2" t="s">
        <v>40</v>
      </c>
      <c r="F552" s="2" t="s">
        <v>115</v>
      </c>
      <c r="G552" s="2" t="s">
        <v>42</v>
      </c>
      <c r="H552" s="2" t="s">
        <v>43</v>
      </c>
      <c r="I552" s="2" t="s">
        <v>44</v>
      </c>
      <c r="J552" s="2" t="s">
        <v>86</v>
      </c>
      <c r="K552" s="2" t="s">
        <v>87</v>
      </c>
      <c r="L552" s="2" t="s">
        <v>2656</v>
      </c>
      <c r="M552" s="2" t="s">
        <v>67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34</v>
      </c>
      <c r="U552" s="2" t="s">
        <v>35</v>
      </c>
      <c r="V552" s="2" t="str">
        <f t="shared" si="24"/>
        <v>ORD-2024-1055102-08-202408/10/2024CUST-8687Mira DasHome OfficeEastOdishaBhubaneswarTechnologyAccessoriesMax Accessories 591Standard Class62126.440.210206.916764.533442.38PaidCompleted</v>
      </c>
      <c r="W552" s="2">
        <f t="shared" si="25"/>
        <v>1</v>
      </c>
      <c r="X552">
        <f t="shared" si="26"/>
        <v>1</v>
      </c>
    </row>
    <row r="553" spans="1:25">
      <c r="A553" s="2" t="s">
        <v>2657</v>
      </c>
      <c r="B553" s="2" t="s">
        <v>2089</v>
      </c>
      <c r="C553" s="2" t="s">
        <v>2658</v>
      </c>
      <c r="D553" s="2" t="s">
        <v>2659</v>
      </c>
      <c r="E553" s="2" t="s">
        <v>168</v>
      </c>
      <c r="F553" s="2" t="s">
        <v>26</v>
      </c>
      <c r="G553" s="2" t="s">
        <v>42</v>
      </c>
      <c r="H553" s="2" t="s">
        <v>311</v>
      </c>
      <c r="I553" s="2" t="s">
        <v>312</v>
      </c>
      <c r="J553" s="2" t="s">
        <v>45</v>
      </c>
      <c r="K553" s="2" t="s">
        <v>76</v>
      </c>
      <c r="L553" s="2" t="s">
        <v>2660</v>
      </c>
      <c r="M553" s="2" t="s">
        <v>33</v>
      </c>
      <c r="N553" s="2">
        <v>3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34</v>
      </c>
      <c r="U553" s="2" t="s">
        <v>35</v>
      </c>
      <c r="V553" s="2" t="str">
        <f t="shared" si="24"/>
        <v>ORD-2024-1055227-02-20242024-02-27CUST-8172Sneha KapoorConsumerEastJharkhandRanchiFurnitureChairsElite Chairs 314Second Class33148.090.158027.635496.092531.54PaidCompleted</v>
      </c>
      <c r="W553" s="2">
        <f t="shared" si="25"/>
        <v>1</v>
      </c>
      <c r="X553">
        <f t="shared" si="26"/>
        <v>1</v>
      </c>
    </row>
    <row r="554" spans="1:25">
      <c r="A554" s="2" t="s">
        <v>2661</v>
      </c>
      <c r="B554" s="2" t="s">
        <v>190</v>
      </c>
      <c r="C554" s="2" t="s">
        <v>343</v>
      </c>
      <c r="D554" s="2" t="s">
        <v>2662</v>
      </c>
      <c r="E554" s="2" t="s">
        <v>72</v>
      </c>
      <c r="F554" s="2" t="s">
        <v>108</v>
      </c>
      <c r="G554" s="2" t="s">
        <v>42</v>
      </c>
      <c r="H554" s="2" t="s">
        <v>121</v>
      </c>
      <c r="I554" s="2" t="s">
        <v>122</v>
      </c>
      <c r="J554" s="2" t="s">
        <v>86</v>
      </c>
      <c r="K554" s="2" t="s">
        <v>94</v>
      </c>
      <c r="L554" s="2" t="s">
        <v>2663</v>
      </c>
      <c r="M554" s="2" t="s">
        <v>67</v>
      </c>
      <c r="N554" s="2">
        <v>8</v>
      </c>
      <c r="O554" s="2">
        <v>312.52999999999997</v>
      </c>
      <c r="P554" s="2" t="s">
        <v>681</v>
      </c>
      <c r="Q554" s="2">
        <v>1875.18</v>
      </c>
      <c r="R554" s="2">
        <v>1579.17</v>
      </c>
      <c r="S554" s="2">
        <v>296.01</v>
      </c>
      <c r="T554" s="2" t="s">
        <v>34</v>
      </c>
      <c r="U554" s="2" t="s">
        <v>35</v>
      </c>
      <c r="V554" s="2" t="str">
        <f t="shared" si="24"/>
        <v>ORD-2025-1055324-01-202530 Jan 2025CUST-8861Ananya RaoCorporateEastWest BengalKolkataTechnologyCopiersPro Copiers 246Standard Class8312.5370%1875.181579.17296.01PaidCompleted</v>
      </c>
      <c r="W554" s="2">
        <f t="shared" si="25"/>
        <v>1</v>
      </c>
      <c r="X554">
        <f t="shared" si="26"/>
        <v>1</v>
      </c>
    </row>
    <row r="555" spans="1:25">
      <c r="A555" s="2" t="s">
        <v>2664</v>
      </c>
      <c r="B555" s="2" t="s">
        <v>2665</v>
      </c>
      <c r="C555" s="2" t="s">
        <v>2666</v>
      </c>
      <c r="D555" s="2" t="s">
        <v>2667</v>
      </c>
      <c r="E555" s="2" t="s">
        <v>162</v>
      </c>
      <c r="F555" s="2" t="s">
        <v>41</v>
      </c>
      <c r="G555" s="2" t="s">
        <v>73</v>
      </c>
      <c r="H555" s="2" t="s">
        <v>235</v>
      </c>
      <c r="I555" s="2" t="s">
        <v>236</v>
      </c>
      <c r="J555" s="2" t="s">
        <v>30</v>
      </c>
      <c r="K555" s="2" t="s">
        <v>156</v>
      </c>
      <c r="L555" s="2" t="s">
        <v>2668</v>
      </c>
      <c r="M555" s="2" t="s">
        <v>56</v>
      </c>
      <c r="N555" s="2">
        <v>9</v>
      </c>
      <c r="O555" s="2">
        <v>1294.1099999999999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34</v>
      </c>
      <c r="U555" s="2" t="s">
        <v>35</v>
      </c>
      <c r="V555" s="2" t="str">
        <f t="shared" si="24"/>
        <v>ORD-2025-1055404/25/20252025-04-28CUST-9241Aarav SharmaSmall BusinessWestGujaratAhmedabadOffice SuppliesStoragePro Storage 128First Class91294.110.258735.246620.072115.17PaidCompleted</v>
      </c>
      <c r="W555" s="2">
        <f t="shared" si="25"/>
        <v>1</v>
      </c>
      <c r="X555">
        <f t="shared" si="26"/>
        <v>1</v>
      </c>
    </row>
    <row r="556" spans="1:25">
      <c r="A556" s="2" t="s">
        <v>2669</v>
      </c>
      <c r="B556" s="2" t="s">
        <v>2670</v>
      </c>
      <c r="C556" s="2" t="s">
        <v>2671</v>
      </c>
      <c r="D556" s="2" t="s">
        <v>2672</v>
      </c>
      <c r="E556" s="2" t="s">
        <v>61</v>
      </c>
      <c r="F556" s="2" t="s">
        <v>26</v>
      </c>
      <c r="H556" s="2" t="s">
        <v>311</v>
      </c>
      <c r="I556" s="2" t="s">
        <v>312</v>
      </c>
      <c r="J556" s="2" t="s">
        <v>45</v>
      </c>
      <c r="K556" s="2" t="s">
        <v>65</v>
      </c>
      <c r="L556" s="2" t="s">
        <v>2673</v>
      </c>
      <c r="M556" s="2" t="s">
        <v>67</v>
      </c>
      <c r="N556" s="2">
        <v>4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34</v>
      </c>
      <c r="U556" s="2" t="s">
        <v>35</v>
      </c>
      <c r="V556" s="2" t="str">
        <f t="shared" si="24"/>
        <v>ORD-2024-105552024-10-1217 Oct 2024CUST-2126Arjun BoseConsumerJharkhandRanchiFurnitureFurnishingsPrime Furnishings 892Standard Class41071.220.054070.642831.621239.02PaidCompleted</v>
      </c>
      <c r="W556" s="2">
        <f t="shared" si="25"/>
        <v>1</v>
      </c>
      <c r="X556">
        <f t="shared" si="26"/>
        <v>1</v>
      </c>
    </row>
    <row r="557" spans="1:25">
      <c r="A557" s="2" t="s">
        <v>2674</v>
      </c>
      <c r="B557" s="2" t="s">
        <v>882</v>
      </c>
      <c r="C557" s="2" t="s">
        <v>2675</v>
      </c>
      <c r="D557" s="2" t="s">
        <v>2676</v>
      </c>
      <c r="E557" s="2" t="s">
        <v>72</v>
      </c>
      <c r="F557" s="2" t="s">
        <v>41</v>
      </c>
      <c r="G557" s="2" t="s">
        <v>62</v>
      </c>
      <c r="H557" s="2" t="s">
        <v>63</v>
      </c>
      <c r="I557" s="2" t="s">
        <v>64</v>
      </c>
      <c r="J557" s="2" t="s">
        <v>30</v>
      </c>
      <c r="K557" s="2" t="s">
        <v>156</v>
      </c>
      <c r="L557" s="2" t="s">
        <v>2677</v>
      </c>
      <c r="M557" s="2" t="s">
        <v>67</v>
      </c>
      <c r="N557" s="2">
        <v>6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2339.8200000000002</v>
      </c>
      <c r="T557" s="2" t="s">
        <v>34</v>
      </c>
      <c r="U557" s="2" t="s">
        <v>35</v>
      </c>
      <c r="V557" s="2" t="str">
        <f t="shared" si="24"/>
        <v>ORD-2025-1055604-02-202510 Feb 2025CUST-7513Ananya RaoSmall BusinessSouthTelanganaHyderabadOffice SuppliesStoragePrime Storage 689Standard Class61042.80.055943.963604.142339.82PaidCompleted</v>
      </c>
      <c r="W557" s="2">
        <f t="shared" si="25"/>
        <v>1</v>
      </c>
      <c r="X557">
        <f t="shared" si="26"/>
        <v>1</v>
      </c>
    </row>
    <row r="558" spans="1:25">
      <c r="A558" s="2" t="s">
        <v>2678</v>
      </c>
      <c r="B558" s="2" t="s">
        <v>1553</v>
      </c>
      <c r="C558" s="2" t="s">
        <v>2095</v>
      </c>
      <c r="D558" s="2" t="s">
        <v>2679</v>
      </c>
      <c r="E558" s="2" t="s">
        <v>93</v>
      </c>
      <c r="F558" s="2" t="s">
        <v>26</v>
      </c>
      <c r="G558" s="2" t="s">
        <v>27</v>
      </c>
      <c r="H558" s="2" t="s">
        <v>323</v>
      </c>
      <c r="I558" s="2" t="s">
        <v>324</v>
      </c>
      <c r="J558" s="2" t="s">
        <v>45</v>
      </c>
      <c r="K558" s="2" t="s">
        <v>46</v>
      </c>
      <c r="L558" s="2" t="s">
        <v>2680</v>
      </c>
      <c r="M558" s="2" t="s">
        <v>56</v>
      </c>
      <c r="N558" s="2">
        <v>1</v>
      </c>
      <c r="O558" s="2">
        <v>4426.66</v>
      </c>
      <c r="P558" s="2">
        <v>0</v>
      </c>
      <c r="Q558" s="2">
        <v>4426.66</v>
      </c>
      <c r="R558" s="2">
        <v>3035.2</v>
      </c>
      <c r="S558" s="2">
        <v>1816.23</v>
      </c>
      <c r="T558" s="2" t="s">
        <v>34</v>
      </c>
      <c r="U558" s="2" t="s">
        <v>125</v>
      </c>
      <c r="V558" s="2" t="str">
        <f t="shared" si="24"/>
        <v>ORD-2024-1055723 Jun 20242024-06-29CUST-1992Neha GuptaConsumerNorthHaryanaGurugramFurnitureTablesClassic Tables 769First Class14426.6604426.663035.21816.23PaidReturned</v>
      </c>
      <c r="W558" s="2">
        <f t="shared" si="25"/>
        <v>1</v>
      </c>
      <c r="X558">
        <f t="shared" si="26"/>
        <v>1</v>
      </c>
    </row>
    <row r="559" spans="1:25">
      <c r="A559" s="2" t="s">
        <v>2681</v>
      </c>
      <c r="B559" s="2" t="s">
        <v>2682</v>
      </c>
      <c r="C559" s="2" t="s">
        <v>2683</v>
      </c>
      <c r="D559" s="2" t="s">
        <v>2684</v>
      </c>
      <c r="E559" s="2" t="s">
        <v>83</v>
      </c>
      <c r="F559" s="2" t="s">
        <v>115</v>
      </c>
      <c r="G559" s="2" t="s">
        <v>27</v>
      </c>
      <c r="H559" s="2" t="s">
        <v>323</v>
      </c>
      <c r="I559" s="2" t="s">
        <v>324</v>
      </c>
      <c r="J559" s="2" t="s">
        <v>86</v>
      </c>
      <c r="K559" s="2" t="s">
        <v>223</v>
      </c>
      <c r="L559" s="2" t="s">
        <v>2685</v>
      </c>
      <c r="M559" s="2" t="s">
        <v>56</v>
      </c>
      <c r="N559" s="2">
        <v>9</v>
      </c>
      <c r="O559" s="2">
        <v>3769.46</v>
      </c>
      <c r="P559" s="2">
        <v>0.05</v>
      </c>
      <c r="Q559" s="2">
        <v>32228.880000000001</v>
      </c>
      <c r="R559" s="2">
        <v>24971.360000000001</v>
      </c>
      <c r="S559" s="2">
        <v>7257.52</v>
      </c>
      <c r="T559" s="2" t="s">
        <v>34</v>
      </c>
      <c r="U559" s="2" t="s">
        <v>78</v>
      </c>
      <c r="V559" s="2" t="str">
        <f t="shared" si="24"/>
        <v>ORD-2024-105582024-05-0814-05-2024CUST-8848Vikram IyerHome OfficeNorthHaryanaGurugramTechnologyPhonesPrime Phones 503First Class93769.460.0532228.8824971.367257.52PaidCancelled</v>
      </c>
      <c r="W559" s="2">
        <f t="shared" si="25"/>
        <v>1</v>
      </c>
      <c r="X559">
        <f t="shared" si="26"/>
        <v>1</v>
      </c>
    </row>
    <row r="560" spans="1:25">
      <c r="A560" s="2" t="s">
        <v>2686</v>
      </c>
      <c r="B560" s="2" t="s">
        <v>2687</v>
      </c>
      <c r="C560" s="2" t="s">
        <v>2688</v>
      </c>
      <c r="D560" s="2" t="s">
        <v>2689</v>
      </c>
      <c r="E560" s="2" t="s">
        <v>107</v>
      </c>
      <c r="F560" s="2" t="s">
        <v>108</v>
      </c>
      <c r="G560" s="2" t="s">
        <v>27</v>
      </c>
      <c r="H560" s="2" t="s">
        <v>154</v>
      </c>
      <c r="I560" s="2" t="s">
        <v>155</v>
      </c>
      <c r="J560" s="2" t="s">
        <v>86</v>
      </c>
      <c r="K560" s="2" t="s">
        <v>382</v>
      </c>
      <c r="L560" s="2" t="s">
        <v>2690</v>
      </c>
      <c r="M560" s="2" t="s">
        <v>56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34</v>
      </c>
      <c r="U560" s="2" t="s">
        <v>35</v>
      </c>
      <c r="V560" s="2" t="str">
        <f t="shared" si="24"/>
        <v>ORD-2025-105592025-09-0409/04/2025CUST-9368Aditi SenCorporateNorthPunjabLudhianaTechnologyMachinesBasic Machines 136First Class83079.950.219711.6814461.85249.88PaidCompleted</v>
      </c>
      <c r="W560" s="2">
        <f t="shared" si="25"/>
        <v>1</v>
      </c>
      <c r="X560">
        <f t="shared" si="26"/>
        <v>1</v>
      </c>
    </row>
    <row r="561" spans="1:25">
      <c r="A561" s="2" t="s">
        <v>2691</v>
      </c>
      <c r="B561" s="2" t="s">
        <v>2257</v>
      </c>
      <c r="C561" s="2" t="s">
        <v>2692</v>
      </c>
      <c r="D561" s="2" t="s">
        <v>2693</v>
      </c>
      <c r="E561" s="2" t="s">
        <v>210</v>
      </c>
      <c r="F561" s="2" t="s">
        <v>108</v>
      </c>
      <c r="G561" s="2" t="s">
        <v>42</v>
      </c>
      <c r="H561" s="2" t="s">
        <v>186</v>
      </c>
      <c r="I561" s="2" t="s">
        <v>187</v>
      </c>
      <c r="J561" s="2" t="s">
        <v>86</v>
      </c>
      <c r="K561" s="2" t="s">
        <v>94</v>
      </c>
      <c r="L561" s="2" t="s">
        <v>2694</v>
      </c>
      <c r="M561" s="2" t="s">
        <v>33</v>
      </c>
      <c r="N561" s="2">
        <v>5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34</v>
      </c>
      <c r="U561" s="2" t="s">
        <v>125</v>
      </c>
      <c r="V561" s="2" t="str">
        <f t="shared" si="24"/>
        <v>ORD-2025-1056030 Sep 20252025-10-07CUST-6797Diya PatelCorporateEastBiharPatnaTechnologyCopiersBasic Copiers 512Second Class53277.820.114750.199482.585267.61PaidReturned</v>
      </c>
      <c r="W561" s="2">
        <f t="shared" si="25"/>
        <v>1</v>
      </c>
      <c r="X561">
        <f t="shared" si="26"/>
        <v>1</v>
      </c>
    </row>
    <row r="562" spans="1:25">
      <c r="A562" s="2" t="s">
        <v>2695</v>
      </c>
      <c r="B562" s="2" t="s">
        <v>2696</v>
      </c>
      <c r="C562" s="2" t="s">
        <v>1058</v>
      </c>
      <c r="D562" s="2" t="s">
        <v>2697</v>
      </c>
      <c r="E562" s="2" t="s">
        <v>61</v>
      </c>
      <c r="F562" s="2" t="s">
        <v>26</v>
      </c>
      <c r="G562" s="2" t="s">
        <v>73</v>
      </c>
      <c r="H562" s="2" t="s">
        <v>249</v>
      </c>
      <c r="I562" s="2" t="s">
        <v>250</v>
      </c>
      <c r="J562" s="2" t="s">
        <v>30</v>
      </c>
      <c r="K562" s="2" t="s">
        <v>156</v>
      </c>
      <c r="L562" s="2" t="s">
        <v>2698</v>
      </c>
      <c r="M562" s="2" t="s">
        <v>67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34</v>
      </c>
      <c r="U562" s="2" t="s">
        <v>78</v>
      </c>
      <c r="V562" s="2" t="str">
        <f t="shared" si="24"/>
        <v>ORD-2024-105612024-01-1622-01-2024CUST-9333Arjun BoseConsumerWestGoaPanajiOffice SuppliesStorageSmart Storage 767Standard Class4282.5301130.12848.62281.5PaidCancelled</v>
      </c>
      <c r="W562" s="2">
        <f t="shared" si="25"/>
        <v>1</v>
      </c>
      <c r="X562">
        <f t="shared" si="26"/>
        <v>1</v>
      </c>
    </row>
    <row r="563" spans="1:25">
      <c r="A563" s="2" t="s">
        <v>2699</v>
      </c>
      <c r="B563" s="2" t="s">
        <v>762</v>
      </c>
      <c r="C563" s="2" t="s">
        <v>2700</v>
      </c>
      <c r="D563" s="2" t="s">
        <v>2701</v>
      </c>
      <c r="E563" s="2" t="s">
        <v>107</v>
      </c>
      <c r="F563" s="2" t="s">
        <v>26</v>
      </c>
      <c r="G563" s="2" t="s">
        <v>27</v>
      </c>
      <c r="H563" s="2" t="s">
        <v>154</v>
      </c>
      <c r="I563" s="2" t="s">
        <v>155</v>
      </c>
      <c r="J563" s="2" t="s">
        <v>86</v>
      </c>
      <c r="K563" s="2" t="s">
        <v>94</v>
      </c>
      <c r="L563" s="2" t="s">
        <v>2702</v>
      </c>
      <c r="M563" s="2" t="s">
        <v>56</v>
      </c>
      <c r="N563" s="2">
        <v>4</v>
      </c>
      <c r="O563" s="2">
        <v>725.22</v>
      </c>
      <c r="P563" s="2">
        <v>0</v>
      </c>
      <c r="Q563" s="2">
        <v>2900.88</v>
      </c>
      <c r="R563" s="2">
        <v>2391.85</v>
      </c>
      <c r="S563" s="2">
        <v>509.03</v>
      </c>
      <c r="T563" s="2" t="s">
        <v>137</v>
      </c>
      <c r="U563" s="2" t="s">
        <v>125</v>
      </c>
      <c r="V563" s="2" t="str">
        <f t="shared" si="24"/>
        <v>ORD-2025-105622025-07-1418 Jul 2025CUST-6654Aditi SenConsumerNorthPunjabLudhianaTechnologyCopiersEco Copiers 954First Class4725.2202900.882391.85509.03PendingReturned</v>
      </c>
      <c r="W563" s="2">
        <f t="shared" si="25"/>
        <v>1</v>
      </c>
      <c r="X563">
        <f t="shared" si="26"/>
        <v>1</v>
      </c>
    </row>
    <row r="564" spans="1:25">
      <c r="A564" s="2" t="s">
        <v>2703</v>
      </c>
      <c r="B564" s="2" t="s">
        <v>2704</v>
      </c>
      <c r="C564" s="2" t="s">
        <v>2641</v>
      </c>
      <c r="D564" s="2" t="s">
        <v>2705</v>
      </c>
      <c r="E564" s="2" t="s">
        <v>25</v>
      </c>
      <c r="F564" s="2" t="s">
        <v>26</v>
      </c>
      <c r="G564" s="2" t="s">
        <v>27</v>
      </c>
      <c r="H564" s="2" t="s">
        <v>154</v>
      </c>
      <c r="I564" s="2" t="s">
        <v>155</v>
      </c>
      <c r="J564" s="2" t="s">
        <v>30</v>
      </c>
      <c r="K564" s="2" t="s">
        <v>198</v>
      </c>
      <c r="L564" s="2" t="s">
        <v>2706</v>
      </c>
      <c r="M564" s="2" t="s">
        <v>48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200</v>
      </c>
      <c r="U564" s="2" t="s">
        <v>125</v>
      </c>
      <c r="V564" s="2" t="str">
        <f t="shared" si="24"/>
        <v>ORD-2024-1056310 May 202416 May 2024CUST-8622Karan MalhotraConsumerNorthPunjabLudhianaOffice SuppliesBindersElite Binders 143Same Day7121.540.2680.62463.49217.13FailedReturned</v>
      </c>
      <c r="W564" s="2">
        <f t="shared" si="25"/>
        <v>1</v>
      </c>
      <c r="X564">
        <f t="shared" si="26"/>
        <v>1</v>
      </c>
    </row>
    <row r="565" spans="1:25">
      <c r="A565" s="2" t="s">
        <v>2707</v>
      </c>
      <c r="B565" s="2" t="s">
        <v>2708</v>
      </c>
      <c r="C565" s="2" t="s">
        <v>1784</v>
      </c>
      <c r="D565" s="2" t="s">
        <v>2709</v>
      </c>
      <c r="E565" s="2" t="s">
        <v>61</v>
      </c>
      <c r="F565" s="2" t="s">
        <v>108</v>
      </c>
      <c r="G565" s="2" t="s">
        <v>73</v>
      </c>
      <c r="H565" s="2" t="s">
        <v>249</v>
      </c>
      <c r="I565" s="2" t="s">
        <v>250</v>
      </c>
      <c r="J565" s="2" t="s">
        <v>45</v>
      </c>
      <c r="K565" s="2" t="s">
        <v>46</v>
      </c>
      <c r="L565" s="2" t="s">
        <v>2710</v>
      </c>
      <c r="M565" s="2" t="s">
        <v>67</v>
      </c>
      <c r="N565" s="2">
        <v>9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1076.6500000000001</v>
      </c>
      <c r="T565" s="2" t="s">
        <v>137</v>
      </c>
      <c r="U565" s="2" t="s">
        <v>78</v>
      </c>
      <c r="V565" s="2" t="str">
        <f t="shared" si="24"/>
        <v>ORD-2024-1056405/06/202412-05-2024CUST-8776Arjun BoseCorporateWestGoaPanajiFurnitureTablesClassic Tables 560Standard Class9790.970.25694.984618.331076.65PendingCancelled</v>
      </c>
      <c r="W565" s="2">
        <f t="shared" si="25"/>
        <v>1</v>
      </c>
      <c r="X565">
        <f t="shared" si="26"/>
        <v>1</v>
      </c>
    </row>
    <row r="566" spans="1:25">
      <c r="A566" s="2" t="s">
        <v>2711</v>
      </c>
      <c r="B566" s="2" t="s">
        <v>105</v>
      </c>
      <c r="C566" s="2" t="s">
        <v>2712</v>
      </c>
      <c r="D566" s="2" t="s">
        <v>2713</v>
      </c>
      <c r="E566" s="2" t="s">
        <v>168</v>
      </c>
      <c r="F566" s="2" t="s">
        <v>108</v>
      </c>
      <c r="G566" s="2" t="s">
        <v>62</v>
      </c>
      <c r="H566" s="2" t="s">
        <v>100</v>
      </c>
      <c r="I566" s="2" t="s">
        <v>101</v>
      </c>
      <c r="J566" s="2" t="s">
        <v>45</v>
      </c>
      <c r="K566" s="2" t="s">
        <v>46</v>
      </c>
      <c r="L566" s="2" t="s">
        <v>2714</v>
      </c>
      <c r="M566" s="2" t="s">
        <v>56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34</v>
      </c>
      <c r="U566" s="2" t="s">
        <v>35</v>
      </c>
      <c r="V566" s="2" t="str">
        <f t="shared" si="24"/>
        <v>ORD-2024-1056511/10/202414-11-2024CUST-9100Sneha KapoorCorporateSouthAndhra PradeshVijayawadaFurnitureTablesBasic Tables 759First Class2921.340.21474.14968.46505.68PaidCompleted</v>
      </c>
      <c r="W566" s="2">
        <f t="shared" si="25"/>
        <v>1</v>
      </c>
      <c r="X566">
        <f t="shared" si="26"/>
        <v>1</v>
      </c>
    </row>
    <row r="567" spans="1:25">
      <c r="A567" s="2" t="s">
        <v>2715</v>
      </c>
      <c r="B567" s="2" t="s">
        <v>2716</v>
      </c>
      <c r="C567" s="2" t="s">
        <v>240</v>
      </c>
      <c r="D567" s="2" t="s">
        <v>2717</v>
      </c>
      <c r="E567" s="2" t="s">
        <v>40</v>
      </c>
      <c r="F567" s="2" t="s">
        <v>108</v>
      </c>
      <c r="G567" s="2" t="s">
        <v>27</v>
      </c>
      <c r="H567" s="2" t="s">
        <v>506</v>
      </c>
      <c r="I567" s="2" t="s">
        <v>507</v>
      </c>
      <c r="J567" s="2" t="s">
        <v>86</v>
      </c>
      <c r="K567" s="2" t="s">
        <v>223</v>
      </c>
      <c r="L567" s="2" t="s">
        <v>2718</v>
      </c>
      <c r="M567" s="2" t="s">
        <v>67</v>
      </c>
      <c r="N567" s="2">
        <v>6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124</v>
      </c>
      <c r="U567" s="2" t="s">
        <v>78</v>
      </c>
      <c r="V567" s="2" t="str">
        <f t="shared" si="24"/>
        <v>ORD-2025-1056607 Aug 202513-08-2025CUST-5601Mira DasCorporateNorthDelhiNew DelhiTechnologyPhonesPrime Phones 564Standard Class61921.860.29224.937005.22219.73RefundedCancelled</v>
      </c>
      <c r="W567" s="2">
        <f t="shared" si="25"/>
        <v>1</v>
      </c>
      <c r="X567">
        <f t="shared" si="26"/>
        <v>1</v>
      </c>
    </row>
    <row r="568" spans="1:25">
      <c r="A568" s="2" t="s">
        <v>2719</v>
      </c>
      <c r="B568" s="2" t="s">
        <v>2438</v>
      </c>
      <c r="C568" s="2" t="s">
        <v>2720</v>
      </c>
      <c r="D568" s="2" t="s">
        <v>2721</v>
      </c>
      <c r="E568" s="2" t="s">
        <v>168</v>
      </c>
      <c r="F568" s="2" t="s">
        <v>41</v>
      </c>
      <c r="G568" s="2" t="s">
        <v>73</v>
      </c>
      <c r="H568" s="2" t="s">
        <v>74</v>
      </c>
      <c r="I568" s="2" t="s">
        <v>75</v>
      </c>
      <c r="J568" s="2" t="s">
        <v>30</v>
      </c>
      <c r="K568" s="2" t="s">
        <v>31</v>
      </c>
      <c r="L568" s="2" t="s">
        <v>2722</v>
      </c>
      <c r="M568" s="2" t="s">
        <v>48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200</v>
      </c>
      <c r="U568" s="2" t="s">
        <v>125</v>
      </c>
      <c r="V568" s="2" t="str">
        <f t="shared" si="24"/>
        <v>ORD-2024-1056711 Aug 20242024-08-19CUST-5246Sneha KapoorSmall BusinessWestMaharashtraMumbaiOffice SuppliesPaperSmart Paper 807Same Day22617.890.14712.23851.91860.29FailedReturned</v>
      </c>
      <c r="W568" s="2">
        <f t="shared" si="25"/>
        <v>1</v>
      </c>
      <c r="X568">
        <f t="shared" si="26"/>
        <v>1</v>
      </c>
    </row>
    <row r="569" spans="1:25">
      <c r="A569" s="2" t="s">
        <v>2723</v>
      </c>
      <c r="B569" s="2" t="s">
        <v>2724</v>
      </c>
      <c r="C569" s="2" t="s">
        <v>2725</v>
      </c>
      <c r="D569" s="2" t="s">
        <v>2726</v>
      </c>
      <c r="E569" s="2" t="s">
        <v>61</v>
      </c>
      <c r="F569" s="2" t="s">
        <v>115</v>
      </c>
      <c r="G569" s="2" t="s">
        <v>27</v>
      </c>
      <c r="H569" s="2" t="s">
        <v>174</v>
      </c>
      <c r="I569" s="2" t="s">
        <v>175</v>
      </c>
      <c r="J569" s="2" t="s">
        <v>45</v>
      </c>
      <c r="K569" s="2" t="s">
        <v>65</v>
      </c>
      <c r="L569" s="2" t="s">
        <v>900</v>
      </c>
      <c r="M569" s="2" t="s">
        <v>48</v>
      </c>
      <c r="N569" s="2">
        <v>1</v>
      </c>
      <c r="O569" s="2">
        <v>1374.06</v>
      </c>
      <c r="P569" s="2">
        <v>0.05</v>
      </c>
      <c r="Q569" s="2">
        <v>1305.3599999999999</v>
      </c>
      <c r="R569" s="2">
        <v>731.89</v>
      </c>
      <c r="S569" s="2">
        <v>573.47</v>
      </c>
      <c r="T569" s="2" t="s">
        <v>34</v>
      </c>
      <c r="U569" s="2" t="s">
        <v>35</v>
      </c>
      <c r="V569" s="2" t="str">
        <f t="shared" si="24"/>
        <v>ORD-2024-1056806 Feb 202410-02-2024CUST-3128Arjun BoseHome OfficeNorthUttar PradeshNoidaFurnitureFurnishingsPro Furnishings 108Same Day11374.060.051305.36731.89573.47PaidCompleted</v>
      </c>
      <c r="W569" s="2">
        <f t="shared" si="25"/>
        <v>1</v>
      </c>
      <c r="X569">
        <f t="shared" si="26"/>
        <v>1</v>
      </c>
    </row>
    <row r="570" spans="1:25">
      <c r="A570" s="2" t="s">
        <v>2727</v>
      </c>
      <c r="B570" s="2" t="s">
        <v>1719</v>
      </c>
      <c r="C570" s="2" t="s">
        <v>2728</v>
      </c>
      <c r="D570" s="2" t="s">
        <v>2729</v>
      </c>
      <c r="E570" s="2" t="s">
        <v>366</v>
      </c>
      <c r="F570" s="2" t="s">
        <v>108</v>
      </c>
      <c r="G570" s="2" t="s">
        <v>27</v>
      </c>
      <c r="H570" s="2" t="s">
        <v>154</v>
      </c>
      <c r="I570" s="2" t="s">
        <v>155</v>
      </c>
      <c r="J570" s="2" t="s">
        <v>86</v>
      </c>
      <c r="K570" s="2" t="s">
        <v>382</v>
      </c>
      <c r="L570" s="2" t="s">
        <v>2730</v>
      </c>
      <c r="M570" s="2" t="s">
        <v>48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34</v>
      </c>
      <c r="U570" s="2" t="s">
        <v>35</v>
      </c>
      <c r="V570" s="2" t="str">
        <f t="shared" si="24"/>
        <v>ORD-2024-1056921 Jan 202424 Jan 2024CUST-4604Kabir SinghCorporateNorthPunjabLudhianaTechnologyMachinesClassic Machines 522Same Day13806.30.252854.731968.12886.61PaidCompleted</v>
      </c>
      <c r="W570" s="2">
        <f t="shared" si="25"/>
        <v>1</v>
      </c>
      <c r="X570">
        <f t="shared" si="26"/>
        <v>1</v>
      </c>
    </row>
    <row r="571" spans="1:25">
      <c r="A571" s="2" t="s">
        <v>2731</v>
      </c>
      <c r="B571" s="2" t="s">
        <v>2732</v>
      </c>
      <c r="C571" s="2" t="s">
        <v>2733</v>
      </c>
      <c r="D571" s="2" t="s">
        <v>2734</v>
      </c>
      <c r="E571" s="2" t="s">
        <v>148</v>
      </c>
      <c r="F571" s="2" t="s">
        <v>115</v>
      </c>
      <c r="G571" s="2" t="s">
        <v>73</v>
      </c>
      <c r="H571" s="2" t="s">
        <v>74</v>
      </c>
      <c r="I571" s="2" t="s">
        <v>75</v>
      </c>
      <c r="J571" s="2" t="s">
        <v>45</v>
      </c>
      <c r="K571" s="2" t="s">
        <v>65</v>
      </c>
      <c r="L571" s="2" t="s">
        <v>2735</v>
      </c>
      <c r="M571" s="2" t="s">
        <v>67</v>
      </c>
      <c r="N571" s="2">
        <v>6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124</v>
      </c>
      <c r="U571" s="2" t="s">
        <v>125</v>
      </c>
      <c r="V571" s="2" t="str">
        <f t="shared" si="24"/>
        <v>ORD-2025-1057009/08/20252025-09-10CUST-2586Rahul VermaHome OfficeWestMaharashtraMumbaiFurnitureFurnishingsElite Furnishings 822Standard Class63251.170.2514630.2611906.362723.9RefundedReturned</v>
      </c>
      <c r="W571" s="2">
        <f t="shared" si="25"/>
        <v>1</v>
      </c>
      <c r="X571">
        <f t="shared" si="26"/>
        <v>1</v>
      </c>
    </row>
    <row r="572" spans="1:25">
      <c r="A572" s="2" t="s">
        <v>2736</v>
      </c>
      <c r="B572" s="2" t="s">
        <v>921</v>
      </c>
      <c r="C572" s="2" t="s">
        <v>698</v>
      </c>
      <c r="D572" s="2" t="s">
        <v>2737</v>
      </c>
      <c r="E572" s="2" t="s">
        <v>61</v>
      </c>
      <c r="F572" s="2" t="s">
        <v>26</v>
      </c>
      <c r="G572" s="2" t="s">
        <v>42</v>
      </c>
      <c r="H572" s="2" t="s">
        <v>311</v>
      </c>
      <c r="I572" s="2" t="s">
        <v>312</v>
      </c>
      <c r="J572" s="2" t="s">
        <v>45</v>
      </c>
      <c r="K572" s="2" t="s">
        <v>65</v>
      </c>
      <c r="L572" s="2" t="s">
        <v>2738</v>
      </c>
      <c r="M572" s="2" t="s">
        <v>33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200</v>
      </c>
      <c r="U572" s="2" t="s">
        <v>125</v>
      </c>
      <c r="V572" s="2" t="str">
        <f t="shared" si="24"/>
        <v>ORD-2025-105712025-08-1808/22/2025CUST-6585Arjun BoseConsumerEastJharkhandRanchiFurnitureFurnishingsMax Furnishings 647Second Class33946.440.258879.496344.572534.92FailedReturned</v>
      </c>
      <c r="W572" s="2">
        <f t="shared" si="25"/>
        <v>1</v>
      </c>
      <c r="X572">
        <f t="shared" si="26"/>
        <v>1</v>
      </c>
    </row>
    <row r="573" spans="1:25">
      <c r="A573" s="2" t="s">
        <v>2739</v>
      </c>
      <c r="B573" s="2" t="s">
        <v>2675</v>
      </c>
      <c r="C573" s="2" t="s">
        <v>2740</v>
      </c>
      <c r="D573" s="2" t="s">
        <v>2741</v>
      </c>
      <c r="E573" s="2" t="s">
        <v>142</v>
      </c>
      <c r="F573" s="2" t="s">
        <v>41</v>
      </c>
      <c r="G573" s="2" t="s">
        <v>27</v>
      </c>
      <c r="H573" s="2" t="s">
        <v>174</v>
      </c>
      <c r="I573" s="2" t="s">
        <v>175</v>
      </c>
      <c r="J573" s="2" t="s">
        <v>86</v>
      </c>
      <c r="K573" s="2" t="s">
        <v>223</v>
      </c>
      <c r="L573" s="2" t="s">
        <v>2742</v>
      </c>
      <c r="N573" s="2">
        <v>5</v>
      </c>
      <c r="O573" s="2">
        <v>4276.29</v>
      </c>
      <c r="P573" s="2">
        <v>0</v>
      </c>
      <c r="Q573" s="2">
        <v>21381.45</v>
      </c>
      <c r="R573" s="2">
        <v>13240.21</v>
      </c>
      <c r="S573" s="2">
        <v>8141.24</v>
      </c>
      <c r="T573" s="2" t="s">
        <v>200</v>
      </c>
      <c r="U573" s="2" t="s">
        <v>125</v>
      </c>
      <c r="V573" s="2" t="str">
        <f t="shared" si="24"/>
        <v>ORD-2025-1057210 Feb 20252025-02-14CUST-3425Priya MenonSmall BusinessNorthUttar PradeshNoidaTechnologyPhonesPrime Phones 89554276.29021381.4513240.218141.24FailedReturned</v>
      </c>
      <c r="W573" s="2">
        <f t="shared" si="25"/>
        <v>1</v>
      </c>
      <c r="X573">
        <f t="shared" si="26"/>
        <v>2</v>
      </c>
      <c r="Y573" s="2" t="s">
        <v>4097</v>
      </c>
    </row>
    <row r="574" spans="1:25">
      <c r="A574" s="2" t="s">
        <v>2743</v>
      </c>
      <c r="B574" s="2" t="s">
        <v>2744</v>
      </c>
      <c r="C574" s="2" t="s">
        <v>2745</v>
      </c>
      <c r="D574" s="2" t="s">
        <v>2746</v>
      </c>
      <c r="E574" s="2" t="s">
        <v>210</v>
      </c>
      <c r="F574" s="2" t="s">
        <v>108</v>
      </c>
      <c r="G574" s="2" t="s">
        <v>27</v>
      </c>
      <c r="H574" s="2" t="s">
        <v>506</v>
      </c>
      <c r="I574" s="2" t="s">
        <v>507</v>
      </c>
      <c r="J574" s="2" t="s">
        <v>86</v>
      </c>
      <c r="K574" s="2" t="s">
        <v>223</v>
      </c>
      <c r="L574" s="2" t="s">
        <v>2747</v>
      </c>
      <c r="M574" s="2" t="s">
        <v>67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34</v>
      </c>
      <c r="U574" s="2" t="s">
        <v>35</v>
      </c>
      <c r="V574" s="2" t="str">
        <f t="shared" si="24"/>
        <v>ORD-2024-1057301/02/202409-01-2024CUST-8633Diya PatelCorporateNorthDelhiNew DelhiTechnologyPhonesEco Phones 368Standard Class3739.560.21774.941007.4767.54PaidCompleted</v>
      </c>
      <c r="W574" s="2">
        <f t="shared" si="25"/>
        <v>1</v>
      </c>
      <c r="X574">
        <f t="shared" si="26"/>
        <v>1</v>
      </c>
    </row>
    <row r="575" spans="1:25">
      <c r="A575" s="2" t="s">
        <v>2748</v>
      </c>
      <c r="B575" s="2" t="s">
        <v>2749</v>
      </c>
      <c r="C575" s="2" t="s">
        <v>2750</v>
      </c>
      <c r="D575" s="2" t="s">
        <v>2751</v>
      </c>
      <c r="E575" s="2" t="s">
        <v>53</v>
      </c>
      <c r="F575" s="2" t="s">
        <v>26</v>
      </c>
      <c r="G575" s="2" t="s">
        <v>62</v>
      </c>
      <c r="H575" s="2" t="s">
        <v>100</v>
      </c>
      <c r="I575" s="2" t="s">
        <v>101</v>
      </c>
      <c r="J575" s="2" t="s">
        <v>86</v>
      </c>
      <c r="K575" s="2" t="s">
        <v>223</v>
      </c>
      <c r="L575" s="2" t="s">
        <v>2752</v>
      </c>
      <c r="M575" s="2" t="s">
        <v>67</v>
      </c>
      <c r="N575" s="2">
        <v>1</v>
      </c>
      <c r="O575" s="2">
        <v>573.65</v>
      </c>
      <c r="P575" s="2">
        <v>0</v>
      </c>
      <c r="Q575" s="2">
        <v>573.65</v>
      </c>
      <c r="R575" s="2">
        <v>322.67</v>
      </c>
      <c r="S575" s="2">
        <v>250.98</v>
      </c>
      <c r="T575" s="2" t="s">
        <v>34</v>
      </c>
      <c r="U575" s="2" t="s">
        <v>35</v>
      </c>
      <c r="V575" s="2" t="str">
        <f t="shared" si="24"/>
        <v>ORD-2025-1057409/22/202509/26/2025CUST-8243Isha NairConsumerSouthAndhra PradeshVijayawadaTechnologyPhonesPro Phones 644Standard Class1573.650573.65322.67250.98PaidCompleted</v>
      </c>
      <c r="W575" s="2">
        <f t="shared" si="25"/>
        <v>1</v>
      </c>
      <c r="X575">
        <f t="shared" si="26"/>
        <v>1</v>
      </c>
    </row>
    <row r="576" spans="1:25">
      <c r="A576" s="2" t="s">
        <v>2753</v>
      </c>
      <c r="B576" s="2" t="s">
        <v>2754</v>
      </c>
      <c r="C576" s="2" t="s">
        <v>1645</v>
      </c>
      <c r="D576" s="2" t="s">
        <v>1226</v>
      </c>
      <c r="E576" s="2" t="s">
        <v>210</v>
      </c>
      <c r="F576" s="2" t="s">
        <v>115</v>
      </c>
      <c r="G576" s="2" t="s">
        <v>27</v>
      </c>
      <c r="H576" s="2" t="s">
        <v>154</v>
      </c>
      <c r="I576" s="2" t="s">
        <v>155</v>
      </c>
      <c r="J576" s="2" t="s">
        <v>86</v>
      </c>
      <c r="K576" s="2" t="s">
        <v>382</v>
      </c>
      <c r="L576" s="2" t="s">
        <v>2755</v>
      </c>
      <c r="M576" s="2" t="s">
        <v>67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34</v>
      </c>
      <c r="U576" s="2" t="s">
        <v>35</v>
      </c>
      <c r="V576" s="2" t="str">
        <f t="shared" si="24"/>
        <v>ORD-2024-1057520 Feb 202425-02-2024CUST-9139Diya PatelHome OfficeNorthPunjabLudhianaTechnologyMachinesSmart Machines 566Standard Class41355.805423.24072.441350.76PaidCompleted</v>
      </c>
      <c r="W576" s="2">
        <f t="shared" si="25"/>
        <v>1</v>
      </c>
      <c r="X576">
        <f t="shared" si="26"/>
        <v>1</v>
      </c>
    </row>
    <row r="577" spans="1:24">
      <c r="A577" s="2" t="s">
        <v>2756</v>
      </c>
      <c r="B577" s="2" t="s">
        <v>2757</v>
      </c>
      <c r="C577" s="2" t="s">
        <v>2758</v>
      </c>
      <c r="D577" s="2" t="s">
        <v>2759</v>
      </c>
      <c r="E577" s="2" t="s">
        <v>168</v>
      </c>
      <c r="F577" s="2" t="s">
        <v>115</v>
      </c>
      <c r="G577" s="2" t="s">
        <v>62</v>
      </c>
      <c r="H577" s="2" t="s">
        <v>242</v>
      </c>
      <c r="I577" s="2" t="s">
        <v>243</v>
      </c>
      <c r="J577" s="2" t="s">
        <v>45</v>
      </c>
      <c r="K577" s="2" t="s">
        <v>65</v>
      </c>
      <c r="L577" s="2" t="s">
        <v>2760</v>
      </c>
      <c r="M577" s="2" t="s">
        <v>48</v>
      </c>
      <c r="N577" s="2">
        <v>4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200</v>
      </c>
      <c r="U577" s="2" t="s">
        <v>125</v>
      </c>
      <c r="V577" s="2" t="str">
        <f t="shared" si="24"/>
        <v>ORD-2025-1057611 Mar 202514 Mar 2025CUST-5496Sneha KapoorHome OfficeSouthKeralaKochiFurnitureFurnishingsElite Furnishings 173Same Day41244.820.23983.423174.91808.51FailedReturned</v>
      </c>
      <c r="W577" s="2">
        <f t="shared" si="25"/>
        <v>1</v>
      </c>
      <c r="X577">
        <f t="shared" si="26"/>
        <v>1</v>
      </c>
    </row>
    <row r="578" spans="1:24">
      <c r="A578" s="2" t="s">
        <v>2761</v>
      </c>
      <c r="B578" s="2" t="s">
        <v>2762</v>
      </c>
      <c r="C578" s="2" t="s">
        <v>2763</v>
      </c>
      <c r="D578" s="2" t="s">
        <v>2764</v>
      </c>
      <c r="E578" s="2" t="s">
        <v>180</v>
      </c>
      <c r="F578" s="2" t="s">
        <v>115</v>
      </c>
      <c r="H578" s="2" t="s">
        <v>186</v>
      </c>
      <c r="I578" s="2" t="s">
        <v>187</v>
      </c>
      <c r="J578" s="2" t="s">
        <v>30</v>
      </c>
      <c r="K578" s="2" t="s">
        <v>198</v>
      </c>
      <c r="L578" s="2" t="s">
        <v>2765</v>
      </c>
      <c r="M578" s="2" t="s">
        <v>67</v>
      </c>
      <c r="N578" s="2">
        <v>9</v>
      </c>
      <c r="O578" s="2">
        <v>2614.46</v>
      </c>
      <c r="P578" s="2">
        <v>0</v>
      </c>
      <c r="Q578" s="2">
        <v>23530.14</v>
      </c>
      <c r="R578" s="2">
        <v>19537.79</v>
      </c>
      <c r="S578" s="2">
        <v>3992.35</v>
      </c>
      <c r="T578" s="2" t="s">
        <v>124</v>
      </c>
      <c r="U578" s="2" t="s">
        <v>125</v>
      </c>
      <c r="V578" s="2" t="str">
        <f t="shared" si="24"/>
        <v>ORD-2024-1057717-02-202402/23/2024CUST-2228Rohan MehtaHome OfficeBiharPatnaOffice SuppliesBindersSmart Binders 417Standard Class92614.46023530.1419537.793992.35RefundedReturned</v>
      </c>
      <c r="W578" s="2">
        <f t="shared" si="25"/>
        <v>1</v>
      </c>
      <c r="X578">
        <f t="shared" si="26"/>
        <v>1</v>
      </c>
    </row>
    <row r="579" spans="1:24">
      <c r="A579" s="2" t="s">
        <v>2766</v>
      </c>
      <c r="B579" s="2" t="s">
        <v>435</v>
      </c>
      <c r="C579" s="2" t="s">
        <v>2767</v>
      </c>
      <c r="D579" s="2" t="s">
        <v>2768</v>
      </c>
      <c r="E579" s="2" t="s">
        <v>142</v>
      </c>
      <c r="F579" s="2" t="s">
        <v>108</v>
      </c>
      <c r="G579" s="2" t="s">
        <v>73</v>
      </c>
      <c r="H579" s="2" t="s">
        <v>84</v>
      </c>
      <c r="I579" s="2" t="s">
        <v>85</v>
      </c>
      <c r="J579" s="2" t="s">
        <v>45</v>
      </c>
      <c r="K579" s="2" t="s">
        <v>65</v>
      </c>
      <c r="L579" s="2" t="s">
        <v>2769</v>
      </c>
      <c r="M579" s="2" t="s">
        <v>67</v>
      </c>
      <c r="N579" s="2">
        <v>7</v>
      </c>
      <c r="O579" s="2">
        <v>268.45</v>
      </c>
      <c r="P579" s="2">
        <v>0</v>
      </c>
      <c r="Q579" s="2">
        <v>1879.15</v>
      </c>
      <c r="R579" s="2">
        <v>1134.9000000000001</v>
      </c>
      <c r="S579" s="2">
        <v>744.25</v>
      </c>
      <c r="T579" s="2" t="s">
        <v>34</v>
      </c>
      <c r="U579" s="2" t="s">
        <v>35</v>
      </c>
      <c r="V579" s="2" t="str">
        <f t="shared" ref="V579:V642" si="27">_xlfn.CONCAT(A579:U579)</f>
        <v>ORD-2025-1057808/28/20252025-09-03CUST-4151Priya MenonCorporateWestMadhya PradeshIndoreFurnitureFurnishingsSmart Furnishings 714Standard Class7268.4501879.151134.9744.25PaidCompleted</v>
      </c>
      <c r="W579" s="2">
        <f t="shared" ref="W579:W642" si="28">COUNTIF($V$2:$V$933,V579)</f>
        <v>1</v>
      </c>
      <c r="X579">
        <f t="shared" ref="X579:X642" si="29">COUNTIF($A$2:$A$933,A579)</f>
        <v>1</v>
      </c>
    </row>
    <row r="580" spans="1:24">
      <c r="A580" s="2" t="s">
        <v>2770</v>
      </c>
      <c r="B580" s="2" t="s">
        <v>2771</v>
      </c>
      <c r="C580" s="2" t="s">
        <v>2772</v>
      </c>
      <c r="D580" s="2" t="s">
        <v>417</v>
      </c>
      <c r="E580" s="2" t="s">
        <v>93</v>
      </c>
      <c r="F580" s="2" t="s">
        <v>41</v>
      </c>
      <c r="G580" s="2" t="s">
        <v>73</v>
      </c>
      <c r="H580" s="2" t="s">
        <v>235</v>
      </c>
      <c r="I580" s="2" t="s">
        <v>236</v>
      </c>
      <c r="J580" s="2" t="s">
        <v>86</v>
      </c>
      <c r="K580" s="2" t="s">
        <v>94</v>
      </c>
      <c r="L580" s="2" t="s">
        <v>2773</v>
      </c>
      <c r="M580" s="2" t="s">
        <v>56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34</v>
      </c>
      <c r="U580" s="2" t="s">
        <v>35</v>
      </c>
      <c r="V580" s="2" t="str">
        <f t="shared" si="27"/>
        <v>ORD-2024-105792024-02-2123-02-2024CUST-4900Neha GuptaSmall BusinessWestGujaratAhmedabadTechnologyCopiersElite Copiers 682First Class62633.650.0515011.819660.365351.45PaidCompleted</v>
      </c>
      <c r="W580" s="2">
        <f t="shared" si="28"/>
        <v>1</v>
      </c>
      <c r="X580">
        <f t="shared" si="29"/>
        <v>1</v>
      </c>
    </row>
    <row r="581" spans="1:24">
      <c r="A581" s="2" t="s">
        <v>2774</v>
      </c>
      <c r="B581" s="2" t="s">
        <v>2775</v>
      </c>
      <c r="C581" s="2" t="s">
        <v>2776</v>
      </c>
      <c r="D581" s="2" t="s">
        <v>2777</v>
      </c>
      <c r="E581" s="2" t="s">
        <v>162</v>
      </c>
      <c r="F581" s="2" t="s">
        <v>41</v>
      </c>
      <c r="G581" s="2" t="s">
        <v>62</v>
      </c>
      <c r="H581" s="2" t="s">
        <v>339</v>
      </c>
      <c r="I581" s="2" t="s">
        <v>340</v>
      </c>
      <c r="J581" s="2" t="s">
        <v>30</v>
      </c>
      <c r="K581" s="2" t="s">
        <v>156</v>
      </c>
      <c r="L581" s="2" t="s">
        <v>2778</v>
      </c>
      <c r="M581" s="2" t="s">
        <v>48</v>
      </c>
      <c r="N581" s="2">
        <v>1</v>
      </c>
      <c r="O581" s="2">
        <v>3202.41</v>
      </c>
      <c r="P581" s="2">
        <v>0</v>
      </c>
      <c r="Q581" s="2">
        <v>3202.41</v>
      </c>
      <c r="R581" s="2">
        <v>2608.44</v>
      </c>
      <c r="S581" s="2">
        <v>593.97</v>
      </c>
      <c r="T581" s="2" t="s">
        <v>34</v>
      </c>
      <c r="U581" s="2" t="s">
        <v>35</v>
      </c>
      <c r="V581" s="2" t="str">
        <f t="shared" si="27"/>
        <v>ORD-2024-1058019-06-202424 Jun 2024CUST-9617Aarav SharmaSmall BusinessSouthTamil NaduChennaiOffice SuppliesStoragePro Storage 482Same Day13202.4103202.412608.44593.97PaidCompleted</v>
      </c>
      <c r="W581" s="2">
        <f t="shared" si="28"/>
        <v>1</v>
      </c>
      <c r="X581">
        <f t="shared" si="29"/>
        <v>1</v>
      </c>
    </row>
    <row r="582" spans="1:24">
      <c r="A582" s="2" t="s">
        <v>2779</v>
      </c>
      <c r="B582" s="2" t="s">
        <v>2780</v>
      </c>
      <c r="C582" s="2" t="s">
        <v>1459</v>
      </c>
      <c r="D582" s="2" t="s">
        <v>2781</v>
      </c>
      <c r="E582" s="2" t="s">
        <v>366</v>
      </c>
      <c r="F582" s="2" t="s">
        <v>26</v>
      </c>
      <c r="G582" s="2" t="s">
        <v>62</v>
      </c>
      <c r="H582" s="2" t="s">
        <v>242</v>
      </c>
      <c r="I582" s="2" t="s">
        <v>243</v>
      </c>
      <c r="J582" s="2" t="s">
        <v>45</v>
      </c>
      <c r="K582" s="2" t="s">
        <v>76</v>
      </c>
      <c r="L582" s="2" t="s">
        <v>2782</v>
      </c>
      <c r="M582" s="2" t="s">
        <v>67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200</v>
      </c>
      <c r="U582" s="2" t="s">
        <v>125</v>
      </c>
      <c r="V582" s="2" t="str">
        <f t="shared" si="27"/>
        <v>ORD-2025-1058106-03-202503/13/2025CUST-7958Kabir SinghConsumerSouthKeralaKochiFurnitureChairsPro Chairs 888Standard Class3163.720.15417.49261.67155.82FailedReturned</v>
      </c>
      <c r="W582" s="2">
        <f t="shared" si="28"/>
        <v>1</v>
      </c>
      <c r="X582">
        <f t="shared" si="29"/>
        <v>1</v>
      </c>
    </row>
    <row r="583" spans="1:24">
      <c r="A583" s="2" t="s">
        <v>2783</v>
      </c>
      <c r="B583" s="2" t="s">
        <v>1343</v>
      </c>
      <c r="C583" s="2" t="s">
        <v>2784</v>
      </c>
      <c r="D583" s="2" t="s">
        <v>2785</v>
      </c>
      <c r="E583" s="2" t="s">
        <v>93</v>
      </c>
      <c r="F583" s="2" t="s">
        <v>26</v>
      </c>
      <c r="G583" s="2" t="s">
        <v>27</v>
      </c>
      <c r="H583" s="2" t="s">
        <v>506</v>
      </c>
      <c r="I583" s="2" t="s">
        <v>507</v>
      </c>
      <c r="J583" s="2" t="s">
        <v>30</v>
      </c>
      <c r="K583" s="2" t="s">
        <v>54</v>
      </c>
      <c r="L583" s="2" t="s">
        <v>2786</v>
      </c>
      <c r="M583" s="2" t="s">
        <v>33</v>
      </c>
      <c r="N583" s="2">
        <v>4</v>
      </c>
      <c r="O583" s="2">
        <v>4080.95</v>
      </c>
      <c r="P583" s="2">
        <v>0</v>
      </c>
      <c r="Q583" s="2">
        <v>16323.8</v>
      </c>
      <c r="R583" s="2">
        <v>9965.7900000000009</v>
      </c>
      <c r="S583" s="2">
        <v>6358.01</v>
      </c>
      <c r="T583" s="2" t="s">
        <v>124</v>
      </c>
      <c r="U583" s="2" t="s">
        <v>125</v>
      </c>
      <c r="V583" s="2" t="str">
        <f t="shared" si="27"/>
        <v>ORD-2025-105822025-08-0908/10/2025CUST-9931Neha GuptaConsumerNorthDelhiNew DelhiOffice SuppliesArtClassic Art 611Second Class44080.95016323.89965.796358.01RefundedReturned</v>
      </c>
      <c r="W583" s="2">
        <f t="shared" si="28"/>
        <v>1</v>
      </c>
      <c r="X583">
        <f t="shared" si="29"/>
        <v>1</v>
      </c>
    </row>
    <row r="584" spans="1:24">
      <c r="A584" s="2" t="s">
        <v>2787</v>
      </c>
      <c r="B584" s="2" t="s">
        <v>2788</v>
      </c>
      <c r="C584" s="2" t="s">
        <v>2789</v>
      </c>
      <c r="D584" s="2" t="s">
        <v>2790</v>
      </c>
      <c r="E584" s="2" t="s">
        <v>72</v>
      </c>
      <c r="F584" s="2" t="s">
        <v>26</v>
      </c>
      <c r="G584" s="2" t="s">
        <v>42</v>
      </c>
      <c r="H584" s="2" t="s">
        <v>43</v>
      </c>
      <c r="I584" s="2" t="s">
        <v>44</v>
      </c>
      <c r="J584" s="2" t="s">
        <v>30</v>
      </c>
      <c r="K584" s="2" t="s">
        <v>54</v>
      </c>
      <c r="L584" s="2" t="s">
        <v>2791</v>
      </c>
      <c r="M584" s="2" t="s">
        <v>56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137</v>
      </c>
      <c r="U584" s="2" t="s">
        <v>125</v>
      </c>
      <c r="V584" s="2" t="str">
        <f t="shared" si="27"/>
        <v>ORD-2024-105832024-10-1510/20/2024CUST-2088Ananya RaoConsumerEastOdishaBhubaneswarOffice SuppliesArtBasic Art 174First Class5671.2403356.22205.721150.48PendingReturned</v>
      </c>
      <c r="W584" s="2">
        <f t="shared" si="28"/>
        <v>1</v>
      </c>
      <c r="X584">
        <f t="shared" si="29"/>
        <v>1</v>
      </c>
    </row>
    <row r="585" spans="1:24">
      <c r="A585" s="2" t="s">
        <v>2792</v>
      </c>
      <c r="B585" s="2" t="s">
        <v>626</v>
      </c>
      <c r="C585" s="2" t="s">
        <v>2793</v>
      </c>
      <c r="D585" s="2" t="s">
        <v>2794</v>
      </c>
      <c r="E585" s="2" t="s">
        <v>180</v>
      </c>
      <c r="F585" s="2" t="s">
        <v>41</v>
      </c>
      <c r="G585" s="2" t="s">
        <v>42</v>
      </c>
      <c r="H585" s="2" t="s">
        <v>121</v>
      </c>
      <c r="I585" s="2" t="s">
        <v>122</v>
      </c>
      <c r="J585" s="2" t="s">
        <v>30</v>
      </c>
      <c r="K585" s="2" t="s">
        <v>156</v>
      </c>
      <c r="L585" s="2" t="s">
        <v>2795</v>
      </c>
      <c r="M585" s="2" t="s">
        <v>56</v>
      </c>
      <c r="N585" s="2">
        <v>1</v>
      </c>
      <c r="O585" s="2">
        <v>2626.84</v>
      </c>
      <c r="P585" s="2">
        <v>0.2</v>
      </c>
      <c r="Q585" s="2">
        <v>2101.4699999999998</v>
      </c>
      <c r="R585" s="2">
        <v>1217.83</v>
      </c>
      <c r="S585" s="2">
        <v>883.64</v>
      </c>
      <c r="T585" s="2" t="s">
        <v>200</v>
      </c>
      <c r="U585" s="2" t="s">
        <v>125</v>
      </c>
      <c r="V585" s="2" t="str">
        <f t="shared" si="27"/>
        <v>ORD-2024-1058428 Feb 202402/28/2024CUST-1686Rohan MehtaSmall BusinessEastWest BengalKolkataOffice SuppliesStorageClassic Storage 451First Class12626.840.22101.471217.83883.64FailedReturned</v>
      </c>
      <c r="W585" s="2">
        <f t="shared" si="28"/>
        <v>1</v>
      </c>
      <c r="X585">
        <f t="shared" si="29"/>
        <v>1</v>
      </c>
    </row>
    <row r="586" spans="1:24">
      <c r="A586" s="2" t="s">
        <v>2796</v>
      </c>
      <c r="B586" s="2" t="s">
        <v>2797</v>
      </c>
      <c r="C586" s="2" t="s">
        <v>2798</v>
      </c>
      <c r="D586" s="2" t="s">
        <v>2799</v>
      </c>
      <c r="E586" s="2" t="s">
        <v>83</v>
      </c>
      <c r="F586" s="2" t="s">
        <v>26</v>
      </c>
      <c r="G586" s="2" t="s">
        <v>42</v>
      </c>
      <c r="H586" s="2" t="s">
        <v>186</v>
      </c>
      <c r="I586" s="2" t="s">
        <v>187</v>
      </c>
      <c r="J586" s="2" t="s">
        <v>30</v>
      </c>
      <c r="K586" s="2" t="s">
        <v>54</v>
      </c>
      <c r="L586" s="2" t="s">
        <v>2800</v>
      </c>
      <c r="M586" s="2" t="s">
        <v>48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137</v>
      </c>
      <c r="U586" s="2" t="s">
        <v>125</v>
      </c>
      <c r="V586" s="2" t="str">
        <f t="shared" si="27"/>
        <v>ORD-2024-1058508/04/202410-08-2024CUST-4894Vikram IyerConsumerEastBiharPatnaOffice SuppliesArtPro Art 172Same Day1984.930.15837.19583.79253.4PendingReturned</v>
      </c>
      <c r="W586" s="2">
        <f t="shared" si="28"/>
        <v>1</v>
      </c>
      <c r="X586">
        <f t="shared" si="29"/>
        <v>1</v>
      </c>
    </row>
    <row r="587" spans="1:24">
      <c r="A587" s="2" t="s">
        <v>2801</v>
      </c>
      <c r="B587" s="2" t="s">
        <v>1688</v>
      </c>
      <c r="C587" s="2" t="s">
        <v>2802</v>
      </c>
      <c r="D587" s="2" t="s">
        <v>2803</v>
      </c>
      <c r="E587" s="2" t="s">
        <v>210</v>
      </c>
      <c r="F587" s="2" t="s">
        <v>41</v>
      </c>
      <c r="G587" s="2" t="s">
        <v>1050</v>
      </c>
      <c r="H587" s="2" t="s">
        <v>74</v>
      </c>
      <c r="I587" s="2" t="s">
        <v>75</v>
      </c>
      <c r="J587" s="2" t="s">
        <v>86</v>
      </c>
      <c r="K587" s="2" t="s">
        <v>223</v>
      </c>
      <c r="L587" s="2" t="s">
        <v>2804</v>
      </c>
      <c r="M587" s="2" t="s">
        <v>56</v>
      </c>
      <c r="N587" s="2">
        <v>8</v>
      </c>
      <c r="O587" s="2">
        <v>3453.66</v>
      </c>
      <c r="P587" s="2">
        <v>0</v>
      </c>
      <c r="Q587" s="2">
        <v>27629.279999999999</v>
      </c>
      <c r="R587" s="2">
        <v>22026.48</v>
      </c>
      <c r="S587" s="2">
        <v>5602.8</v>
      </c>
      <c r="T587" s="2" t="s">
        <v>34</v>
      </c>
      <c r="U587" s="2" t="s">
        <v>35</v>
      </c>
      <c r="V587" s="2" t="str">
        <f t="shared" si="27"/>
        <v>ORD-2025-1058622 Jun 20252025-06-25CUST-5201Diya PatelSmall BusinessWESTMaharashtraMumbaiTechnologyPhonesPrime Phones 744First Class83453.66027629.2822026.485602.8PaidCompleted</v>
      </c>
      <c r="W587" s="2">
        <f t="shared" si="28"/>
        <v>1</v>
      </c>
      <c r="X587">
        <f t="shared" si="29"/>
        <v>1</v>
      </c>
    </row>
    <row r="588" spans="1:24">
      <c r="A588" s="2" t="s">
        <v>2805</v>
      </c>
      <c r="B588" s="2" t="s">
        <v>2806</v>
      </c>
      <c r="C588" s="2" t="s">
        <v>2807</v>
      </c>
      <c r="D588" s="2" t="s">
        <v>2808</v>
      </c>
      <c r="E588" s="2" t="s">
        <v>40</v>
      </c>
      <c r="F588" s="2" t="s">
        <v>115</v>
      </c>
      <c r="G588" s="2" t="s">
        <v>27</v>
      </c>
      <c r="H588" s="2" t="s">
        <v>154</v>
      </c>
      <c r="I588" s="2" t="s">
        <v>155</v>
      </c>
      <c r="J588" s="2" t="s">
        <v>30</v>
      </c>
      <c r="K588" s="2" t="s">
        <v>198</v>
      </c>
      <c r="L588" s="2" t="s">
        <v>2809</v>
      </c>
      <c r="M588" s="2" t="s">
        <v>33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34</v>
      </c>
      <c r="U588" s="2" t="s">
        <v>35</v>
      </c>
      <c r="V588" s="2" t="str">
        <f t="shared" si="27"/>
        <v>ORD-2025-1058712-04-202512 Apr 2025CUST-8626Mira DasHome OfficeNorthPunjabLudhianaOffice SuppliesBindersPrime Binders 249Second Class71334.20.27471.526184.321287.2PaidCompleted</v>
      </c>
      <c r="W588" s="2">
        <f t="shared" si="28"/>
        <v>1</v>
      </c>
      <c r="X588">
        <f t="shared" si="29"/>
        <v>1</v>
      </c>
    </row>
    <row r="589" spans="1:24">
      <c r="A589" s="2" t="s">
        <v>2810</v>
      </c>
      <c r="B589" s="2" t="s">
        <v>2811</v>
      </c>
      <c r="C589" s="2" t="s">
        <v>2812</v>
      </c>
      <c r="D589" s="2" t="s">
        <v>2813</v>
      </c>
      <c r="E589" s="2" t="s">
        <v>366</v>
      </c>
      <c r="F589" s="2" t="s">
        <v>115</v>
      </c>
      <c r="G589" s="2" t="s">
        <v>73</v>
      </c>
      <c r="H589" s="2" t="s">
        <v>84</v>
      </c>
      <c r="I589" s="2" t="s">
        <v>85</v>
      </c>
      <c r="J589" s="2" t="s">
        <v>86</v>
      </c>
      <c r="K589" s="2" t="s">
        <v>87</v>
      </c>
      <c r="L589" s="2" t="s">
        <v>2814</v>
      </c>
      <c r="M589" s="2" t="s">
        <v>56</v>
      </c>
      <c r="N589" s="2">
        <v>1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124</v>
      </c>
      <c r="U589" s="2" t="s">
        <v>78</v>
      </c>
      <c r="V589" s="2" t="str">
        <f t="shared" si="27"/>
        <v>ORD-2025-1058823-07-20252025-07-31CUST-1013Kabir SinghHome OfficeWestMadhya PradeshIndoreTechnologyAccessoriesEco Accessories 948First Class14253.840.153615.762951.52664.24RefundedCancelled</v>
      </c>
      <c r="W589" s="2">
        <f t="shared" si="28"/>
        <v>1</v>
      </c>
      <c r="X589">
        <f t="shared" si="29"/>
        <v>1</v>
      </c>
    </row>
    <row r="590" spans="1:24">
      <c r="A590" s="2" t="s">
        <v>2815</v>
      </c>
      <c r="B590" s="2" t="s">
        <v>2816</v>
      </c>
      <c r="C590" s="2" t="s">
        <v>2817</v>
      </c>
      <c r="D590" s="2" t="s">
        <v>2818</v>
      </c>
      <c r="E590" s="2" t="s">
        <v>162</v>
      </c>
      <c r="F590" s="2" t="s">
        <v>115</v>
      </c>
      <c r="G590" s="2" t="s">
        <v>62</v>
      </c>
      <c r="H590" s="2" t="s">
        <v>229</v>
      </c>
      <c r="I590" s="2" t="s">
        <v>230</v>
      </c>
      <c r="J590" s="2" t="s">
        <v>86</v>
      </c>
      <c r="K590" s="2" t="s">
        <v>87</v>
      </c>
      <c r="L590" s="2" t="s">
        <v>2819</v>
      </c>
      <c r="M590" s="2" t="s">
        <v>33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124</v>
      </c>
      <c r="U590" s="2" t="s">
        <v>78</v>
      </c>
      <c r="V590" s="2" t="str">
        <f t="shared" si="27"/>
        <v>ORD-2025-105892025-03-1115 Mar 2025CUST-3601Aarav SharmaHome OfficeSouthKarnatakaBengaluruTechnologyAccessoriesClassic Accessories 458Second Class84446.360.132013.7920896.8811116.91RefundedCancelled</v>
      </c>
      <c r="W590" s="2">
        <f t="shared" si="28"/>
        <v>1</v>
      </c>
      <c r="X590">
        <f t="shared" si="29"/>
        <v>1</v>
      </c>
    </row>
    <row r="591" spans="1:24">
      <c r="A591" s="2" t="s">
        <v>2820</v>
      </c>
      <c r="B591" s="2" t="s">
        <v>2821</v>
      </c>
      <c r="C591" s="2" t="s">
        <v>2822</v>
      </c>
      <c r="D591" s="2" t="s">
        <v>2823</v>
      </c>
      <c r="E591" s="2" t="s">
        <v>180</v>
      </c>
      <c r="F591" s="2" t="s">
        <v>108</v>
      </c>
      <c r="G591" s="2" t="s">
        <v>27</v>
      </c>
      <c r="H591" s="2" t="s">
        <v>174</v>
      </c>
      <c r="I591" s="2" t="s">
        <v>175</v>
      </c>
      <c r="J591" s="2" t="s">
        <v>86</v>
      </c>
      <c r="K591" s="2" t="s">
        <v>223</v>
      </c>
      <c r="L591" s="2" t="s">
        <v>2824</v>
      </c>
      <c r="M591" s="2" t="s">
        <v>56</v>
      </c>
      <c r="N591" s="2">
        <v>3</v>
      </c>
      <c r="O591" s="2">
        <v>524.75</v>
      </c>
      <c r="P591" s="2">
        <v>0</v>
      </c>
      <c r="Q591" s="2">
        <v>1574.25</v>
      </c>
      <c r="R591" s="2">
        <v>1326.12</v>
      </c>
      <c r="S591" s="2">
        <v>248.13</v>
      </c>
      <c r="T591" s="2" t="s">
        <v>34</v>
      </c>
      <c r="U591" s="2" t="s">
        <v>35</v>
      </c>
      <c r="V591" s="2" t="str">
        <f t="shared" si="27"/>
        <v>ORD-2024-1059006 Dec 202412/12/2024CUST-7846Rohan MehtaCorporateNorthUttar PradeshNoidaTechnologyPhonesMax Phones 318First Class3524.7501574.251326.12248.13PaidCompleted</v>
      </c>
      <c r="W591" s="2">
        <f t="shared" si="28"/>
        <v>1</v>
      </c>
      <c r="X591">
        <f t="shared" si="29"/>
        <v>1</v>
      </c>
    </row>
    <row r="592" spans="1:24">
      <c r="A592" s="2" t="s">
        <v>2825</v>
      </c>
      <c r="B592" s="2" t="s">
        <v>273</v>
      </c>
      <c r="C592" s="2" t="s">
        <v>2826</v>
      </c>
      <c r="D592" s="2" t="s">
        <v>2827</v>
      </c>
      <c r="E592" s="2" t="s">
        <v>162</v>
      </c>
      <c r="F592" s="2" t="s">
        <v>115</v>
      </c>
      <c r="G592" s="2" t="s">
        <v>27</v>
      </c>
      <c r="H592" s="2" t="s">
        <v>506</v>
      </c>
      <c r="I592" s="2" t="s">
        <v>507</v>
      </c>
      <c r="J592" s="2" t="s">
        <v>45</v>
      </c>
      <c r="K592" s="2" t="s">
        <v>76</v>
      </c>
      <c r="L592" s="2" t="s">
        <v>2828</v>
      </c>
      <c r="M592" s="2" t="s">
        <v>48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137</v>
      </c>
      <c r="U592" s="2" t="s">
        <v>78</v>
      </c>
      <c r="V592" s="2" t="str">
        <f t="shared" si="27"/>
        <v>ORD-2024-1059129-05-20242024-05-29CUST-3433Aarav SharmaHome OfficeNorthDelhiNew DelhiFurnitureChairsElite Chairs 372Same Day63430.35020582.115897.654684.45PendingCancelled</v>
      </c>
      <c r="W592" s="2">
        <f t="shared" si="28"/>
        <v>1</v>
      </c>
      <c r="X592">
        <f t="shared" si="29"/>
        <v>1</v>
      </c>
    </row>
    <row r="593" spans="1:25">
      <c r="A593" s="2" t="s">
        <v>2829</v>
      </c>
      <c r="B593" s="2" t="s">
        <v>2830</v>
      </c>
      <c r="C593" s="2" t="s">
        <v>2831</v>
      </c>
      <c r="D593" s="2" t="s">
        <v>2832</v>
      </c>
      <c r="E593" s="2" t="s">
        <v>168</v>
      </c>
      <c r="F593" s="2" t="s">
        <v>26</v>
      </c>
      <c r="G593" s="2" t="s">
        <v>62</v>
      </c>
      <c r="H593" s="2" t="s">
        <v>229</v>
      </c>
      <c r="I593" s="2" t="s">
        <v>230</v>
      </c>
      <c r="J593" s="2" t="s">
        <v>86</v>
      </c>
      <c r="K593" s="2" t="s">
        <v>94</v>
      </c>
      <c r="L593" s="2" t="s">
        <v>2833</v>
      </c>
      <c r="M593" s="2" t="s">
        <v>56</v>
      </c>
      <c r="N593" s="2">
        <v>3</v>
      </c>
      <c r="O593" s="2">
        <v>3545.08</v>
      </c>
      <c r="P593" s="2">
        <v>0</v>
      </c>
      <c r="Q593" s="2">
        <v>10635.24</v>
      </c>
      <c r="R593" s="2">
        <v>6031.88</v>
      </c>
      <c r="S593" s="2">
        <v>4603.3599999999997</v>
      </c>
      <c r="T593" s="2" t="s">
        <v>200</v>
      </c>
      <c r="U593" s="2" t="s">
        <v>125</v>
      </c>
      <c r="V593" s="2" t="str">
        <f t="shared" si="27"/>
        <v>ORD-2024-105922024-02-2224-02-2024CUST-2423Sneha KapoorConsumerSouthKarnatakaBengaluruTechnologyCopiersEco Copiers 324First Class33545.08010635.246031.884603.36FailedReturned</v>
      </c>
      <c r="W593" s="2">
        <f t="shared" si="28"/>
        <v>1</v>
      </c>
      <c r="X593">
        <f t="shared" si="29"/>
        <v>1</v>
      </c>
    </row>
    <row r="594" spans="1:25">
      <c r="A594" s="2" t="s">
        <v>2834</v>
      </c>
      <c r="B594" s="2" t="s">
        <v>839</v>
      </c>
      <c r="C594" s="2" t="s">
        <v>897</v>
      </c>
      <c r="D594" s="2" t="s">
        <v>2835</v>
      </c>
      <c r="E594" s="2" t="s">
        <v>40</v>
      </c>
      <c r="F594" s="2" t="s">
        <v>26</v>
      </c>
      <c r="G594" s="2" t="s">
        <v>42</v>
      </c>
      <c r="H594" s="2" t="s">
        <v>121</v>
      </c>
      <c r="I594" s="2" t="s">
        <v>122</v>
      </c>
      <c r="J594" s="2" t="s">
        <v>86</v>
      </c>
      <c r="K594" s="2" t="s">
        <v>87</v>
      </c>
      <c r="L594" s="2" t="s">
        <v>2836</v>
      </c>
      <c r="M594" s="2" t="s">
        <v>48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34</v>
      </c>
      <c r="U594" s="2" t="s">
        <v>35</v>
      </c>
      <c r="V594" s="2" t="str">
        <f t="shared" si="27"/>
        <v>ORD-2024-1059304-03-20242024-03-09CUST-3559Mira DasConsumerEastWest BengalKolkataTechnologyAccessoriesClassic Accessories 131Same Day84401.410.1529929.5922436.037493.56PaidCompleted</v>
      </c>
      <c r="W594" s="2">
        <f t="shared" si="28"/>
        <v>1</v>
      </c>
      <c r="X594">
        <f t="shared" si="29"/>
        <v>1</v>
      </c>
    </row>
    <row r="595" spans="1:25">
      <c r="A595" s="2" t="s">
        <v>2837</v>
      </c>
      <c r="B595" s="2" t="s">
        <v>1358</v>
      </c>
      <c r="C595" s="2" t="s">
        <v>2838</v>
      </c>
      <c r="D595" s="2" t="s">
        <v>2529</v>
      </c>
      <c r="E595" s="2" t="s">
        <v>61</v>
      </c>
      <c r="F595" s="2" t="s">
        <v>115</v>
      </c>
      <c r="G595" s="2" t="s">
        <v>27</v>
      </c>
      <c r="H595" s="2" t="s">
        <v>174</v>
      </c>
      <c r="I595" s="2" t="s">
        <v>175</v>
      </c>
      <c r="J595" s="2" t="s">
        <v>45</v>
      </c>
      <c r="K595" s="2" t="s">
        <v>46</v>
      </c>
      <c r="L595" s="2" t="s">
        <v>2839</v>
      </c>
      <c r="M595" s="2" t="s">
        <v>33</v>
      </c>
      <c r="N595" s="2">
        <v>9</v>
      </c>
      <c r="O595" s="2">
        <v>4100.1099999999997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34</v>
      </c>
      <c r="U595" s="2" t="s">
        <v>35</v>
      </c>
      <c r="V595" s="2" t="str">
        <f t="shared" si="27"/>
        <v>ORD-2025-1059409/27/20252025-09-29CUST-2917Arjun BoseHome OfficeNorthUttar PradeshNoidaFurnitureTablesEco Tables 550Second Class94100.110.2527675.7415571.0812104.66PaidCompleted</v>
      </c>
      <c r="W595" s="2">
        <f t="shared" si="28"/>
        <v>1</v>
      </c>
      <c r="X595">
        <f t="shared" si="29"/>
        <v>1</v>
      </c>
    </row>
    <row r="596" spans="1:25">
      <c r="A596" s="2" t="s">
        <v>2840</v>
      </c>
      <c r="B596" s="2" t="s">
        <v>2841</v>
      </c>
      <c r="C596" s="2" t="s">
        <v>1135</v>
      </c>
      <c r="D596" s="2" t="s">
        <v>2842</v>
      </c>
      <c r="E596" s="2" t="s">
        <v>25</v>
      </c>
      <c r="F596" s="2" t="s">
        <v>41</v>
      </c>
      <c r="G596" s="2" t="s">
        <v>42</v>
      </c>
      <c r="H596" s="2" t="s">
        <v>121</v>
      </c>
      <c r="I596" s="2" t="s">
        <v>122</v>
      </c>
      <c r="J596" s="2" t="s">
        <v>45</v>
      </c>
      <c r="K596" s="2" t="s">
        <v>76</v>
      </c>
      <c r="L596" s="2" t="s">
        <v>2843</v>
      </c>
      <c r="M596" s="2" t="s">
        <v>56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34</v>
      </c>
      <c r="U596" s="2" t="s">
        <v>35</v>
      </c>
      <c r="V596" s="2" t="str">
        <f t="shared" si="27"/>
        <v>ORD-2024-105952024-09-192024-09-21CUST-6850Karan MalhotraSmall BusinessEastWest BengalKolkataFurnitureChairsBasic Chairs 932First Class33981.76011945.289700.312244.97PaidCompleted</v>
      </c>
      <c r="W596" s="2">
        <f t="shared" si="28"/>
        <v>1</v>
      </c>
      <c r="X596">
        <f t="shared" si="29"/>
        <v>1</v>
      </c>
    </row>
    <row r="597" spans="1:25">
      <c r="A597" s="2" t="s">
        <v>2844</v>
      </c>
      <c r="B597" s="2" t="s">
        <v>2845</v>
      </c>
      <c r="C597" s="2" t="s">
        <v>2846</v>
      </c>
      <c r="D597" s="2" t="s">
        <v>2847</v>
      </c>
      <c r="E597" s="2" t="s">
        <v>40</v>
      </c>
      <c r="F597" s="2" t="s">
        <v>108</v>
      </c>
      <c r="G597" s="2" t="s">
        <v>27</v>
      </c>
      <c r="H597" s="2" t="s">
        <v>174</v>
      </c>
      <c r="I597" s="2" t="s">
        <v>175</v>
      </c>
      <c r="J597" s="2" t="s">
        <v>86</v>
      </c>
      <c r="K597" s="2" t="s">
        <v>223</v>
      </c>
      <c r="L597" s="2" t="s">
        <v>2848</v>
      </c>
      <c r="M597" s="2" t="s">
        <v>56</v>
      </c>
      <c r="N597" s="2">
        <v>8</v>
      </c>
      <c r="O597" s="2">
        <v>1825.56</v>
      </c>
      <c r="P597" s="2">
        <v>0.1</v>
      </c>
      <c r="Q597" s="2">
        <v>13144.03</v>
      </c>
      <c r="R597" s="2">
        <v>9764</v>
      </c>
      <c r="S597" s="2">
        <v>3380.03</v>
      </c>
      <c r="T597" s="2" t="s">
        <v>34</v>
      </c>
      <c r="U597" s="2" t="s">
        <v>35</v>
      </c>
      <c r="V597" s="2" t="str">
        <f t="shared" si="27"/>
        <v>ORD-2025-1059602/11/202516-02-2025CUST-5566Mira DasCorporateNorthUttar PradeshNoidaTechnologyPhonesClassic Phones 294First Class81825.560.113144.0397643380.03PaidCompleted</v>
      </c>
      <c r="W597" s="2">
        <f t="shared" si="28"/>
        <v>1</v>
      </c>
      <c r="X597">
        <f t="shared" si="29"/>
        <v>1</v>
      </c>
    </row>
    <row r="598" spans="1:25">
      <c r="A598" s="2" t="s">
        <v>2849</v>
      </c>
      <c r="B598" s="2" t="s">
        <v>1440</v>
      </c>
      <c r="C598" s="2" t="s">
        <v>411</v>
      </c>
      <c r="D598" s="2" t="s">
        <v>2850</v>
      </c>
      <c r="E598" s="2" t="s">
        <v>107</v>
      </c>
      <c r="F598" s="2" t="s">
        <v>26</v>
      </c>
      <c r="G598" s="2" t="s">
        <v>62</v>
      </c>
      <c r="H598" s="2" t="s">
        <v>242</v>
      </c>
      <c r="I598" s="2" t="s">
        <v>243</v>
      </c>
      <c r="J598" s="2" t="s">
        <v>45</v>
      </c>
      <c r="K598" s="2" t="s">
        <v>76</v>
      </c>
      <c r="L598" s="2" t="s">
        <v>2851</v>
      </c>
      <c r="M598" s="2" t="s">
        <v>33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34</v>
      </c>
      <c r="U598" s="2" t="s">
        <v>35</v>
      </c>
      <c r="V598" s="2" t="str">
        <f t="shared" si="27"/>
        <v>ORD-2024-1059710 Apr 202404/16/2024CUST-2593Aditi SenConsumerSouthKeralaKochiFurnitureChairsElite Chairs 700Second Class92723.260.2518382.0113108.25273.81PaidCompleted</v>
      </c>
      <c r="W598" s="2">
        <f t="shared" si="28"/>
        <v>1</v>
      </c>
      <c r="X598">
        <f t="shared" si="29"/>
        <v>1</v>
      </c>
    </row>
    <row r="599" spans="1:25">
      <c r="A599" s="2" t="s">
        <v>2852</v>
      </c>
      <c r="B599" s="2" t="s">
        <v>2853</v>
      </c>
      <c r="C599" s="2" t="s">
        <v>488</v>
      </c>
      <c r="D599" s="2" t="s">
        <v>2854</v>
      </c>
      <c r="E599" s="2" t="s">
        <v>107</v>
      </c>
      <c r="F599" s="2" t="s">
        <v>26</v>
      </c>
      <c r="G599" s="2" t="s">
        <v>62</v>
      </c>
      <c r="H599" s="2" t="s">
        <v>63</v>
      </c>
      <c r="I599" s="2" t="s">
        <v>64</v>
      </c>
      <c r="J599" s="2" t="s">
        <v>86</v>
      </c>
      <c r="K599" s="2" t="s">
        <v>94</v>
      </c>
      <c r="L599" s="2" t="s">
        <v>2855</v>
      </c>
      <c r="M599" s="2" t="s">
        <v>48</v>
      </c>
      <c r="N599" s="2">
        <v>9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592.70000000000005</v>
      </c>
      <c r="T599" s="2" t="s">
        <v>34</v>
      </c>
      <c r="U599" s="2" t="s">
        <v>35</v>
      </c>
      <c r="V599" s="2" t="str">
        <f t="shared" si="27"/>
        <v>ORD-2025-1059808 Jul 202507/08/2025CUST-6957Aditi SenConsumerSouthTelanganaHyderabadTechnologyCopiersPrime Copiers 969Same Day9274.880.251855.441262.74592.7PaidCompleted</v>
      </c>
      <c r="W599" s="2">
        <f t="shared" si="28"/>
        <v>1</v>
      </c>
      <c r="X599">
        <f t="shared" si="29"/>
        <v>1</v>
      </c>
    </row>
    <row r="600" spans="1:25">
      <c r="A600" s="2" t="s">
        <v>2856</v>
      </c>
      <c r="B600" s="2" t="s">
        <v>2439</v>
      </c>
      <c r="C600" s="2" t="s">
        <v>2857</v>
      </c>
      <c r="D600" s="2" t="s">
        <v>2858</v>
      </c>
      <c r="E600" s="2" t="s">
        <v>72</v>
      </c>
      <c r="F600" s="2" t="s">
        <v>108</v>
      </c>
      <c r="G600" s="2" t="s">
        <v>42</v>
      </c>
      <c r="H600" s="2" t="s">
        <v>121</v>
      </c>
      <c r="I600" s="2" t="s">
        <v>122</v>
      </c>
      <c r="J600" s="2" t="s">
        <v>86</v>
      </c>
      <c r="K600" s="2" t="s">
        <v>94</v>
      </c>
      <c r="L600" s="2" t="s">
        <v>2859</v>
      </c>
      <c r="M600" s="2" t="s">
        <v>48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34</v>
      </c>
      <c r="U600" s="2" t="s">
        <v>35</v>
      </c>
      <c r="V600" s="2" t="str">
        <f t="shared" si="27"/>
        <v>ORD-2024-1059908/17/202408/24/2024CUST-8498Ananya RaoCorporateEastWest BengalKolkataTechnologyCopiersEco Copiers 268Same Day31490.690.253354.052672.67681.38PaidCompleted</v>
      </c>
      <c r="W600" s="2">
        <f t="shared" si="28"/>
        <v>2</v>
      </c>
      <c r="X600">
        <f t="shared" si="29"/>
        <v>2</v>
      </c>
      <c r="Y600" s="2" t="s">
        <v>4096</v>
      </c>
    </row>
    <row r="601" spans="1:25">
      <c r="A601" s="2" t="s">
        <v>2860</v>
      </c>
      <c r="B601" s="2" t="s">
        <v>2861</v>
      </c>
      <c r="C601" s="2" t="s">
        <v>1626</v>
      </c>
      <c r="D601" s="2" t="s">
        <v>2862</v>
      </c>
      <c r="E601" s="2" t="s">
        <v>61</v>
      </c>
      <c r="F601" s="2" t="s">
        <v>26</v>
      </c>
      <c r="G601" s="2" t="s">
        <v>27</v>
      </c>
      <c r="H601" s="2" t="s">
        <v>154</v>
      </c>
      <c r="I601" s="2" t="s">
        <v>155</v>
      </c>
      <c r="J601" s="2" t="s">
        <v>86</v>
      </c>
      <c r="K601" s="2" t="s">
        <v>223</v>
      </c>
      <c r="L601" s="2" t="s">
        <v>2863</v>
      </c>
      <c r="M601" s="2" t="s">
        <v>56</v>
      </c>
      <c r="N601" s="2">
        <v>3</v>
      </c>
      <c r="O601" s="2">
        <v>1103.54</v>
      </c>
      <c r="P601" s="2">
        <v>0.25</v>
      </c>
      <c r="Q601" s="2">
        <v>2482.9699999999998</v>
      </c>
      <c r="R601" s="2">
        <v>1621.72</v>
      </c>
      <c r="S601" s="2">
        <v>861.25</v>
      </c>
      <c r="T601" s="2" t="s">
        <v>34</v>
      </c>
      <c r="U601" s="2" t="s">
        <v>35</v>
      </c>
      <c r="V601" s="2" t="str">
        <f t="shared" si="27"/>
        <v>ORD-2024-1060019-08-202421 Aug 2024CUST-2612Arjun BoseConsumerNorthPunjabLudhianaTechnologyPhonesPro Phones 588First Class31103.540.252482.971621.72861.25PaidCompleted</v>
      </c>
      <c r="W601" s="2">
        <f t="shared" si="28"/>
        <v>1</v>
      </c>
      <c r="X601">
        <f t="shared" si="29"/>
        <v>1</v>
      </c>
    </row>
    <row r="602" spans="1:25">
      <c r="A602" s="2" t="s">
        <v>2864</v>
      </c>
      <c r="B602" s="2" t="s">
        <v>2865</v>
      </c>
      <c r="C602" s="2" t="s">
        <v>2866</v>
      </c>
      <c r="D602" s="2" t="s">
        <v>2867</v>
      </c>
      <c r="E602" s="2" t="s">
        <v>72</v>
      </c>
      <c r="F602" s="2" t="s">
        <v>108</v>
      </c>
      <c r="G602" s="2" t="s">
        <v>73</v>
      </c>
      <c r="H602" s="2" t="s">
        <v>84</v>
      </c>
      <c r="I602" s="2" t="s">
        <v>85</v>
      </c>
      <c r="J602" s="2" t="s">
        <v>30</v>
      </c>
      <c r="K602" s="2" t="s">
        <v>156</v>
      </c>
      <c r="L602" s="2" t="s">
        <v>2868</v>
      </c>
      <c r="M602" s="2" t="s">
        <v>48</v>
      </c>
      <c r="N602" s="2">
        <v>3</v>
      </c>
      <c r="O602" s="2">
        <v>3682.75</v>
      </c>
      <c r="Q602" s="2">
        <v>11048.25</v>
      </c>
      <c r="R602" s="2">
        <v>9062.7199999999993</v>
      </c>
      <c r="S602" s="2">
        <v>1985.53</v>
      </c>
      <c r="T602" s="2" t="s">
        <v>34</v>
      </c>
      <c r="U602" s="2" t="s">
        <v>35</v>
      </c>
      <c r="V602" s="2" t="str">
        <f t="shared" si="27"/>
        <v>ORD-2025-1060105-03-20252025-03-12CUST-6013Ananya RaoCorporateWestMadhya PradeshIndoreOffice SuppliesStoragePrime Storage 432Same Day33682.7511048.259062.721985.53PaidCompleted</v>
      </c>
      <c r="W602" s="2">
        <f t="shared" si="28"/>
        <v>1</v>
      </c>
      <c r="X602">
        <f t="shared" si="29"/>
        <v>1</v>
      </c>
    </row>
    <row r="603" spans="1:25">
      <c r="A603" s="2" t="s">
        <v>2869</v>
      </c>
      <c r="B603" s="2" t="s">
        <v>2870</v>
      </c>
      <c r="C603" s="2" t="s">
        <v>2871</v>
      </c>
      <c r="D603" s="2" t="s">
        <v>2872</v>
      </c>
      <c r="E603" s="2" t="s">
        <v>72</v>
      </c>
      <c r="F603" s="2" t="s">
        <v>115</v>
      </c>
      <c r="G603" s="2" t="s">
        <v>42</v>
      </c>
      <c r="H603" s="2" t="s">
        <v>121</v>
      </c>
      <c r="I603" s="2" t="s">
        <v>122</v>
      </c>
      <c r="J603" s="2" t="s">
        <v>30</v>
      </c>
      <c r="K603" s="2" t="s">
        <v>31</v>
      </c>
      <c r="L603" s="2" t="s">
        <v>2873</v>
      </c>
      <c r="M603" s="2" t="s">
        <v>33</v>
      </c>
      <c r="N603" s="2">
        <v>5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34</v>
      </c>
      <c r="U603" s="2" t="s">
        <v>35</v>
      </c>
      <c r="V603" s="2" t="str">
        <f t="shared" si="27"/>
        <v>ORD-2024-1060226 Jan 202401/31/2024CUST-8289Ananya RaoHome OfficeEastWest BengalKolkataOffice SuppliesPaperBasic Paper 452Second Class51615.030.26460.123604.032856.09PaidCompleted</v>
      </c>
      <c r="W603" s="2">
        <f t="shared" si="28"/>
        <v>1</v>
      </c>
      <c r="X603">
        <f t="shared" si="29"/>
        <v>1</v>
      </c>
    </row>
    <row r="604" spans="1:25">
      <c r="A604" s="2" t="s">
        <v>2874</v>
      </c>
      <c r="B604" s="2" t="s">
        <v>2875</v>
      </c>
      <c r="C604" s="2" t="s">
        <v>2876</v>
      </c>
      <c r="D604" s="2" t="s">
        <v>2877</v>
      </c>
      <c r="E604" s="2" t="s">
        <v>162</v>
      </c>
      <c r="F604" s="2" t="s">
        <v>26</v>
      </c>
      <c r="G604" s="2" t="s">
        <v>42</v>
      </c>
      <c r="H604" s="2" t="s">
        <v>311</v>
      </c>
      <c r="I604" s="2" t="s">
        <v>312</v>
      </c>
      <c r="J604" s="2" t="s">
        <v>86</v>
      </c>
      <c r="K604" s="2" t="s">
        <v>94</v>
      </c>
      <c r="L604" s="2" t="s">
        <v>2878</v>
      </c>
      <c r="M604" s="2" t="s">
        <v>33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34</v>
      </c>
      <c r="U604" s="2" t="s">
        <v>35</v>
      </c>
      <c r="V604" s="2" t="str">
        <f t="shared" si="27"/>
        <v>ORD-2024-1060323-10-20242024-10-30CUST-5668Aarav SharmaConsumerEastJharkhandRanchiTechnologyCopiersMax Copiers 477Second Class93423.820.1526192.2220795.555396.67PaidCompleted</v>
      </c>
      <c r="W604" s="2">
        <f t="shared" si="28"/>
        <v>1</v>
      </c>
      <c r="X604">
        <f t="shared" si="29"/>
        <v>1</v>
      </c>
    </row>
    <row r="605" spans="1:25">
      <c r="A605" s="2" t="s">
        <v>2879</v>
      </c>
      <c r="B605" s="2" t="s">
        <v>2880</v>
      </c>
      <c r="C605" s="2" t="s">
        <v>592</v>
      </c>
      <c r="D605" s="2" t="s">
        <v>480</v>
      </c>
      <c r="E605" s="2" t="s">
        <v>83</v>
      </c>
      <c r="F605" s="2" t="s">
        <v>108</v>
      </c>
      <c r="G605" s="2" t="s">
        <v>42</v>
      </c>
      <c r="H605" s="2" t="s">
        <v>186</v>
      </c>
      <c r="I605" s="2" t="s">
        <v>187</v>
      </c>
      <c r="J605" s="2" t="s">
        <v>86</v>
      </c>
      <c r="K605" s="2" t="s">
        <v>87</v>
      </c>
      <c r="L605" s="2" t="s">
        <v>2881</v>
      </c>
      <c r="M605" s="2" t="s">
        <v>56</v>
      </c>
      <c r="N605" s="2">
        <v>8</v>
      </c>
      <c r="O605" s="2">
        <v>2574.29</v>
      </c>
      <c r="P605" s="2">
        <v>0.05</v>
      </c>
      <c r="Q605" s="2">
        <v>19564.599999999999</v>
      </c>
      <c r="R605" s="2">
        <v>11154.59</v>
      </c>
      <c r="S605" s="2">
        <v>8410.01</v>
      </c>
      <c r="T605" s="2" t="s">
        <v>137</v>
      </c>
      <c r="U605" s="2" t="s">
        <v>78</v>
      </c>
      <c r="V605" s="2" t="str">
        <f t="shared" si="27"/>
        <v>ORD-2025-1060401/03/202511-01-2025CUST-5808Vikram IyerCorporateEastBiharPatnaTechnologyAccessoriesPrime Accessories 300First Class82574.290.0519564.611154.598410.01PendingCancelled</v>
      </c>
      <c r="W605" s="2">
        <f t="shared" si="28"/>
        <v>1</v>
      </c>
      <c r="X605">
        <f t="shared" si="29"/>
        <v>1</v>
      </c>
    </row>
    <row r="606" spans="1:25">
      <c r="A606" s="2" t="s">
        <v>2882</v>
      </c>
      <c r="B606" s="2" t="s">
        <v>2883</v>
      </c>
      <c r="C606" s="2" t="s">
        <v>2884</v>
      </c>
      <c r="D606" s="2" t="s">
        <v>2885</v>
      </c>
      <c r="E606" s="2" t="s">
        <v>72</v>
      </c>
      <c r="F606" s="2" t="s">
        <v>26</v>
      </c>
      <c r="G606" s="2" t="s">
        <v>73</v>
      </c>
      <c r="H606" s="2" t="s">
        <v>84</v>
      </c>
      <c r="I606" s="2" t="s">
        <v>85</v>
      </c>
      <c r="J606" s="2" t="s">
        <v>30</v>
      </c>
      <c r="K606" s="2" t="s">
        <v>198</v>
      </c>
      <c r="L606" s="2" t="s">
        <v>2886</v>
      </c>
      <c r="M606" s="2" t="s">
        <v>48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34</v>
      </c>
      <c r="U606" s="2" t="s">
        <v>35</v>
      </c>
      <c r="V606" s="2" t="str">
        <f t="shared" si="27"/>
        <v>ORD-2025-1060505-02-202502/06/2025CUST-4526Ananya RaoConsumerWestMadhya PradeshIndoreOffice SuppliesBindersMax Binders 547Same Day31076.303228.91853.231375.67PaidCompleted</v>
      </c>
      <c r="W606" s="2">
        <f t="shared" si="28"/>
        <v>1</v>
      </c>
      <c r="X606">
        <f t="shared" si="29"/>
        <v>1</v>
      </c>
    </row>
    <row r="607" spans="1:25">
      <c r="A607" s="2" t="s">
        <v>2887</v>
      </c>
      <c r="B607" s="2" t="s">
        <v>2613</v>
      </c>
      <c r="C607" s="2" t="s">
        <v>2888</v>
      </c>
      <c r="D607" s="2" t="s">
        <v>2889</v>
      </c>
      <c r="E607" s="2" t="s">
        <v>366</v>
      </c>
      <c r="F607" s="2" t="s">
        <v>108</v>
      </c>
      <c r="G607" s="2" t="s">
        <v>73</v>
      </c>
      <c r="H607" s="2" t="s">
        <v>249</v>
      </c>
      <c r="I607" s="2" t="s">
        <v>250</v>
      </c>
      <c r="J607" s="2" t="s">
        <v>45</v>
      </c>
      <c r="K607" s="2" t="s">
        <v>65</v>
      </c>
      <c r="L607" s="2" t="s">
        <v>2890</v>
      </c>
      <c r="M607" s="2" t="s">
        <v>33</v>
      </c>
      <c r="N607" s="2">
        <v>5</v>
      </c>
      <c r="O607" s="2">
        <v>1680.01</v>
      </c>
      <c r="P607" s="2" t="s">
        <v>1170</v>
      </c>
      <c r="Q607" s="2">
        <v>7560.04</v>
      </c>
      <c r="R607" s="2">
        <v>6448.05</v>
      </c>
      <c r="S607" s="2">
        <v>1111.99</v>
      </c>
      <c r="T607" s="2" t="s">
        <v>34</v>
      </c>
      <c r="U607" s="2" t="s">
        <v>78</v>
      </c>
      <c r="V607" s="2" t="str">
        <f t="shared" si="27"/>
        <v>ORD-2025-106062025-07-0913 Jul 2025CUST-4447Kabir SinghCorporateWestGoaPanajiFurnitureFurnishingsPro Furnishings 267Second Class51680.0185%7560.046448.051111.99PaidCancelled</v>
      </c>
      <c r="W607" s="2">
        <f t="shared" si="28"/>
        <v>1</v>
      </c>
      <c r="X607">
        <f t="shared" si="29"/>
        <v>1</v>
      </c>
    </row>
    <row r="608" spans="1:25">
      <c r="A608" s="2" t="s">
        <v>2891</v>
      </c>
      <c r="B608" s="2" t="s">
        <v>2892</v>
      </c>
      <c r="C608" s="2" t="s">
        <v>2528</v>
      </c>
      <c r="D608" s="2" t="s">
        <v>2893</v>
      </c>
      <c r="E608" s="2" t="s">
        <v>148</v>
      </c>
      <c r="F608" s="2" t="s">
        <v>115</v>
      </c>
      <c r="G608" s="2" t="s">
        <v>73</v>
      </c>
      <c r="H608" s="2" t="s">
        <v>84</v>
      </c>
      <c r="I608" s="2" t="s">
        <v>85</v>
      </c>
      <c r="J608" s="2" t="s">
        <v>86</v>
      </c>
      <c r="K608" s="2" t="s">
        <v>94</v>
      </c>
      <c r="L608" s="2" t="s">
        <v>2894</v>
      </c>
      <c r="M608" s="2" t="s">
        <v>48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34</v>
      </c>
      <c r="U608" s="2" t="s">
        <v>35</v>
      </c>
      <c r="V608" s="2" t="str">
        <f t="shared" si="27"/>
        <v>ORD-2025-1060722 Feb 202502/28/2025CUST-2698Rahul VermaHome OfficeWestMadhya PradeshIndoreTechnologyCopiersMax Copiers 520Same Day33890.810.258754.326238.92515.42PaidCompleted</v>
      </c>
      <c r="W608" s="2">
        <f t="shared" si="28"/>
        <v>1</v>
      </c>
      <c r="X608">
        <f t="shared" si="29"/>
        <v>1</v>
      </c>
    </row>
    <row r="609" spans="1:24">
      <c r="A609" s="2" t="s">
        <v>2895</v>
      </c>
      <c r="B609" s="2" t="s">
        <v>2846</v>
      </c>
      <c r="C609" s="2" t="s">
        <v>2892</v>
      </c>
      <c r="D609" s="2" t="s">
        <v>2896</v>
      </c>
      <c r="E609" s="2" t="s">
        <v>168</v>
      </c>
      <c r="F609" s="2" t="s">
        <v>115</v>
      </c>
      <c r="G609" s="2" t="s">
        <v>42</v>
      </c>
      <c r="H609" s="2" t="s">
        <v>186</v>
      </c>
      <c r="I609" s="2" t="s">
        <v>187</v>
      </c>
      <c r="J609" s="2" t="s">
        <v>30</v>
      </c>
      <c r="K609" s="2" t="s">
        <v>156</v>
      </c>
      <c r="L609" s="2" t="s">
        <v>2897</v>
      </c>
      <c r="M609" s="2" t="s">
        <v>48</v>
      </c>
      <c r="N609" s="2">
        <v>5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34</v>
      </c>
      <c r="U609" s="2" t="s">
        <v>35</v>
      </c>
      <c r="V609" s="2" t="str">
        <f t="shared" si="27"/>
        <v>ORD-2025-1060816-02-202522 Feb 2025CUST-6297Sneha KapoorHome OfficeEastBiharPatnaOffice SuppliesStorageMax Storage 424Same Day5954.670.154057.352862.031195.32PaidCompleted</v>
      </c>
      <c r="W609" s="2">
        <f t="shared" si="28"/>
        <v>1</v>
      </c>
      <c r="X609">
        <f t="shared" si="29"/>
        <v>1</v>
      </c>
    </row>
    <row r="610" spans="1:24">
      <c r="A610" s="2" t="s">
        <v>2898</v>
      </c>
      <c r="B610" s="2" t="s">
        <v>2152</v>
      </c>
      <c r="C610" s="2" t="s">
        <v>1553</v>
      </c>
      <c r="D610" s="2" t="s">
        <v>2574</v>
      </c>
      <c r="E610" s="2" t="s">
        <v>25</v>
      </c>
      <c r="F610" s="2" t="s">
        <v>115</v>
      </c>
      <c r="G610" s="2" t="s">
        <v>73</v>
      </c>
      <c r="H610" s="2" t="s">
        <v>249</v>
      </c>
      <c r="I610" s="2" t="s">
        <v>250</v>
      </c>
      <c r="J610" s="2" t="s">
        <v>45</v>
      </c>
      <c r="K610" s="2" t="s">
        <v>65</v>
      </c>
      <c r="L610" s="2" t="s">
        <v>2899</v>
      </c>
      <c r="M610" s="2" t="s">
        <v>33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34</v>
      </c>
      <c r="U610" s="2" t="s">
        <v>35</v>
      </c>
      <c r="V610" s="2" t="str">
        <f t="shared" si="27"/>
        <v>ORD-2024-1060921 Jun 202423 Jun 2024CUST-7690Karan MalhotraHome OfficeWestGoaPanajiFurnitureFurnishingsElite Furnishings 706Second Class92153.75019383.7511667.437716.32PaidCompleted</v>
      </c>
      <c r="W610" s="2">
        <f t="shared" si="28"/>
        <v>1</v>
      </c>
      <c r="X610">
        <f t="shared" si="29"/>
        <v>1</v>
      </c>
    </row>
    <row r="611" spans="1:24">
      <c r="A611" s="2" t="s">
        <v>2900</v>
      </c>
      <c r="B611" s="2" t="s">
        <v>2055</v>
      </c>
      <c r="C611" s="2" t="s">
        <v>1176</v>
      </c>
      <c r="D611" s="2" t="s">
        <v>2901</v>
      </c>
      <c r="E611" s="2" t="s">
        <v>168</v>
      </c>
      <c r="F611" s="2" t="s">
        <v>115</v>
      </c>
      <c r="G611" s="2" t="s">
        <v>62</v>
      </c>
      <c r="H611" s="2" t="s">
        <v>229</v>
      </c>
      <c r="I611" s="2" t="s">
        <v>230</v>
      </c>
      <c r="J611" s="2" t="s">
        <v>45</v>
      </c>
      <c r="K611" s="2" t="s">
        <v>76</v>
      </c>
      <c r="L611" s="2" t="s">
        <v>2902</v>
      </c>
      <c r="M611" s="2" t="s">
        <v>67</v>
      </c>
      <c r="N611" s="2">
        <v>7</v>
      </c>
      <c r="O611" s="2">
        <v>4337.4799999999996</v>
      </c>
      <c r="P611" s="2">
        <v>0</v>
      </c>
      <c r="Q611" s="2">
        <v>30362.36</v>
      </c>
      <c r="R611" s="2">
        <v>25065.4</v>
      </c>
      <c r="S611" s="2">
        <v>5296.96</v>
      </c>
      <c r="T611" s="2" t="s">
        <v>34</v>
      </c>
      <c r="U611" s="2" t="s">
        <v>35</v>
      </c>
      <c r="V611" s="2" t="str">
        <f t="shared" si="27"/>
        <v>ORD-2025-106102025-01-0812-01-2025CUST-4380Sneha KapoorHome OfficeSouthKarnatakaBengaluruFurnitureChairsPro Chairs 908Standard Class74337.48030362.3625065.45296.96PaidCompleted</v>
      </c>
      <c r="W611" s="2">
        <f t="shared" si="28"/>
        <v>1</v>
      </c>
      <c r="X611">
        <f t="shared" si="29"/>
        <v>1</v>
      </c>
    </row>
    <row r="612" spans="1:24">
      <c r="A612" s="2" t="s">
        <v>2903</v>
      </c>
      <c r="B612" s="2" t="s">
        <v>2904</v>
      </c>
      <c r="C612" s="2" t="s">
        <v>2905</v>
      </c>
      <c r="D612" s="2" t="s">
        <v>2080</v>
      </c>
      <c r="E612" s="2" t="s">
        <v>25</v>
      </c>
      <c r="F612" s="2" t="s">
        <v>115</v>
      </c>
      <c r="G612" s="2" t="s">
        <v>73</v>
      </c>
      <c r="H612" s="2" t="s">
        <v>84</v>
      </c>
      <c r="I612" s="2" t="s">
        <v>85</v>
      </c>
      <c r="J612" s="2" t="s">
        <v>45</v>
      </c>
      <c r="K612" s="2" t="s">
        <v>76</v>
      </c>
      <c r="L612" s="2" t="s">
        <v>2906</v>
      </c>
      <c r="M612" s="2" t="s">
        <v>67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34</v>
      </c>
      <c r="U612" s="2" t="s">
        <v>35</v>
      </c>
      <c r="V612" s="2" t="str">
        <f t="shared" si="27"/>
        <v>ORD-2024-1061120 May 202405/20/2024CUST-2779Karan MalhotraHome OfficeWestMadhya PradeshIndoreFurnitureChairsPro Chairs 712Standard Class13032.950.12729.651715.361014.29PaidCompleted</v>
      </c>
      <c r="W612" s="2">
        <f t="shared" si="28"/>
        <v>1</v>
      </c>
      <c r="X612">
        <f t="shared" si="29"/>
        <v>1</v>
      </c>
    </row>
    <row r="613" spans="1:24">
      <c r="A613" s="2" t="s">
        <v>2907</v>
      </c>
      <c r="B613" s="2" t="s">
        <v>2612</v>
      </c>
      <c r="C613" s="2" t="s">
        <v>2908</v>
      </c>
      <c r="D613" s="2" t="s">
        <v>2909</v>
      </c>
      <c r="E613" s="2" t="s">
        <v>72</v>
      </c>
      <c r="F613" s="2" t="s">
        <v>41</v>
      </c>
      <c r="G613" s="2" t="s">
        <v>27</v>
      </c>
      <c r="H613" s="2" t="s">
        <v>28</v>
      </c>
      <c r="I613" s="2" t="s">
        <v>29</v>
      </c>
      <c r="J613" s="2" t="s">
        <v>30</v>
      </c>
      <c r="K613" s="2" t="s">
        <v>198</v>
      </c>
      <c r="L613" s="2" t="s">
        <v>2910</v>
      </c>
      <c r="M613" s="2" t="s">
        <v>48</v>
      </c>
      <c r="N613" s="2">
        <v>8</v>
      </c>
      <c r="O613" s="2">
        <v>655.28</v>
      </c>
      <c r="P613" s="2">
        <v>0.1</v>
      </c>
      <c r="Q613" s="2">
        <v>4718.0200000000004</v>
      </c>
      <c r="R613" s="2">
        <v>3908.23</v>
      </c>
      <c r="S613" s="2">
        <v>809.79</v>
      </c>
      <c r="T613" s="2" t="s">
        <v>34</v>
      </c>
      <c r="U613" s="2" t="s">
        <v>35</v>
      </c>
      <c r="V613" s="2" t="str">
        <f t="shared" si="27"/>
        <v>ORD-2025-1061208-07-202515 Jul 2025CUST-6108Ananya RaoSmall BusinessNorthRajasthanJaipurOffice SuppliesBindersMax Binders 785Same Day8655.280.14718.023908.23809.79PaidCompleted</v>
      </c>
      <c r="W613" s="2">
        <f t="shared" si="28"/>
        <v>1</v>
      </c>
      <c r="X613">
        <f t="shared" si="29"/>
        <v>1</v>
      </c>
    </row>
    <row r="614" spans="1:24">
      <c r="A614" s="2" t="s">
        <v>2911</v>
      </c>
      <c r="B614" s="2" t="s">
        <v>2912</v>
      </c>
      <c r="C614" s="2" t="s">
        <v>2913</v>
      </c>
      <c r="D614" s="2" t="s">
        <v>2914</v>
      </c>
      <c r="E614" s="2" t="s">
        <v>107</v>
      </c>
      <c r="F614" s="2" t="s">
        <v>26</v>
      </c>
      <c r="H614" s="2" t="s">
        <v>43</v>
      </c>
      <c r="I614" s="2" t="s">
        <v>44</v>
      </c>
      <c r="J614" s="2" t="s">
        <v>86</v>
      </c>
      <c r="K614" s="2" t="s">
        <v>223</v>
      </c>
      <c r="L614" s="2" t="s">
        <v>2915</v>
      </c>
      <c r="M614" s="2" t="s">
        <v>67</v>
      </c>
      <c r="N614" s="2">
        <v>1</v>
      </c>
      <c r="O614" s="2">
        <v>3844.01</v>
      </c>
      <c r="P614" s="2">
        <v>0</v>
      </c>
      <c r="Q614" s="2">
        <v>3844.01</v>
      </c>
      <c r="R614" s="2">
        <v>2195.79</v>
      </c>
      <c r="S614" s="2">
        <v>1648.22</v>
      </c>
      <c r="T614" s="2" t="s">
        <v>34</v>
      </c>
      <c r="U614" s="2" t="s">
        <v>35</v>
      </c>
      <c r="V614" s="2" t="str">
        <f t="shared" si="27"/>
        <v>ORD-2025-1061306 Apr 202513-04-2025CUST-5663Aditi SenConsumerOdishaBhubaneswarTechnologyPhonesElite Phones 239Standard Class13844.0103844.012195.791648.22PaidCompleted</v>
      </c>
      <c r="W614" s="2">
        <f t="shared" si="28"/>
        <v>1</v>
      </c>
      <c r="X614">
        <f t="shared" si="29"/>
        <v>1</v>
      </c>
    </row>
    <row r="615" spans="1:24">
      <c r="A615" s="2" t="s">
        <v>2916</v>
      </c>
      <c r="B615" s="2" t="s">
        <v>2448</v>
      </c>
      <c r="C615" s="2" t="s">
        <v>2917</v>
      </c>
      <c r="D615" s="2" t="s">
        <v>2918</v>
      </c>
      <c r="E615" s="2" t="s">
        <v>210</v>
      </c>
      <c r="F615" s="2" t="s">
        <v>115</v>
      </c>
      <c r="G615" s="2" t="s">
        <v>73</v>
      </c>
      <c r="H615" s="2" t="s">
        <v>235</v>
      </c>
      <c r="I615" s="2" t="s">
        <v>236</v>
      </c>
      <c r="J615" s="2" t="s">
        <v>86</v>
      </c>
      <c r="K615" s="2" t="s">
        <v>382</v>
      </c>
      <c r="L615" s="2" t="s">
        <v>2919</v>
      </c>
      <c r="M615" s="2" t="s">
        <v>48</v>
      </c>
      <c r="N615" s="2">
        <v>9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34</v>
      </c>
      <c r="U615" s="2" t="s">
        <v>35</v>
      </c>
      <c r="V615" s="2" t="str">
        <f t="shared" si="27"/>
        <v>ORD-2024-106142024-10-0510/10/2024CUST-9311Diya PatelHome OfficeWestGujaratAhmedabadTechnologyMachinesBasic Machines 413Same Day93361.30.2522688.7814672.418016.37PaidCompleted</v>
      </c>
      <c r="W615" s="2">
        <f t="shared" si="28"/>
        <v>1</v>
      </c>
      <c r="X615">
        <f t="shared" si="29"/>
        <v>1</v>
      </c>
    </row>
    <row r="616" spans="1:24">
      <c r="A616" s="2" t="s">
        <v>2920</v>
      </c>
      <c r="B616" s="2" t="s">
        <v>2306</v>
      </c>
      <c r="C616" s="2" t="s">
        <v>2921</v>
      </c>
      <c r="D616" s="2" t="s">
        <v>2922</v>
      </c>
      <c r="E616" s="2" t="s">
        <v>72</v>
      </c>
      <c r="F616" s="2" t="s">
        <v>115</v>
      </c>
      <c r="G616" s="2" t="s">
        <v>62</v>
      </c>
      <c r="H616" s="2" t="s">
        <v>63</v>
      </c>
      <c r="I616" s="2" t="s">
        <v>64</v>
      </c>
      <c r="J616" s="2" t="s">
        <v>45</v>
      </c>
      <c r="K616" s="2" t="s">
        <v>76</v>
      </c>
      <c r="L616" s="2" t="s">
        <v>2923</v>
      </c>
      <c r="M616" s="2" t="s">
        <v>67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124</v>
      </c>
      <c r="U616" s="2" t="s">
        <v>78</v>
      </c>
      <c r="V616" s="2" t="str">
        <f t="shared" si="27"/>
        <v>ORD-2024-1061511-02-202419-02-2024CUST-8154Ananya RaoHome OfficeSouthTelanganaHyderabadFurnitureChairsElite Chairs 140Standard Class83398.320.2520389.9216661.083728.84RefundedCancelled</v>
      </c>
      <c r="W616" s="2">
        <f t="shared" si="28"/>
        <v>1</v>
      </c>
      <c r="X616">
        <f t="shared" si="29"/>
        <v>1</v>
      </c>
    </row>
    <row r="617" spans="1:24">
      <c r="A617" s="2" t="s">
        <v>2924</v>
      </c>
      <c r="B617" s="2" t="s">
        <v>2925</v>
      </c>
      <c r="C617" s="2" t="s">
        <v>2926</v>
      </c>
      <c r="D617" s="2" t="s">
        <v>2927</v>
      </c>
      <c r="E617" s="2" t="s">
        <v>148</v>
      </c>
      <c r="F617" s="2" t="s">
        <v>108</v>
      </c>
      <c r="G617" s="2" t="s">
        <v>62</v>
      </c>
      <c r="H617" s="2" t="s">
        <v>242</v>
      </c>
      <c r="I617" s="2" t="s">
        <v>243</v>
      </c>
      <c r="J617" s="2" t="s">
        <v>30</v>
      </c>
      <c r="K617" s="2" t="s">
        <v>54</v>
      </c>
      <c r="L617" s="2" t="s">
        <v>2928</v>
      </c>
      <c r="M617" s="2" t="s">
        <v>33</v>
      </c>
      <c r="N617" s="2">
        <v>2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34</v>
      </c>
      <c r="U617" s="2" t="s">
        <v>35</v>
      </c>
      <c r="V617" s="2" t="str">
        <f t="shared" si="27"/>
        <v>ORD-2024-106162024-10-0410/07/2024CUST-4462Rahul VermaCorporateSouthKeralaKochiOffice SuppliesArtBasic Art 771Second Class23144.380.15904.574337.791322.09PaidCompleted</v>
      </c>
      <c r="W617" s="2">
        <f t="shared" si="28"/>
        <v>1</v>
      </c>
      <c r="X617">
        <f t="shared" si="29"/>
        <v>1</v>
      </c>
    </row>
    <row r="618" spans="1:24">
      <c r="A618" s="2" t="s">
        <v>2929</v>
      </c>
      <c r="B618" s="2" t="s">
        <v>2930</v>
      </c>
      <c r="C618" s="2" t="s">
        <v>2861</v>
      </c>
      <c r="D618" s="2" t="s">
        <v>2931</v>
      </c>
      <c r="E618" s="2" t="s">
        <v>366</v>
      </c>
      <c r="F618" s="2" t="s">
        <v>26</v>
      </c>
      <c r="G618" s="2" t="s">
        <v>62</v>
      </c>
      <c r="H618" s="2" t="s">
        <v>63</v>
      </c>
      <c r="I618" s="2" t="s">
        <v>64</v>
      </c>
      <c r="J618" s="2" t="s">
        <v>30</v>
      </c>
      <c r="K618" s="2" t="s">
        <v>31</v>
      </c>
      <c r="L618" s="2" t="s">
        <v>2932</v>
      </c>
      <c r="M618" s="2" t="s">
        <v>67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34</v>
      </c>
      <c r="U618" s="2" t="s">
        <v>35</v>
      </c>
      <c r="V618" s="2" t="str">
        <f t="shared" si="27"/>
        <v>ORD-2024-1061716 Aug 202419-08-2024CUST-4660Kabir SinghConsumerSouthTelanganaHyderabadOffice SuppliesPaperPrime Paper 664Standard Class63925.550.218842.6411840.587002.06PaidCompleted</v>
      </c>
      <c r="W618" s="2">
        <f t="shared" si="28"/>
        <v>1</v>
      </c>
      <c r="X618">
        <f t="shared" si="29"/>
        <v>1</v>
      </c>
    </row>
    <row r="619" spans="1:24">
      <c r="A619" s="2" t="s">
        <v>2933</v>
      </c>
      <c r="B619" s="2" t="s">
        <v>2934</v>
      </c>
      <c r="C619" s="2" t="s">
        <v>974</v>
      </c>
      <c r="D619" s="2" t="s">
        <v>2935</v>
      </c>
      <c r="E619" s="2" t="s">
        <v>40</v>
      </c>
      <c r="F619" s="2" t="s">
        <v>115</v>
      </c>
      <c r="G619" s="2" t="s">
        <v>62</v>
      </c>
      <c r="H619" s="2" t="s">
        <v>63</v>
      </c>
      <c r="I619" s="2" t="s">
        <v>64</v>
      </c>
      <c r="J619" s="2" t="s">
        <v>86</v>
      </c>
      <c r="K619" s="2" t="s">
        <v>223</v>
      </c>
      <c r="L619" s="2" t="s">
        <v>2936</v>
      </c>
      <c r="M619" s="2" t="s">
        <v>67</v>
      </c>
      <c r="N619" s="2">
        <v>9</v>
      </c>
      <c r="O619" s="2">
        <v>2741.91</v>
      </c>
      <c r="P619" s="2">
        <v>0</v>
      </c>
      <c r="Q619" s="2">
        <v>24677.19</v>
      </c>
      <c r="R619" s="2">
        <v>20350.849999999999</v>
      </c>
      <c r="S619" s="2">
        <v>4326.34</v>
      </c>
      <c r="T619" s="2" t="s">
        <v>34</v>
      </c>
      <c r="U619" s="2" t="s">
        <v>35</v>
      </c>
      <c r="V619" s="2" t="str">
        <f t="shared" si="27"/>
        <v>ORD-2024-1061809/29/20242024-09-30CUST-9002Mira DasHome OfficeSouthTelanganaHyderabadTechnologyPhonesPro Phones 226Standard Class92741.91024677.1920350.854326.34PaidCompleted</v>
      </c>
      <c r="W619" s="2">
        <f t="shared" si="28"/>
        <v>1</v>
      </c>
      <c r="X619">
        <f t="shared" si="29"/>
        <v>1</v>
      </c>
    </row>
    <row r="620" spans="1:24">
      <c r="A620" s="2" t="s">
        <v>2937</v>
      </c>
      <c r="B620" s="2" t="s">
        <v>2938</v>
      </c>
      <c r="C620" s="2" t="s">
        <v>529</v>
      </c>
      <c r="D620" s="2" t="s">
        <v>2939</v>
      </c>
      <c r="E620" s="2" t="s">
        <v>366</v>
      </c>
      <c r="F620" s="2" t="s">
        <v>108</v>
      </c>
      <c r="G620" s="2" t="s">
        <v>27</v>
      </c>
      <c r="H620" s="2" t="s">
        <v>28</v>
      </c>
      <c r="I620" s="2" t="s">
        <v>29</v>
      </c>
      <c r="J620" s="2" t="s">
        <v>45</v>
      </c>
      <c r="K620" s="2" t="s">
        <v>46</v>
      </c>
      <c r="L620" s="2" t="s">
        <v>2940</v>
      </c>
      <c r="M620" s="2" t="s">
        <v>48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200</v>
      </c>
      <c r="U620" s="2" t="s">
        <v>78</v>
      </c>
      <c r="V620" s="2" t="str">
        <f t="shared" si="27"/>
        <v>ORD-2024-106192024-07-232024-07-30CUST-1057Kabir SinghCorporateNorthRajasthanJaipurFurnitureTablesBasic Tables 684Same Day91870.110.2512623.2410540.82082.44FailedCancelled</v>
      </c>
      <c r="W620" s="2">
        <f t="shared" si="28"/>
        <v>1</v>
      </c>
      <c r="X620">
        <f t="shared" si="29"/>
        <v>1</v>
      </c>
    </row>
    <row r="621" spans="1:24">
      <c r="A621" s="2" t="s">
        <v>2941</v>
      </c>
      <c r="B621" s="2" t="s">
        <v>911</v>
      </c>
      <c r="C621" s="2" t="s">
        <v>2942</v>
      </c>
      <c r="D621" s="2" t="s">
        <v>2943</v>
      </c>
      <c r="E621" s="2" t="s">
        <v>142</v>
      </c>
      <c r="F621" s="2" t="s">
        <v>108</v>
      </c>
      <c r="G621" s="2" t="s">
        <v>62</v>
      </c>
      <c r="H621" s="2" t="s">
        <v>339</v>
      </c>
      <c r="I621" s="2" t="s">
        <v>340</v>
      </c>
      <c r="J621" s="2" t="s">
        <v>30</v>
      </c>
      <c r="K621" s="2" t="s">
        <v>198</v>
      </c>
      <c r="L621" s="2" t="s">
        <v>2944</v>
      </c>
      <c r="M621" s="2" t="s">
        <v>56</v>
      </c>
      <c r="N621" s="2">
        <v>1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124</v>
      </c>
      <c r="U621" s="2" t="s">
        <v>125</v>
      </c>
      <c r="V621" s="2" t="str">
        <f t="shared" si="27"/>
        <v>ORD-2024-1062011/22/202427 Nov 2024CUST-9596Priya MenonCorporateSouthTamil NaduChennaiOffice SuppliesBindersPrime Binders 938First Class14251.260.23401.012917.54483.47RefundedReturned</v>
      </c>
      <c r="W621" s="2">
        <f t="shared" si="28"/>
        <v>1</v>
      </c>
      <c r="X621">
        <f t="shared" si="29"/>
        <v>1</v>
      </c>
    </row>
    <row r="622" spans="1:24">
      <c r="A622" s="2" t="s">
        <v>2945</v>
      </c>
      <c r="B622" s="2" t="s">
        <v>2946</v>
      </c>
      <c r="C622" s="2" t="s">
        <v>2947</v>
      </c>
      <c r="D622" s="2" t="s">
        <v>2948</v>
      </c>
      <c r="E622" s="2" t="s">
        <v>83</v>
      </c>
      <c r="F622" s="2" t="s">
        <v>26</v>
      </c>
      <c r="G622" s="2" t="s">
        <v>27</v>
      </c>
      <c r="H622" s="2" t="s">
        <v>174</v>
      </c>
      <c r="I622" s="2" t="s">
        <v>175</v>
      </c>
      <c r="J622" s="2" t="s">
        <v>86</v>
      </c>
      <c r="K622" s="2" t="s">
        <v>382</v>
      </c>
      <c r="L622" s="2" t="s">
        <v>2949</v>
      </c>
      <c r="M622" s="2" t="s">
        <v>67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34</v>
      </c>
      <c r="U622" s="2" t="s">
        <v>35</v>
      </c>
      <c r="V622" s="2" t="str">
        <f t="shared" si="27"/>
        <v>ORD-2024-1062118-08-202408/21/2024CUST-6947Vikram IyerConsumerNorthUttar PradeshNoidaTechnologyMachinesClassic Machines 337Standard Class9734.3406609.064946.781662.28PaidCompleted</v>
      </c>
      <c r="W622" s="2">
        <f t="shared" si="28"/>
        <v>1</v>
      </c>
      <c r="X622">
        <f t="shared" si="29"/>
        <v>1</v>
      </c>
    </row>
    <row r="623" spans="1:24">
      <c r="A623" s="2" t="s">
        <v>2950</v>
      </c>
      <c r="B623" s="2" t="s">
        <v>58</v>
      </c>
      <c r="C623" s="2" t="s">
        <v>2951</v>
      </c>
      <c r="D623" s="2" t="s">
        <v>2952</v>
      </c>
      <c r="E623" s="2" t="s">
        <v>107</v>
      </c>
      <c r="F623" s="2" t="s">
        <v>26</v>
      </c>
      <c r="G623" s="2" t="s">
        <v>73</v>
      </c>
      <c r="H623" s="2" t="s">
        <v>74</v>
      </c>
      <c r="I623" s="2" t="s">
        <v>75</v>
      </c>
      <c r="J623" s="2" t="s">
        <v>45</v>
      </c>
      <c r="K623" s="2" t="s">
        <v>76</v>
      </c>
      <c r="L623" s="2" t="s">
        <v>2953</v>
      </c>
      <c r="M623" s="2" t="s">
        <v>48</v>
      </c>
      <c r="N623" s="2">
        <v>5</v>
      </c>
      <c r="O623" s="2">
        <v>1092.8399999999999</v>
      </c>
      <c r="Q623" s="2">
        <v>5464.2</v>
      </c>
      <c r="R623" s="2">
        <v>3318.09</v>
      </c>
      <c r="S623" s="2">
        <v>2146.11</v>
      </c>
      <c r="T623" s="2" t="s">
        <v>34</v>
      </c>
      <c r="U623" s="2" t="s">
        <v>35</v>
      </c>
      <c r="V623" s="2" t="str">
        <f t="shared" si="27"/>
        <v>ORD-2024-1062228-11-202406-12-2024CUST-7236Aditi SenConsumerWestMaharashtraMumbaiFurnitureChairsMax Chairs 748Same Day51092.845464.23318.092146.11PaidCompleted</v>
      </c>
      <c r="W623" s="2">
        <f t="shared" si="28"/>
        <v>1</v>
      </c>
      <c r="X623">
        <f t="shared" si="29"/>
        <v>1</v>
      </c>
    </row>
    <row r="624" spans="1:24">
      <c r="A624" s="2" t="s">
        <v>2954</v>
      </c>
      <c r="B624" s="2" t="s">
        <v>2955</v>
      </c>
      <c r="C624" s="2" t="s">
        <v>2956</v>
      </c>
      <c r="D624" s="2" t="s">
        <v>2957</v>
      </c>
      <c r="E624" s="2" t="s">
        <v>83</v>
      </c>
      <c r="F624" s="2" t="s">
        <v>26</v>
      </c>
      <c r="G624" s="2" t="s">
        <v>42</v>
      </c>
      <c r="H624" s="2" t="s">
        <v>186</v>
      </c>
      <c r="I624" s="2" t="s">
        <v>187</v>
      </c>
      <c r="J624" s="2" t="s">
        <v>30</v>
      </c>
      <c r="K624" s="2" t="s">
        <v>156</v>
      </c>
      <c r="L624" s="2" t="s">
        <v>2958</v>
      </c>
      <c r="M624" s="2" t="s">
        <v>67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34</v>
      </c>
      <c r="U624" s="2" t="s">
        <v>35</v>
      </c>
      <c r="V624" s="2" t="str">
        <f t="shared" si="27"/>
        <v>ORD-2025-1062329-01-202506 Feb 2025CUST-1127Vikram IyerConsumerEastBiharPatnaOffice SuppliesStorageBasic Storage 934Standard Class42759.010.0510484.246680.153804.09PaidCompleted</v>
      </c>
      <c r="W624" s="2">
        <f t="shared" si="28"/>
        <v>1</v>
      </c>
      <c r="X624">
        <f t="shared" si="29"/>
        <v>1</v>
      </c>
    </row>
    <row r="625" spans="1:25">
      <c r="A625" s="2" t="s">
        <v>2959</v>
      </c>
      <c r="B625" s="2" t="s">
        <v>2960</v>
      </c>
      <c r="C625" s="2" t="s">
        <v>2961</v>
      </c>
      <c r="D625" s="2" t="s">
        <v>2962</v>
      </c>
      <c r="E625" s="2" t="s">
        <v>83</v>
      </c>
      <c r="F625" s="2" t="s">
        <v>115</v>
      </c>
      <c r="G625" s="2" t="s">
        <v>27</v>
      </c>
      <c r="H625" s="2" t="s">
        <v>154</v>
      </c>
      <c r="I625" s="2" t="s">
        <v>155</v>
      </c>
      <c r="J625" s="2" t="s">
        <v>30</v>
      </c>
      <c r="K625" s="2" t="s">
        <v>156</v>
      </c>
      <c r="L625" s="2" t="s">
        <v>2963</v>
      </c>
      <c r="M625" s="2" t="s">
        <v>33</v>
      </c>
      <c r="N625" s="2">
        <v>8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34</v>
      </c>
      <c r="U625" s="2" t="s">
        <v>35</v>
      </c>
      <c r="V625" s="2" t="str">
        <f t="shared" si="27"/>
        <v>ORD-2024-1062408 Aug 202414 Aug 2024CUST-6262Vikram IyerHome OfficeNorthPunjabLudhianaOffice SuppliesStoragePro Storage 509Second Class81359.190.0510329.847512.222817.62PaidCompleted</v>
      </c>
      <c r="W625" s="2">
        <f t="shared" si="28"/>
        <v>1</v>
      </c>
      <c r="X625">
        <f t="shared" si="29"/>
        <v>1</v>
      </c>
    </row>
    <row r="626" spans="1:25">
      <c r="A626" s="2" t="s">
        <v>2964</v>
      </c>
      <c r="B626" s="2" t="s">
        <v>2965</v>
      </c>
      <c r="C626" s="2" t="s">
        <v>2966</v>
      </c>
      <c r="D626" s="2" t="s">
        <v>2967</v>
      </c>
      <c r="E626" s="2" t="s">
        <v>93</v>
      </c>
      <c r="F626" s="2" t="s">
        <v>115</v>
      </c>
      <c r="G626" s="2" t="s">
        <v>42</v>
      </c>
      <c r="H626" s="2" t="s">
        <v>216</v>
      </c>
      <c r="I626" s="2" t="s">
        <v>217</v>
      </c>
      <c r="J626" s="2" t="s">
        <v>45</v>
      </c>
      <c r="K626" s="2" t="s">
        <v>76</v>
      </c>
      <c r="L626" s="2" t="s">
        <v>2968</v>
      </c>
      <c r="M626" s="2" t="s">
        <v>56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34</v>
      </c>
      <c r="U626" s="2" t="s">
        <v>35</v>
      </c>
      <c r="V626" s="2" t="str">
        <f t="shared" si="27"/>
        <v>ORD-2024-1062501/30/20242024-02-01CUST-5070Neha GuptaHome OfficeEastAssamGuwahatiFurnitureChairsPrime Chairs 765First Class24451.030.058456.965462.852994.11PaidCompleted</v>
      </c>
      <c r="W626" s="2">
        <f t="shared" si="28"/>
        <v>1</v>
      </c>
      <c r="X626">
        <f t="shared" si="29"/>
        <v>1</v>
      </c>
    </row>
    <row r="627" spans="1:25">
      <c r="A627" s="2" t="s">
        <v>2969</v>
      </c>
      <c r="B627" s="2" t="s">
        <v>2970</v>
      </c>
      <c r="C627" s="2" t="s">
        <v>1404</v>
      </c>
      <c r="D627" s="2" t="s">
        <v>2971</v>
      </c>
      <c r="E627" s="2" t="s">
        <v>210</v>
      </c>
      <c r="F627" s="2" t="s">
        <v>108</v>
      </c>
      <c r="G627" s="2" t="s">
        <v>73</v>
      </c>
      <c r="H627" s="2" t="s">
        <v>28</v>
      </c>
      <c r="I627" s="2" t="s">
        <v>135</v>
      </c>
      <c r="J627" s="2" t="s">
        <v>45</v>
      </c>
      <c r="K627" s="2" t="s">
        <v>76</v>
      </c>
      <c r="L627" s="2" t="s">
        <v>2972</v>
      </c>
      <c r="M627" s="2" t="s">
        <v>48</v>
      </c>
      <c r="N627" s="2">
        <v>3</v>
      </c>
      <c r="O627" s="2">
        <v>527.66999999999996</v>
      </c>
      <c r="P627" s="2">
        <v>0.2</v>
      </c>
      <c r="Q627" s="2">
        <v>1266.4100000000001</v>
      </c>
      <c r="R627" s="2">
        <v>983.92</v>
      </c>
      <c r="S627" s="2">
        <v>282.49</v>
      </c>
      <c r="T627" s="2" t="s">
        <v>34</v>
      </c>
      <c r="U627" s="2" t="s">
        <v>35</v>
      </c>
      <c r="V627" s="2" t="str">
        <f t="shared" si="27"/>
        <v>ORD-2024-1062612/15/202421 Dec 2024CUST-7946Diya PatelCorporateWestRajasthanUdaipurFurnitureChairsElite Chairs 358Same Day3527.670.21266.41983.92282.49PaidCompleted</v>
      </c>
      <c r="W627" s="2">
        <f t="shared" si="28"/>
        <v>1</v>
      </c>
      <c r="X627">
        <f t="shared" si="29"/>
        <v>1</v>
      </c>
    </row>
    <row r="628" spans="1:25">
      <c r="A628" s="2" t="s">
        <v>2973</v>
      </c>
      <c r="B628" s="2" t="s">
        <v>1389</v>
      </c>
      <c r="C628" s="2" t="s">
        <v>2974</v>
      </c>
      <c r="D628" s="2" t="s">
        <v>2975</v>
      </c>
      <c r="E628" s="2" t="s">
        <v>168</v>
      </c>
      <c r="F628" s="2" t="s">
        <v>115</v>
      </c>
      <c r="G628" s="2" t="s">
        <v>42</v>
      </c>
      <c r="H628" s="2" t="s">
        <v>216</v>
      </c>
      <c r="I628" s="2" t="s">
        <v>217</v>
      </c>
      <c r="J628" s="2" t="s">
        <v>86</v>
      </c>
      <c r="K628" s="2" t="s">
        <v>382</v>
      </c>
      <c r="L628" s="2" t="s">
        <v>2976</v>
      </c>
      <c r="M628" s="2" t="s">
        <v>67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137</v>
      </c>
      <c r="U628" s="2" t="s">
        <v>125</v>
      </c>
      <c r="V628" s="2" t="str">
        <f t="shared" si="27"/>
        <v>ORD-2025-1062704-06-202506/07/2025CUST-1793Sneha KapoorHome OfficeEastAssamGuwahatiTechnologyMachinesElite Machines 971Standard Class81434.13011473.048931.332541.71PendingReturned</v>
      </c>
      <c r="W628" s="2">
        <f t="shared" si="28"/>
        <v>1</v>
      </c>
      <c r="X628">
        <f t="shared" si="29"/>
        <v>1</v>
      </c>
    </row>
    <row r="629" spans="1:25">
      <c r="A629" s="2" t="s">
        <v>2977</v>
      </c>
      <c r="B629" s="2" t="s">
        <v>1414</v>
      </c>
      <c r="C629" s="2" t="s">
        <v>1775</v>
      </c>
      <c r="D629" s="2" t="s">
        <v>2978</v>
      </c>
      <c r="E629" s="2" t="s">
        <v>25</v>
      </c>
      <c r="F629" s="2" t="s">
        <v>41</v>
      </c>
      <c r="G629" s="2" t="s">
        <v>62</v>
      </c>
      <c r="H629" s="2" t="s">
        <v>242</v>
      </c>
      <c r="I629" s="2" t="s">
        <v>243</v>
      </c>
      <c r="J629" s="2" t="s">
        <v>86</v>
      </c>
      <c r="K629" s="2" t="s">
        <v>223</v>
      </c>
      <c r="L629" s="2" t="s">
        <v>2979</v>
      </c>
      <c r="M629" s="2" t="s">
        <v>33</v>
      </c>
      <c r="N629" s="2">
        <v>2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137</v>
      </c>
      <c r="U629" s="2" t="s">
        <v>78</v>
      </c>
      <c r="V629" s="2" t="str">
        <f t="shared" si="27"/>
        <v>ORD-2025-1062802/13/202521-02-2025CUST-8839Karan MalhotraSmall BusinessSouthKeralaKochiTechnologyPhonesMax Phones 825Second Class22360.020.154012.033142.92869.11PendingCancelled</v>
      </c>
      <c r="W629" s="2">
        <f t="shared" si="28"/>
        <v>1</v>
      </c>
      <c r="X629">
        <f t="shared" si="29"/>
        <v>1</v>
      </c>
    </row>
    <row r="630" spans="1:25">
      <c r="A630" s="2" t="s">
        <v>2980</v>
      </c>
      <c r="B630" s="2" t="s">
        <v>2553</v>
      </c>
      <c r="C630" s="2" t="s">
        <v>2981</v>
      </c>
      <c r="D630" s="2" t="s">
        <v>2982</v>
      </c>
      <c r="E630" s="2" t="s">
        <v>72</v>
      </c>
      <c r="F630" s="2" t="s">
        <v>115</v>
      </c>
      <c r="G630" s="2" t="s">
        <v>42</v>
      </c>
      <c r="H630" s="2" t="s">
        <v>311</v>
      </c>
      <c r="I630" s="2" t="s">
        <v>312</v>
      </c>
      <c r="J630" s="2" t="s">
        <v>86</v>
      </c>
      <c r="K630" s="2" t="s">
        <v>87</v>
      </c>
      <c r="L630" s="2" t="s">
        <v>2983</v>
      </c>
      <c r="M630" s="2" t="s">
        <v>48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34</v>
      </c>
      <c r="U630" s="2" t="s">
        <v>35</v>
      </c>
      <c r="V630" s="2" t="str">
        <f t="shared" si="27"/>
        <v>ORD-2025-106292025-10-0512 Oct 2025CUST-6725Ananya RaoHome OfficeEastJharkhandRanchiTechnologyAccessoriesEco Accessories 933Same Day7806.670.055364.364391.29973.07PaidCompleted</v>
      </c>
      <c r="W630" s="2">
        <f t="shared" si="28"/>
        <v>1</v>
      </c>
      <c r="X630">
        <f t="shared" si="29"/>
        <v>1</v>
      </c>
    </row>
    <row r="631" spans="1:25">
      <c r="A631" s="2" t="s">
        <v>2984</v>
      </c>
      <c r="B631" s="2" t="s">
        <v>573</v>
      </c>
      <c r="C631" s="2" t="s">
        <v>2985</v>
      </c>
      <c r="D631" s="2" t="s">
        <v>2986</v>
      </c>
      <c r="E631" s="2" t="s">
        <v>61</v>
      </c>
      <c r="F631" s="2" t="s">
        <v>115</v>
      </c>
      <c r="G631" s="2" t="s">
        <v>73</v>
      </c>
      <c r="H631" s="2" t="s">
        <v>235</v>
      </c>
      <c r="I631" s="2" t="s">
        <v>236</v>
      </c>
      <c r="J631" s="2" t="s">
        <v>45</v>
      </c>
      <c r="K631" s="2" t="s">
        <v>46</v>
      </c>
      <c r="L631" s="2" t="s">
        <v>2987</v>
      </c>
      <c r="M631" s="2" t="s">
        <v>48</v>
      </c>
      <c r="N631" s="2">
        <v>3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34</v>
      </c>
      <c r="U631" s="2" t="s">
        <v>35</v>
      </c>
      <c r="V631" s="2" t="str">
        <f t="shared" si="27"/>
        <v>ORD-2025-1063009/10/202514 Sep 2025CUST-3793Arjun BoseHome OfficeWestGujaratAhmedabadFurnitureTablesMax Tables 908Same Day34198.460.1510706.075927.14778.97PaidCompleted</v>
      </c>
      <c r="W631" s="2">
        <f t="shared" si="28"/>
        <v>1</v>
      </c>
      <c r="X631">
        <f t="shared" si="29"/>
        <v>1</v>
      </c>
    </row>
    <row r="632" spans="1:25">
      <c r="A632" s="2" t="s">
        <v>2988</v>
      </c>
      <c r="B632" s="2" t="s">
        <v>2443</v>
      </c>
      <c r="C632" s="2" t="s">
        <v>1497</v>
      </c>
      <c r="D632" s="2" t="s">
        <v>2989</v>
      </c>
      <c r="E632" s="2" t="s">
        <v>142</v>
      </c>
      <c r="F632" s="2" t="s">
        <v>108</v>
      </c>
      <c r="G632" s="2" t="s">
        <v>42</v>
      </c>
      <c r="H632" s="2" t="s">
        <v>216</v>
      </c>
      <c r="I632" s="2" t="s">
        <v>217</v>
      </c>
      <c r="J632" s="2" t="s">
        <v>30</v>
      </c>
      <c r="K632" s="2" t="s">
        <v>31</v>
      </c>
      <c r="L632" s="2" t="s">
        <v>2990</v>
      </c>
      <c r="M632" s="2" t="s">
        <v>67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34</v>
      </c>
      <c r="U632" s="2" t="s">
        <v>35</v>
      </c>
      <c r="V632" s="2" t="str">
        <f t="shared" si="27"/>
        <v>ORD-2024-106312024-04-092024-04-10CUST-6075Priya MenonCorporateEastAssamGuwahatiOffice SuppliesPaperElite Paper 239Standard Class43047.050.110969.389254.461714.92PaidCompleted</v>
      </c>
      <c r="W632" s="2">
        <f t="shared" si="28"/>
        <v>1</v>
      </c>
      <c r="X632">
        <f t="shared" si="29"/>
        <v>1</v>
      </c>
    </row>
    <row r="633" spans="1:25">
      <c r="A633" s="2" t="s">
        <v>2991</v>
      </c>
      <c r="B633" s="2" t="s">
        <v>1440</v>
      </c>
      <c r="C633" s="2" t="s">
        <v>1540</v>
      </c>
      <c r="D633" s="2" t="s">
        <v>2992</v>
      </c>
      <c r="E633" s="2" t="s">
        <v>162</v>
      </c>
      <c r="F633" s="2" t="s">
        <v>115</v>
      </c>
      <c r="G633" s="2" t="s">
        <v>73</v>
      </c>
      <c r="H633" s="2" t="s">
        <v>28</v>
      </c>
      <c r="I633" s="2" t="s">
        <v>135</v>
      </c>
      <c r="J633" s="2" t="s">
        <v>45</v>
      </c>
      <c r="K633" s="2" t="s">
        <v>76</v>
      </c>
      <c r="L633" s="2" t="s">
        <v>2993</v>
      </c>
      <c r="M633" s="2" t="s">
        <v>67</v>
      </c>
      <c r="N633" s="2">
        <v>8</v>
      </c>
      <c r="O633" s="2">
        <v>4362.4799999999996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34</v>
      </c>
      <c r="U633" s="2" t="s">
        <v>35</v>
      </c>
      <c r="V633" s="2" t="str">
        <f t="shared" si="27"/>
        <v>ORD-2024-1063210 Apr 202415-04-2024CUST-6381Aarav SharmaHome OfficeWestRajasthanUdaipurFurnitureChairsEco Chairs 452Standard Class84362.480.131409.8622523.548886.32PaidCompleted</v>
      </c>
      <c r="W633" s="2">
        <f t="shared" si="28"/>
        <v>1</v>
      </c>
      <c r="X633">
        <f t="shared" si="29"/>
        <v>1</v>
      </c>
    </row>
    <row r="634" spans="1:25">
      <c r="A634" s="2" t="s">
        <v>2994</v>
      </c>
      <c r="B634" s="2" t="s">
        <v>2995</v>
      </c>
      <c r="C634" s="2" t="s">
        <v>2996</v>
      </c>
      <c r="D634" s="2" t="s">
        <v>2997</v>
      </c>
      <c r="E634" s="2" t="s">
        <v>168</v>
      </c>
      <c r="F634" s="2" t="s">
        <v>41</v>
      </c>
      <c r="G634" s="2" t="s">
        <v>62</v>
      </c>
      <c r="H634" s="2" t="s">
        <v>229</v>
      </c>
      <c r="I634" s="2" t="s">
        <v>230</v>
      </c>
      <c r="J634" s="2" t="s">
        <v>45</v>
      </c>
      <c r="K634" s="2" t="s">
        <v>65</v>
      </c>
      <c r="L634" s="2" t="s">
        <v>2998</v>
      </c>
      <c r="M634" s="2" t="s">
        <v>56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34</v>
      </c>
      <c r="U634" s="2" t="s">
        <v>35</v>
      </c>
      <c r="V634" s="2" t="str">
        <f t="shared" si="27"/>
        <v>ORD-2025-1063315-04-202516-04-2025CUST-4593Sneha KapoorSmall BusinessSouthKarnatakaBengaluruFurnitureFurnishingsSmart Furnishings 721First Class52850.53014252.6511558.312694.34PaidCompleted</v>
      </c>
      <c r="W634" s="2">
        <f t="shared" si="28"/>
        <v>2</v>
      </c>
      <c r="X634">
        <f t="shared" si="29"/>
        <v>2</v>
      </c>
      <c r="Y634" s="2" t="s">
        <v>4096</v>
      </c>
    </row>
    <row r="635" spans="1:25">
      <c r="A635" s="2" t="s">
        <v>2999</v>
      </c>
      <c r="B635" s="2" t="s">
        <v>3000</v>
      </c>
      <c r="C635" s="2" t="s">
        <v>3001</v>
      </c>
      <c r="D635" s="2" t="s">
        <v>3002</v>
      </c>
      <c r="E635" s="2" t="s">
        <v>162</v>
      </c>
      <c r="F635" s="2" t="s">
        <v>41</v>
      </c>
      <c r="G635" s="2" t="s">
        <v>62</v>
      </c>
      <c r="H635" s="2" t="s">
        <v>339</v>
      </c>
      <c r="I635" s="2" t="s">
        <v>340</v>
      </c>
      <c r="J635" s="2" t="s">
        <v>86</v>
      </c>
      <c r="K635" s="2" t="s">
        <v>87</v>
      </c>
      <c r="L635" s="2" t="s">
        <v>3003</v>
      </c>
      <c r="M635" s="2" t="s">
        <v>33</v>
      </c>
      <c r="N635" s="2">
        <v>1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34</v>
      </c>
      <c r="U635" s="2" t="s">
        <v>35</v>
      </c>
      <c r="V635" s="2" t="str">
        <f t="shared" si="27"/>
        <v>ORD-2025-1063404/18/202520 Apr 2025CUST-5043Aarav SharmaSmall BusinessSouthTamil NaduChennaiTechnologyAccessoriesBasic Accessories 729Second Class11626.080.151382.17810.03572.14PaidCompleted</v>
      </c>
      <c r="W635" s="2">
        <f t="shared" si="28"/>
        <v>1</v>
      </c>
      <c r="X635">
        <f t="shared" si="29"/>
        <v>1</v>
      </c>
    </row>
    <row r="636" spans="1:25">
      <c r="A636" s="2" t="s">
        <v>3004</v>
      </c>
      <c r="B636" s="2" t="s">
        <v>3005</v>
      </c>
      <c r="C636" s="2" t="s">
        <v>2178</v>
      </c>
      <c r="D636" s="2" t="s">
        <v>3006</v>
      </c>
      <c r="E636" s="2" t="s">
        <v>107</v>
      </c>
      <c r="F636" s="2" t="s">
        <v>26</v>
      </c>
      <c r="G636" s="2" t="s">
        <v>62</v>
      </c>
      <c r="H636" s="2" t="s">
        <v>63</v>
      </c>
      <c r="I636" s="2" t="s">
        <v>64</v>
      </c>
      <c r="J636" s="2" t="s">
        <v>45</v>
      </c>
      <c r="K636" s="2" t="s">
        <v>76</v>
      </c>
      <c r="L636" s="2" t="s">
        <v>3007</v>
      </c>
      <c r="M636" s="2" t="s">
        <v>33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34</v>
      </c>
      <c r="U636" s="2" t="s">
        <v>35</v>
      </c>
      <c r="V636" s="2" t="str">
        <f t="shared" si="27"/>
        <v>ORD-2025-1063501/11/202512 Jan 2025CUST-4722Aditi SenConsumerSouthTelanganaHyderabadFurnitureChairsClassic Chairs 220Second Class42427.150.059223.175103.74119.47PaidCompleted</v>
      </c>
      <c r="W636" s="2">
        <f t="shared" si="28"/>
        <v>1</v>
      </c>
      <c r="X636">
        <f t="shared" si="29"/>
        <v>1</v>
      </c>
    </row>
    <row r="637" spans="1:25">
      <c r="A637" s="2" t="s">
        <v>3008</v>
      </c>
      <c r="B637" s="2" t="s">
        <v>2904</v>
      </c>
      <c r="C637" s="2" t="s">
        <v>3009</v>
      </c>
      <c r="D637" s="2" t="s">
        <v>3010</v>
      </c>
      <c r="E637" s="2" t="s">
        <v>40</v>
      </c>
      <c r="F637" s="2" t="s">
        <v>108</v>
      </c>
      <c r="G637" s="2" t="s">
        <v>62</v>
      </c>
      <c r="H637" s="2" t="s">
        <v>100</v>
      </c>
      <c r="I637" s="2" t="s">
        <v>101</v>
      </c>
      <c r="J637" s="2" t="s">
        <v>45</v>
      </c>
      <c r="K637" s="2" t="s">
        <v>76</v>
      </c>
      <c r="L637" s="2" t="s">
        <v>3011</v>
      </c>
      <c r="M637" s="2" t="s">
        <v>48</v>
      </c>
      <c r="N637" s="2">
        <v>7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34</v>
      </c>
      <c r="U637" s="2" t="s">
        <v>35</v>
      </c>
      <c r="V637" s="2" t="str">
        <f t="shared" si="27"/>
        <v>ORD-2024-1063620 May 20242024-05-25CUST-7931Mira DasCorporateSouthAndhra PradeshVijayawadaFurnitureChairsMax Chairs 305Same Day73122.850.2516394.9610404.175990.79PaidCompleted</v>
      </c>
      <c r="W637" s="2">
        <f t="shared" si="28"/>
        <v>1</v>
      </c>
      <c r="X637">
        <f t="shared" si="29"/>
        <v>1</v>
      </c>
    </row>
    <row r="638" spans="1:25">
      <c r="A638" s="2" t="s">
        <v>3012</v>
      </c>
      <c r="B638" s="2" t="s">
        <v>3013</v>
      </c>
      <c r="C638" s="2" t="s">
        <v>3014</v>
      </c>
      <c r="D638" s="2" t="s">
        <v>3015</v>
      </c>
      <c r="E638" s="2" t="s">
        <v>72</v>
      </c>
      <c r="F638" s="2" t="s">
        <v>26</v>
      </c>
      <c r="G638" s="2" t="s">
        <v>62</v>
      </c>
      <c r="H638" s="2" t="s">
        <v>339</v>
      </c>
      <c r="I638" s="2" t="s">
        <v>340</v>
      </c>
      <c r="J638" s="2" t="s">
        <v>30</v>
      </c>
      <c r="K638" s="2" t="s">
        <v>31</v>
      </c>
      <c r="L638" s="2" t="s">
        <v>3016</v>
      </c>
      <c r="M638" s="2" t="s">
        <v>67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34</v>
      </c>
      <c r="U638" s="2" t="s">
        <v>35</v>
      </c>
      <c r="V638" s="2" t="str">
        <f t="shared" si="27"/>
        <v>ORD-2024-1063702 Oct 202409 Oct 2024CUST-7221Ananya RaoConsumerSouthTamil NaduChennaiOffice SuppliesPaperSmart Paper 872Standard Class81910.310.1512990.1110200.82789.31PaidCompleted</v>
      </c>
      <c r="W638" s="2">
        <f t="shared" si="28"/>
        <v>1</v>
      </c>
      <c r="X638">
        <f t="shared" si="29"/>
        <v>1</v>
      </c>
    </row>
    <row r="639" spans="1:25">
      <c r="A639" s="2" t="s">
        <v>3017</v>
      </c>
      <c r="B639" s="2" t="s">
        <v>3018</v>
      </c>
      <c r="C639" s="2" t="s">
        <v>3019</v>
      </c>
      <c r="D639" s="2" t="s">
        <v>3020</v>
      </c>
      <c r="E639" s="2" t="s">
        <v>148</v>
      </c>
      <c r="F639" s="2" t="s">
        <v>41</v>
      </c>
      <c r="G639" s="2" t="s">
        <v>73</v>
      </c>
      <c r="H639" s="2" t="s">
        <v>249</v>
      </c>
      <c r="I639" s="2" t="s">
        <v>250</v>
      </c>
      <c r="J639" s="2" t="s">
        <v>86</v>
      </c>
      <c r="K639" s="2" t="s">
        <v>94</v>
      </c>
      <c r="L639" s="2" t="s">
        <v>3021</v>
      </c>
      <c r="M639" s="2" t="s">
        <v>56</v>
      </c>
      <c r="N639" s="2">
        <v>2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34</v>
      </c>
      <c r="U639" s="2" t="s">
        <v>35</v>
      </c>
      <c r="V639" s="2" t="str">
        <f t="shared" si="27"/>
        <v>ORD-2024-1063826-05-20242024-05-26CUST-2594Rahul VermaSmall BusinessWestGoaPanajiTechnologyCopiersMax Copiers 994First Class23192.470.25107.953133.081974.87PaidCompleted</v>
      </c>
      <c r="W639" s="2">
        <f t="shared" si="28"/>
        <v>1</v>
      </c>
      <c r="X639">
        <f t="shared" si="29"/>
        <v>1</v>
      </c>
    </row>
    <row r="640" spans="1:25">
      <c r="A640" s="2" t="s">
        <v>3022</v>
      </c>
      <c r="B640" s="2" t="s">
        <v>2870</v>
      </c>
      <c r="C640" s="2" t="s">
        <v>3023</v>
      </c>
      <c r="D640" s="2" t="s">
        <v>3024</v>
      </c>
      <c r="E640" s="2" t="s">
        <v>25</v>
      </c>
      <c r="F640" s="2" t="s">
        <v>108</v>
      </c>
      <c r="G640" s="2" t="s">
        <v>62</v>
      </c>
      <c r="H640" s="2" t="s">
        <v>242</v>
      </c>
      <c r="I640" s="2" t="s">
        <v>243</v>
      </c>
      <c r="J640" s="2" t="s">
        <v>30</v>
      </c>
      <c r="K640" s="2" t="s">
        <v>156</v>
      </c>
      <c r="L640" s="2" t="s">
        <v>3025</v>
      </c>
      <c r="M640" s="2" t="s">
        <v>33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200</v>
      </c>
      <c r="U640" s="2" t="s">
        <v>125</v>
      </c>
      <c r="V640" s="2" t="str">
        <f t="shared" si="27"/>
        <v>ORD-2024-1063926 Jan 202431-01-2024CUST-2111Karan MalhotraCorporateSouthKeralaKochiOffice SuppliesStoragePro Storage 744Second Class33224.320.27738.374626.853111.52FailedReturned</v>
      </c>
      <c r="W640" s="2">
        <f t="shared" si="28"/>
        <v>1</v>
      </c>
      <c r="X640">
        <f t="shared" si="29"/>
        <v>1</v>
      </c>
    </row>
    <row r="641" spans="1:24">
      <c r="A641" s="2" t="s">
        <v>3026</v>
      </c>
      <c r="B641" s="2" t="s">
        <v>3027</v>
      </c>
      <c r="C641" s="2" t="s">
        <v>1871</v>
      </c>
      <c r="D641" s="2" t="s">
        <v>3028</v>
      </c>
      <c r="E641" s="2" t="s">
        <v>53</v>
      </c>
      <c r="F641" s="2" t="s">
        <v>41</v>
      </c>
      <c r="G641" s="2" t="s">
        <v>42</v>
      </c>
      <c r="H641" s="2" t="s">
        <v>43</v>
      </c>
      <c r="I641" s="2" t="s">
        <v>44</v>
      </c>
      <c r="J641" s="2" t="s">
        <v>45</v>
      </c>
      <c r="K641" s="2" t="s">
        <v>76</v>
      </c>
      <c r="L641" s="2" t="s">
        <v>3029</v>
      </c>
      <c r="M641" s="2" t="s">
        <v>33</v>
      </c>
      <c r="N641" s="2">
        <v>1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34</v>
      </c>
      <c r="U641" s="2" t="s">
        <v>35</v>
      </c>
      <c r="V641" s="2" t="str">
        <f t="shared" si="27"/>
        <v>ORD-2024-1064012/27/202431-12-2024CUST-6829Isha NairSmall BusinessEastOdishaBhubaneswarFurnitureChairsElite Chairs 744Second Class11594.70.051514.961046.17468.79PaidCompleted</v>
      </c>
      <c r="W641" s="2">
        <f t="shared" si="28"/>
        <v>1</v>
      </c>
      <c r="X641">
        <f t="shared" si="29"/>
        <v>1</v>
      </c>
    </row>
    <row r="642" spans="1:24">
      <c r="A642" s="2" t="s">
        <v>3030</v>
      </c>
      <c r="B642" s="2" t="s">
        <v>3031</v>
      </c>
      <c r="C642" s="2" t="s">
        <v>3032</v>
      </c>
      <c r="D642" s="2" t="s">
        <v>3033</v>
      </c>
      <c r="E642" s="2" t="s">
        <v>83</v>
      </c>
      <c r="F642" s="2" t="s">
        <v>26</v>
      </c>
      <c r="G642" s="2" t="s">
        <v>73</v>
      </c>
      <c r="H642" s="2" t="s">
        <v>249</v>
      </c>
      <c r="I642" s="2" t="s">
        <v>250</v>
      </c>
      <c r="J642" s="2" t="s">
        <v>30</v>
      </c>
      <c r="K642" s="2" t="s">
        <v>156</v>
      </c>
      <c r="L642" s="2" t="s">
        <v>3034</v>
      </c>
      <c r="M642" s="2" t="s">
        <v>56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34</v>
      </c>
      <c r="U642" s="2" t="s">
        <v>35</v>
      </c>
      <c r="V642" s="2" t="str">
        <f t="shared" si="27"/>
        <v>ORD-2025-1064114-01-202517 Jan 2025CUST-5061Vikram IyerConsumerWestGoaPanajiOffice SuppliesStorageBasic Storage 973First Class11584.120.21267.3923.53343.77PaidCompleted</v>
      </c>
      <c r="W642" s="2">
        <f t="shared" si="28"/>
        <v>1</v>
      </c>
      <c r="X642">
        <f t="shared" si="29"/>
        <v>1</v>
      </c>
    </row>
    <row r="643" spans="1:24">
      <c r="A643" s="2" t="s">
        <v>3035</v>
      </c>
      <c r="B643" s="2" t="s">
        <v>3036</v>
      </c>
      <c r="C643" s="2" t="s">
        <v>1962</v>
      </c>
      <c r="D643" s="2" t="s">
        <v>3037</v>
      </c>
      <c r="E643" s="2" t="s">
        <v>25</v>
      </c>
      <c r="F643" s="2" t="s">
        <v>26</v>
      </c>
      <c r="G643" s="2" t="s">
        <v>27</v>
      </c>
      <c r="H643" s="2" t="s">
        <v>506</v>
      </c>
      <c r="I643" s="2" t="s">
        <v>507</v>
      </c>
      <c r="J643" s="2" t="s">
        <v>45</v>
      </c>
      <c r="K643" s="2" t="s">
        <v>65</v>
      </c>
      <c r="L643" s="2" t="s">
        <v>3038</v>
      </c>
      <c r="M643" s="2" t="s">
        <v>48</v>
      </c>
      <c r="N643" s="2">
        <v>2</v>
      </c>
      <c r="O643" s="2">
        <v>3202.87</v>
      </c>
      <c r="P643" s="2">
        <v>0</v>
      </c>
      <c r="Q643" s="2">
        <v>6405.74</v>
      </c>
      <c r="R643" s="2">
        <v>3561.87</v>
      </c>
      <c r="S643" s="2">
        <v>2843.87</v>
      </c>
      <c r="T643" s="2" t="s">
        <v>34</v>
      </c>
      <c r="U643" s="2" t="s">
        <v>35</v>
      </c>
      <c r="V643" s="2" t="str">
        <f t="shared" ref="V643:V706" si="30">_xlfn.CONCAT(A643:U643)</f>
        <v>ORD-2025-106422025-04-092025-04-14CUST-7915Karan MalhotraConsumerNorthDelhiNew DelhiFurnitureFurnishingsSmart Furnishings 783Same Day23202.8706405.743561.872843.87PaidCompleted</v>
      </c>
      <c r="W643" s="2">
        <f t="shared" ref="W643:W706" si="31">COUNTIF($V$2:$V$933,V643)</f>
        <v>1</v>
      </c>
      <c r="X643">
        <f t="shared" ref="X643:X706" si="32">COUNTIF($A$2:$A$933,A643)</f>
        <v>1</v>
      </c>
    </row>
    <row r="644" spans="1:24">
      <c r="A644" s="2" t="s">
        <v>3039</v>
      </c>
      <c r="B644" s="2" t="s">
        <v>1950</v>
      </c>
      <c r="C644" s="2" t="s">
        <v>37</v>
      </c>
      <c r="D644" s="2" t="s">
        <v>3040</v>
      </c>
      <c r="E644" s="2" t="s">
        <v>53</v>
      </c>
      <c r="F644" s="2" t="s">
        <v>115</v>
      </c>
      <c r="G644" s="2" t="s">
        <v>42</v>
      </c>
      <c r="H644" s="2" t="s">
        <v>216</v>
      </c>
      <c r="I644" s="2" t="s">
        <v>217</v>
      </c>
      <c r="J644" s="2" t="s">
        <v>30</v>
      </c>
      <c r="K644" s="2" t="s">
        <v>3041</v>
      </c>
      <c r="L644" s="2" t="s">
        <v>3042</v>
      </c>
      <c r="M644" s="2" t="s">
        <v>33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200</v>
      </c>
      <c r="U644" s="2" t="s">
        <v>125</v>
      </c>
      <c r="V644" s="2" t="str">
        <f t="shared" si="30"/>
        <v>ORD-2024-1064308/29/202408/31/2024CUST-1940Isha NairHome OfficeEastAssamGuwahatiOffice SuppliesbindersPrime Binders 287Second Class91275.210.258607.675337.643270.03FailedReturned</v>
      </c>
      <c r="W644" s="2">
        <f t="shared" si="31"/>
        <v>1</v>
      </c>
      <c r="X644">
        <f t="shared" si="32"/>
        <v>1</v>
      </c>
    </row>
    <row r="645" spans="1:24">
      <c r="A645" s="2" t="s">
        <v>3043</v>
      </c>
      <c r="B645" s="2" t="s">
        <v>3044</v>
      </c>
      <c r="C645" s="2" t="s">
        <v>3045</v>
      </c>
      <c r="D645" s="2" t="s">
        <v>1096</v>
      </c>
      <c r="E645" s="2" t="s">
        <v>162</v>
      </c>
      <c r="F645" s="2" t="s">
        <v>115</v>
      </c>
      <c r="G645" s="2" t="s">
        <v>27</v>
      </c>
      <c r="H645" s="2" t="s">
        <v>174</v>
      </c>
      <c r="I645" s="2" t="s">
        <v>175</v>
      </c>
      <c r="J645" s="2" t="s">
        <v>30</v>
      </c>
      <c r="K645" s="2" t="s">
        <v>109</v>
      </c>
      <c r="L645" s="2" t="s">
        <v>3046</v>
      </c>
      <c r="M645" s="2" t="s">
        <v>67</v>
      </c>
      <c r="N645" s="2">
        <v>8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200</v>
      </c>
      <c r="U645" s="2" t="s">
        <v>125</v>
      </c>
      <c r="V645" s="2" t="str">
        <f t="shared" si="30"/>
        <v>ORD-2024-1064405-02-20242024-02-13CUST-1986Aarav SharmaHome OfficeNorthUttar PradeshNoidaOffice SuppliesLabelsElite Labels 654Standard Class83871.180.1526324.0216277.9610046.06FailedReturned</v>
      </c>
      <c r="W645" s="2">
        <f t="shared" si="31"/>
        <v>1</v>
      </c>
      <c r="X645">
        <f t="shared" si="32"/>
        <v>1</v>
      </c>
    </row>
    <row r="646" spans="1:24">
      <c r="A646" s="2" t="s">
        <v>3047</v>
      </c>
      <c r="B646" s="2" t="s">
        <v>2591</v>
      </c>
      <c r="C646" s="2" t="s">
        <v>3048</v>
      </c>
      <c r="D646" s="2" t="s">
        <v>3049</v>
      </c>
      <c r="E646" s="2" t="s">
        <v>83</v>
      </c>
      <c r="F646" s="2" t="s">
        <v>26</v>
      </c>
      <c r="G646" s="2" t="s">
        <v>42</v>
      </c>
      <c r="H646" s="2" t="s">
        <v>121</v>
      </c>
      <c r="I646" s="2" t="s">
        <v>122</v>
      </c>
      <c r="J646" s="2" t="s">
        <v>45</v>
      </c>
      <c r="K646" s="2" t="s">
        <v>76</v>
      </c>
      <c r="L646" s="2" t="s">
        <v>3050</v>
      </c>
      <c r="M646" s="2" t="s">
        <v>67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34</v>
      </c>
      <c r="U646" s="2" t="s">
        <v>35</v>
      </c>
      <c r="V646" s="2" t="str">
        <f t="shared" si="30"/>
        <v>ORD-2025-106452025-04-1004/17/2025CUST-5549Vikram IyerConsumerEastWest BengalKolkataFurnitureChairsPro Chairs 812Standard Class43750.020.0514250.0810914.923335.16PaidCompleted</v>
      </c>
      <c r="W646" s="2">
        <f t="shared" si="31"/>
        <v>1</v>
      </c>
      <c r="X646">
        <f t="shared" si="32"/>
        <v>1</v>
      </c>
    </row>
    <row r="647" spans="1:24">
      <c r="A647" s="2" t="s">
        <v>3051</v>
      </c>
      <c r="B647" s="2" t="s">
        <v>3052</v>
      </c>
      <c r="C647" s="2" t="s">
        <v>2745</v>
      </c>
      <c r="D647" s="2" t="s">
        <v>3053</v>
      </c>
      <c r="E647" s="2" t="s">
        <v>366</v>
      </c>
      <c r="F647" s="2" t="s">
        <v>26</v>
      </c>
      <c r="G647" s="2" t="s">
        <v>42</v>
      </c>
      <c r="H647" s="2" t="s">
        <v>186</v>
      </c>
      <c r="I647" s="2" t="s">
        <v>187</v>
      </c>
      <c r="J647" s="2" t="s">
        <v>45</v>
      </c>
      <c r="K647" s="2" t="s">
        <v>76</v>
      </c>
      <c r="L647" s="2" t="s">
        <v>3054</v>
      </c>
      <c r="M647" s="2" t="s">
        <v>33</v>
      </c>
      <c r="N647" s="2">
        <v>6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34</v>
      </c>
      <c r="U647" s="2" t="s">
        <v>35</v>
      </c>
      <c r="V647" s="2" t="str">
        <f t="shared" si="30"/>
        <v>ORD-2024-106462024-01-0409-01-2024CUST-2314Kabir SinghConsumerEastBiharPatnaFurnitureChairsBasic Chairs 480Second Class62423.610.113087.497608.895133.22PaidCompleted</v>
      </c>
      <c r="W647" s="2">
        <f t="shared" si="31"/>
        <v>1</v>
      </c>
      <c r="X647">
        <f t="shared" si="32"/>
        <v>1</v>
      </c>
    </row>
    <row r="648" spans="1:24">
      <c r="A648" s="2" t="s">
        <v>3055</v>
      </c>
      <c r="B648" s="2" t="s">
        <v>3056</v>
      </c>
      <c r="C648" s="2" t="s">
        <v>3057</v>
      </c>
      <c r="D648" s="2" t="s">
        <v>3058</v>
      </c>
      <c r="E648" s="2" t="s">
        <v>83</v>
      </c>
      <c r="F648" s="2" t="s">
        <v>41</v>
      </c>
      <c r="G648" s="2" t="s">
        <v>42</v>
      </c>
      <c r="H648" s="2" t="s">
        <v>311</v>
      </c>
      <c r="I648" s="2" t="s">
        <v>312</v>
      </c>
      <c r="J648" s="2" t="s">
        <v>86</v>
      </c>
      <c r="K648" s="2" t="s">
        <v>382</v>
      </c>
      <c r="L648" s="2" t="s">
        <v>3059</v>
      </c>
      <c r="M648" s="2" t="s">
        <v>56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34</v>
      </c>
      <c r="U648" s="2" t="s">
        <v>35</v>
      </c>
      <c r="V648" s="2" t="str">
        <f t="shared" si="30"/>
        <v>ORD-2024-1064709/18/202424-09-2024CUST-6360Vikram IyerSmall BusinessEastJharkhandRanchiTechnologyMachinesElite Machines 955First Class3729.140.251640.571136.98503.59PaidCompleted</v>
      </c>
      <c r="W648" s="2">
        <f t="shared" si="31"/>
        <v>1</v>
      </c>
      <c r="X648">
        <f t="shared" si="32"/>
        <v>1</v>
      </c>
    </row>
    <row r="649" spans="1:24">
      <c r="A649" s="2" t="s">
        <v>3060</v>
      </c>
      <c r="B649" s="2" t="s">
        <v>1329</v>
      </c>
      <c r="C649" s="2" t="s">
        <v>3061</v>
      </c>
      <c r="D649" s="2" t="s">
        <v>3062</v>
      </c>
      <c r="E649" s="2" t="s">
        <v>3063</v>
      </c>
      <c r="F649" s="2" t="s">
        <v>41</v>
      </c>
      <c r="G649" s="2" t="s">
        <v>27</v>
      </c>
      <c r="H649" s="2" t="s">
        <v>154</v>
      </c>
      <c r="I649" s="2" t="s">
        <v>155</v>
      </c>
      <c r="J649" s="2" t="s">
        <v>30</v>
      </c>
      <c r="K649" s="2" t="s">
        <v>54</v>
      </c>
      <c r="L649" s="2" t="s">
        <v>3064</v>
      </c>
      <c r="M649" s="2" t="s">
        <v>56</v>
      </c>
      <c r="N649" s="2">
        <v>8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34</v>
      </c>
      <c r="U649" s="2" t="s">
        <v>35</v>
      </c>
      <c r="V649" s="2" t="str">
        <f t="shared" si="30"/>
        <v>ORD-2025-1064801/01/202509-01-2025CUST-9942Rohan  MehtaSmall BusinessNorthPunjabLudhianaOffice SuppliesArtPrime Art 461First Class82123.810.1514441.9110872.893569.02PaidCompleted</v>
      </c>
      <c r="W649" s="2">
        <f t="shared" si="31"/>
        <v>1</v>
      </c>
      <c r="X649">
        <f t="shared" si="32"/>
        <v>1</v>
      </c>
    </row>
    <row r="650" spans="1:24">
      <c r="A650" s="2" t="s">
        <v>3065</v>
      </c>
      <c r="B650" s="2" t="s">
        <v>3066</v>
      </c>
      <c r="C650" s="2" t="s">
        <v>358</v>
      </c>
      <c r="D650" s="2" t="s">
        <v>3067</v>
      </c>
      <c r="E650" s="2" t="s">
        <v>93</v>
      </c>
      <c r="F650" s="2" t="s">
        <v>41</v>
      </c>
      <c r="G650" s="2" t="s">
        <v>62</v>
      </c>
      <c r="H650" s="2" t="s">
        <v>100</v>
      </c>
      <c r="I650" s="2" t="s">
        <v>101</v>
      </c>
      <c r="J650" s="2" t="s">
        <v>30</v>
      </c>
      <c r="K650" s="2" t="s">
        <v>54</v>
      </c>
      <c r="L650" s="2" t="s">
        <v>3068</v>
      </c>
      <c r="M650" s="2" t="s">
        <v>48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200</v>
      </c>
      <c r="U650" s="2" t="s">
        <v>125</v>
      </c>
      <c r="V650" s="2" t="str">
        <f t="shared" si="30"/>
        <v>ORD-2024-1064921-04-202424 Apr 2024CUST-1808Neha GuptaSmall BusinessSouthAndhra PradeshVijayawadaOffice SuppliesArtPrime Art 301Same Day9703.590.25065.853517.231548.62FailedReturned</v>
      </c>
      <c r="W650" s="2">
        <f t="shared" si="31"/>
        <v>1</v>
      </c>
      <c r="X650">
        <f t="shared" si="32"/>
        <v>1</v>
      </c>
    </row>
    <row r="651" spans="1:24">
      <c r="A651" s="2" t="s">
        <v>3069</v>
      </c>
      <c r="B651" s="2" t="s">
        <v>3070</v>
      </c>
      <c r="C651" s="2" t="s">
        <v>3071</v>
      </c>
      <c r="D651" s="2" t="s">
        <v>3072</v>
      </c>
      <c r="E651" s="2" t="s">
        <v>366</v>
      </c>
      <c r="F651" s="2" t="s">
        <v>41</v>
      </c>
      <c r="G651" s="2" t="s">
        <v>62</v>
      </c>
      <c r="H651" s="2" t="s">
        <v>242</v>
      </c>
      <c r="I651" s="2" t="s">
        <v>243</v>
      </c>
      <c r="J651" s="2" t="s">
        <v>86</v>
      </c>
      <c r="K651" s="2" t="s">
        <v>87</v>
      </c>
      <c r="L651" s="2" t="s">
        <v>3073</v>
      </c>
      <c r="M651" s="2" t="s">
        <v>67</v>
      </c>
      <c r="N651" s="2">
        <v>4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34</v>
      </c>
      <c r="U651" s="2" t="s">
        <v>35</v>
      </c>
      <c r="V651" s="2" t="str">
        <f t="shared" si="30"/>
        <v>ORD-2025-1065011 Aug 202519-08-2025CUST-7277Kabir SinghSmall BusinessSouthKeralaKochiTechnologyAccessoriesClassic Accessories 354Standard Class42258.960.256776.883836.242940.64PaidCompleted</v>
      </c>
      <c r="W651" s="2">
        <f t="shared" si="31"/>
        <v>1</v>
      </c>
      <c r="X651">
        <f t="shared" si="32"/>
        <v>1</v>
      </c>
    </row>
    <row r="652" spans="1:24">
      <c r="A652" s="2" t="s">
        <v>3074</v>
      </c>
      <c r="B652" s="2" t="s">
        <v>3075</v>
      </c>
      <c r="C652" s="2" t="s">
        <v>3076</v>
      </c>
      <c r="D652" s="2" t="s">
        <v>547</v>
      </c>
      <c r="E652" s="2" t="s">
        <v>162</v>
      </c>
      <c r="F652" s="2" t="s">
        <v>115</v>
      </c>
      <c r="G652" s="2" t="s">
        <v>42</v>
      </c>
      <c r="H652" s="2" t="s">
        <v>186</v>
      </c>
      <c r="I652" s="2" t="s">
        <v>187</v>
      </c>
      <c r="J652" s="2" t="s">
        <v>86</v>
      </c>
      <c r="K652" s="2" t="s">
        <v>87</v>
      </c>
      <c r="L652" s="2" t="s">
        <v>3077</v>
      </c>
      <c r="M652" s="2" t="s">
        <v>48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200</v>
      </c>
      <c r="U652" s="2" t="s">
        <v>125</v>
      </c>
      <c r="V652" s="2" t="str">
        <f t="shared" si="30"/>
        <v>ORD-2024-1065104/13/202421 Apr 2024CUST-7744Aarav SharmaHome OfficeEastBiharPatnaTechnologyAccessoriesBasic Accessories 210Same Day72648.760.1515760.129931.535828.59FailedReturned</v>
      </c>
      <c r="W652" s="2">
        <f t="shared" si="31"/>
        <v>1</v>
      </c>
      <c r="X652">
        <f t="shared" si="32"/>
        <v>1</v>
      </c>
    </row>
    <row r="653" spans="1:24">
      <c r="A653" s="2" t="s">
        <v>3078</v>
      </c>
      <c r="B653" s="2" t="s">
        <v>1371</v>
      </c>
      <c r="C653" s="2" t="s">
        <v>3079</v>
      </c>
      <c r="D653" s="2" t="s">
        <v>3080</v>
      </c>
      <c r="E653" s="2" t="s">
        <v>40</v>
      </c>
      <c r="F653" s="2" t="s">
        <v>41</v>
      </c>
      <c r="G653" s="2" t="s">
        <v>62</v>
      </c>
      <c r="H653" s="2" t="s">
        <v>100</v>
      </c>
      <c r="I653" s="2" t="s">
        <v>101</v>
      </c>
      <c r="J653" s="2" t="s">
        <v>30</v>
      </c>
      <c r="K653" s="2" t="s">
        <v>31</v>
      </c>
      <c r="L653" s="2" t="s">
        <v>3081</v>
      </c>
      <c r="M653" s="2" t="s">
        <v>33</v>
      </c>
      <c r="N653" s="2">
        <v>3</v>
      </c>
      <c r="O653" s="2">
        <v>598.54999999999995</v>
      </c>
      <c r="P653" s="2">
        <v>0</v>
      </c>
      <c r="Q653" s="2">
        <v>1795.65</v>
      </c>
      <c r="R653" s="2">
        <v>996.72</v>
      </c>
      <c r="S653" s="2">
        <v>798.93</v>
      </c>
      <c r="T653" s="2" t="s">
        <v>34</v>
      </c>
      <c r="U653" s="2" t="s">
        <v>35</v>
      </c>
      <c r="V653" s="2" t="str">
        <f t="shared" si="30"/>
        <v>ORD-2025-1065206 Aug 202509-08-2025CUST-2660Mira DasSmall BusinessSouthAndhra PradeshVijayawadaOffice SuppliesPaperSmart Paper 364Second Class3598.5501795.65996.72798.93PaidCompleted</v>
      </c>
      <c r="W653" s="2">
        <f t="shared" si="31"/>
        <v>1</v>
      </c>
      <c r="X653">
        <f t="shared" si="32"/>
        <v>1</v>
      </c>
    </row>
    <row r="654" spans="1:24">
      <c r="A654" s="2" t="s">
        <v>3082</v>
      </c>
      <c r="B654" s="2" t="s">
        <v>3083</v>
      </c>
      <c r="C654" s="2" t="s">
        <v>3084</v>
      </c>
      <c r="D654" s="2" t="s">
        <v>2567</v>
      </c>
      <c r="E654" s="2" t="s">
        <v>168</v>
      </c>
      <c r="F654" s="2" t="s">
        <v>26</v>
      </c>
      <c r="G654" s="2" t="s">
        <v>27</v>
      </c>
      <c r="H654" s="2" t="s">
        <v>174</v>
      </c>
      <c r="I654" s="2" t="s">
        <v>175</v>
      </c>
      <c r="J654" s="2" t="s">
        <v>30</v>
      </c>
      <c r="K654" s="2" t="s">
        <v>198</v>
      </c>
      <c r="L654" s="2" t="s">
        <v>3085</v>
      </c>
      <c r="M654" s="2" t="s">
        <v>67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34</v>
      </c>
      <c r="U654" s="2" t="s">
        <v>35</v>
      </c>
      <c r="V654" s="2" t="str">
        <f t="shared" si="30"/>
        <v>ORD-2025-1065303/17/20252025-03-21CUST-8177Sneha KapoorConsumerNorthUttar PradeshNoidaOffice SuppliesBindersSmart Binders 999Standard Class54320.590.1518362.5111133.977228.54PaidCompleted</v>
      </c>
      <c r="W654" s="2">
        <f t="shared" si="31"/>
        <v>1</v>
      </c>
      <c r="X654">
        <f t="shared" si="32"/>
        <v>1</v>
      </c>
    </row>
    <row r="655" spans="1:24">
      <c r="A655" s="2" t="s">
        <v>3086</v>
      </c>
      <c r="B655" s="2" t="s">
        <v>3087</v>
      </c>
      <c r="C655" s="2" t="s">
        <v>3088</v>
      </c>
      <c r="D655" s="2" t="s">
        <v>3089</v>
      </c>
      <c r="E655" s="2" t="s">
        <v>142</v>
      </c>
      <c r="F655" s="2" t="s">
        <v>41</v>
      </c>
      <c r="G655" s="2" t="s">
        <v>62</v>
      </c>
      <c r="H655" s="2" t="s">
        <v>339</v>
      </c>
      <c r="I655" s="2" t="s">
        <v>340</v>
      </c>
      <c r="J655" s="2" t="s">
        <v>86</v>
      </c>
      <c r="K655" s="2" t="s">
        <v>94</v>
      </c>
      <c r="L655" s="2" t="s">
        <v>3090</v>
      </c>
      <c r="M655" s="2" t="s">
        <v>33</v>
      </c>
      <c r="N655" s="2">
        <v>7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34</v>
      </c>
      <c r="U655" s="2" t="s">
        <v>35</v>
      </c>
      <c r="V655" s="2" t="str">
        <f t="shared" si="30"/>
        <v>ORD-2025-1065404-04-202504/07/2025CUST-3970Priya MenonSmall BusinessSouthTamil NaduChennaiTechnologyCopiersMax Copiers 356Second Class74457.930.1526524.6820574.35950.38PaidCompleted</v>
      </c>
      <c r="W655" s="2">
        <f t="shared" si="31"/>
        <v>1</v>
      </c>
      <c r="X655">
        <f t="shared" si="32"/>
        <v>1</v>
      </c>
    </row>
    <row r="656" spans="1:24">
      <c r="A656" s="2" t="s">
        <v>3091</v>
      </c>
      <c r="B656" s="2" t="s">
        <v>3092</v>
      </c>
      <c r="C656" s="2" t="s">
        <v>140</v>
      </c>
      <c r="D656" s="2" t="s">
        <v>1416</v>
      </c>
      <c r="E656" s="2" t="s">
        <v>210</v>
      </c>
      <c r="F656" s="2" t="s">
        <v>108</v>
      </c>
      <c r="G656" s="2" t="s">
        <v>42</v>
      </c>
      <c r="H656" s="2" t="s">
        <v>186</v>
      </c>
      <c r="I656" s="2" t="s">
        <v>187</v>
      </c>
      <c r="J656" s="2" t="s">
        <v>86</v>
      </c>
      <c r="K656" s="2" t="s">
        <v>382</v>
      </c>
      <c r="L656" s="2" t="s">
        <v>3093</v>
      </c>
      <c r="M656" s="2" t="s">
        <v>48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34</v>
      </c>
      <c r="U656" s="2" t="s">
        <v>35</v>
      </c>
      <c r="V656" s="2" t="str">
        <f t="shared" si="30"/>
        <v>ORD-2025-1065510/12/202516-10-2025CUST-8249Diya PatelCorporateEastBiharPatnaTechnologyMachinesClassic Machines 639Same Day12570.060.22056.051662.39393.66PaidCompleted</v>
      </c>
      <c r="W656" s="2">
        <f t="shared" si="31"/>
        <v>1</v>
      </c>
      <c r="X656">
        <f t="shared" si="32"/>
        <v>1</v>
      </c>
    </row>
    <row r="657" spans="1:24">
      <c r="A657" s="2" t="s">
        <v>3094</v>
      </c>
      <c r="B657" s="2" t="s">
        <v>699</v>
      </c>
      <c r="C657" s="2" t="s">
        <v>699</v>
      </c>
      <c r="D657" s="2" t="s">
        <v>3095</v>
      </c>
      <c r="E657" s="2" t="s">
        <v>93</v>
      </c>
      <c r="F657" s="2" t="s">
        <v>115</v>
      </c>
      <c r="G657" s="2" t="s">
        <v>42</v>
      </c>
      <c r="H657" s="2" t="s">
        <v>121</v>
      </c>
      <c r="I657" s="2" t="s">
        <v>122</v>
      </c>
      <c r="J657" s="2" t="s">
        <v>45</v>
      </c>
      <c r="K657" s="2" t="s">
        <v>65</v>
      </c>
      <c r="L657" s="2" t="s">
        <v>3096</v>
      </c>
      <c r="M657" s="2" t="s">
        <v>67</v>
      </c>
      <c r="N657" s="2">
        <v>4</v>
      </c>
      <c r="O657" s="2">
        <v>2151.8200000000002</v>
      </c>
      <c r="P657" s="2">
        <v>0</v>
      </c>
      <c r="Q657" s="2">
        <v>8607.2800000000007</v>
      </c>
      <c r="R657" s="2">
        <v>5124.01</v>
      </c>
      <c r="S657" s="2">
        <v>3483.27</v>
      </c>
      <c r="T657" s="2" t="s">
        <v>34</v>
      </c>
      <c r="U657" s="2" t="s">
        <v>35</v>
      </c>
      <c r="V657" s="2" t="str">
        <f t="shared" si="30"/>
        <v>ORD-2025-1065608/26/202508/26/2025CUST-8039Neha GuptaHome OfficeEastWest BengalKolkataFurnitureFurnishingsSmart Furnishings 748Standard Class42151.8208607.285124.013483.27PaidCompleted</v>
      </c>
      <c r="W657" s="2">
        <f t="shared" si="31"/>
        <v>1</v>
      </c>
      <c r="X657">
        <f t="shared" si="32"/>
        <v>1</v>
      </c>
    </row>
    <row r="658" spans="1:24">
      <c r="A658" s="2" t="s">
        <v>3097</v>
      </c>
      <c r="B658" s="2" t="s">
        <v>3098</v>
      </c>
      <c r="C658" s="2" t="s">
        <v>2329</v>
      </c>
      <c r="D658" s="2" t="s">
        <v>3099</v>
      </c>
      <c r="E658" s="2" t="s">
        <v>93</v>
      </c>
      <c r="F658" s="2" t="s">
        <v>41</v>
      </c>
      <c r="G658" s="2" t="s">
        <v>27</v>
      </c>
      <c r="H658" s="2" t="s">
        <v>323</v>
      </c>
      <c r="I658" s="2" t="s">
        <v>324</v>
      </c>
      <c r="J658" s="2" t="s">
        <v>86</v>
      </c>
      <c r="K658" s="2" t="s">
        <v>382</v>
      </c>
      <c r="L658" s="2" t="s">
        <v>3100</v>
      </c>
      <c r="M658" s="2" t="s">
        <v>48</v>
      </c>
      <c r="N658" s="2">
        <v>4</v>
      </c>
      <c r="O658" s="2">
        <v>2751.1</v>
      </c>
      <c r="P658" s="2">
        <v>-0.05</v>
      </c>
      <c r="Q658" s="2">
        <v>9903.9599999999991</v>
      </c>
      <c r="R658" s="2">
        <v>7696.28</v>
      </c>
      <c r="S658" s="2">
        <v>2207.6799999999998</v>
      </c>
      <c r="T658" s="2" t="s">
        <v>34</v>
      </c>
      <c r="U658" s="2" t="s">
        <v>35</v>
      </c>
      <c r="V658" s="2" t="str">
        <f t="shared" si="30"/>
        <v>ORD-2024-1065707-05-202405/14/2024CUST-4446Neha GuptaSmall BusinessNorthHaryanaGurugramTechnologyMachinesPro Machines 589Same Day42751.1-0.059903.967696.282207.68PaidCompleted</v>
      </c>
      <c r="W658" s="2">
        <f t="shared" si="31"/>
        <v>1</v>
      </c>
      <c r="X658">
        <f t="shared" si="32"/>
        <v>1</v>
      </c>
    </row>
    <row r="659" spans="1:24">
      <c r="A659" s="2" t="s">
        <v>3101</v>
      </c>
      <c r="B659" s="2" t="s">
        <v>3102</v>
      </c>
      <c r="C659" s="2" t="s">
        <v>3103</v>
      </c>
      <c r="D659" s="2" t="s">
        <v>3104</v>
      </c>
      <c r="E659" s="2" t="s">
        <v>107</v>
      </c>
      <c r="F659" s="2" t="s">
        <v>115</v>
      </c>
      <c r="G659" s="2" t="s">
        <v>42</v>
      </c>
      <c r="H659" s="2" t="s">
        <v>186</v>
      </c>
      <c r="I659" s="2" t="s">
        <v>187</v>
      </c>
      <c r="J659" s="2" t="s">
        <v>30</v>
      </c>
      <c r="K659" s="2" t="s">
        <v>156</v>
      </c>
      <c r="L659" s="2" t="s">
        <v>3105</v>
      </c>
      <c r="M659" s="2" t="s">
        <v>33</v>
      </c>
      <c r="N659" s="2">
        <v>1</v>
      </c>
      <c r="O659" s="2">
        <v>2541.25</v>
      </c>
      <c r="P659" s="2">
        <v>0.2</v>
      </c>
      <c r="Q659" s="2">
        <v>2033</v>
      </c>
      <c r="R659" s="2">
        <v>1291.4100000000001</v>
      </c>
      <c r="S659" s="2">
        <v>741.59</v>
      </c>
      <c r="T659" s="2" t="s">
        <v>34</v>
      </c>
      <c r="U659" s="2" t="s">
        <v>35</v>
      </c>
      <c r="V659" s="2" t="str">
        <f t="shared" si="30"/>
        <v>ORD-2025-1065808/07/20252025-08-10CUST-7787Aditi SenHome OfficeEastBiharPatnaOffice SuppliesStorageEco Storage 316Second Class12541.250.220331291.41741.59PaidCompleted</v>
      </c>
      <c r="W659" s="2">
        <f t="shared" si="31"/>
        <v>1</v>
      </c>
      <c r="X659">
        <f t="shared" si="32"/>
        <v>1</v>
      </c>
    </row>
    <row r="660" spans="1:24">
      <c r="A660" s="2" t="s">
        <v>3106</v>
      </c>
      <c r="B660" s="2" t="s">
        <v>3107</v>
      </c>
      <c r="C660" s="2" t="s">
        <v>2213</v>
      </c>
      <c r="D660" s="2" t="s">
        <v>3108</v>
      </c>
      <c r="E660" s="2" t="s">
        <v>168</v>
      </c>
      <c r="F660" s="2" t="s">
        <v>26</v>
      </c>
      <c r="H660" s="2" t="s">
        <v>186</v>
      </c>
      <c r="I660" s="2" t="s">
        <v>187</v>
      </c>
      <c r="J660" s="2" t="s">
        <v>30</v>
      </c>
      <c r="K660" s="2" t="s">
        <v>54</v>
      </c>
      <c r="L660" s="2" t="s">
        <v>3109</v>
      </c>
      <c r="M660" s="2" t="s">
        <v>56</v>
      </c>
      <c r="N660" s="2">
        <v>7</v>
      </c>
      <c r="O660" s="2">
        <v>2852.42</v>
      </c>
      <c r="P660" s="2">
        <v>0</v>
      </c>
      <c r="Q660" s="2">
        <v>19966.939999999999</v>
      </c>
      <c r="R660" s="2">
        <v>12690.83</v>
      </c>
      <c r="S660" s="2">
        <v>7276.11</v>
      </c>
      <c r="T660" s="2" t="s">
        <v>124</v>
      </c>
      <c r="U660" s="2" t="s">
        <v>78</v>
      </c>
      <c r="V660" s="2" t="str">
        <f t="shared" si="30"/>
        <v>ORD-2025-106592025-06-0906/12/2025CUST-9074Sneha KapoorConsumerBiharPatnaOffice SuppliesArtEco Art 763First Class72852.42019966.9412690.837276.11RefundedCancelled</v>
      </c>
      <c r="W660" s="2">
        <f t="shared" si="31"/>
        <v>1</v>
      </c>
      <c r="X660">
        <f t="shared" si="32"/>
        <v>1</v>
      </c>
    </row>
    <row r="661" spans="1:24">
      <c r="A661" s="2" t="s">
        <v>3110</v>
      </c>
      <c r="B661" s="2" t="s">
        <v>183</v>
      </c>
      <c r="C661" s="2" t="s">
        <v>1837</v>
      </c>
      <c r="D661" s="2" t="s">
        <v>3111</v>
      </c>
      <c r="E661" s="2" t="s">
        <v>210</v>
      </c>
      <c r="F661" s="2" t="s">
        <v>108</v>
      </c>
      <c r="G661" s="2" t="s">
        <v>62</v>
      </c>
      <c r="H661" s="2" t="s">
        <v>229</v>
      </c>
      <c r="I661" s="2" t="s">
        <v>230</v>
      </c>
      <c r="J661" s="2" t="s">
        <v>86</v>
      </c>
      <c r="K661" s="2" t="s">
        <v>223</v>
      </c>
      <c r="L661" s="2" t="s">
        <v>3112</v>
      </c>
      <c r="M661" s="2" t="s">
        <v>33</v>
      </c>
      <c r="N661" s="2">
        <v>2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124</v>
      </c>
      <c r="U661" s="2" t="s">
        <v>78</v>
      </c>
      <c r="V661" s="2" t="str">
        <f t="shared" si="30"/>
        <v>ORD-2025-1066021-01-20252025-01-22CUST-8330Diya PatelCorporateSouthKarnatakaBengaluruTechnologyPhonesPro Phones 356Second Class2444.310.2710.9513.88197.02RefundedCancelled</v>
      </c>
      <c r="W661" s="2">
        <f t="shared" si="31"/>
        <v>1</v>
      </c>
      <c r="X661">
        <f t="shared" si="32"/>
        <v>1</v>
      </c>
    </row>
    <row r="662" spans="1:24">
      <c r="A662" s="2" t="s">
        <v>3113</v>
      </c>
      <c r="B662" s="2" t="s">
        <v>171</v>
      </c>
      <c r="C662" s="2" t="s">
        <v>3114</v>
      </c>
      <c r="D662" s="2" t="s">
        <v>3115</v>
      </c>
      <c r="E662" s="2" t="s">
        <v>61</v>
      </c>
      <c r="F662" s="2" t="s">
        <v>41</v>
      </c>
      <c r="G662" s="2" t="s">
        <v>42</v>
      </c>
      <c r="H662" s="2" t="s">
        <v>311</v>
      </c>
      <c r="I662" s="2" t="s">
        <v>312</v>
      </c>
      <c r="J662" s="2" t="s">
        <v>86</v>
      </c>
      <c r="K662" s="2" t="s">
        <v>223</v>
      </c>
      <c r="L662" s="2" t="s">
        <v>3116</v>
      </c>
      <c r="M662" s="2" t="s">
        <v>48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34</v>
      </c>
      <c r="U662" s="2" t="s">
        <v>35</v>
      </c>
      <c r="V662" s="2" t="str">
        <f t="shared" si="30"/>
        <v>ORD-2025-1066107/15/202515-07-2025CUST-5638Arjun BoseSmall BusinessEastJharkhandRanchiTechnologyPhonesBasic Phones 865Same Day44442.910.115994.489224.286770.2PaidCompleted</v>
      </c>
      <c r="W662" s="2">
        <f t="shared" si="31"/>
        <v>1</v>
      </c>
      <c r="X662">
        <f t="shared" si="32"/>
        <v>1</v>
      </c>
    </row>
    <row r="663" spans="1:24">
      <c r="A663" s="2" t="s">
        <v>3117</v>
      </c>
      <c r="B663" s="2" t="s">
        <v>3118</v>
      </c>
      <c r="C663" s="2" t="s">
        <v>3119</v>
      </c>
      <c r="D663" s="2" t="s">
        <v>3120</v>
      </c>
      <c r="E663" s="2" t="s">
        <v>168</v>
      </c>
      <c r="F663" s="2" t="s">
        <v>26</v>
      </c>
      <c r="G663" s="2" t="s">
        <v>62</v>
      </c>
      <c r="H663" s="2" t="s">
        <v>100</v>
      </c>
      <c r="I663" s="2" t="s">
        <v>101</v>
      </c>
      <c r="J663" s="2" t="s">
        <v>86</v>
      </c>
      <c r="K663" s="2" t="s">
        <v>382</v>
      </c>
      <c r="L663" s="2" t="s">
        <v>3121</v>
      </c>
      <c r="M663" s="2" t="s">
        <v>33</v>
      </c>
      <c r="N663" s="2">
        <v>7</v>
      </c>
      <c r="O663" s="2">
        <v>232.5</v>
      </c>
      <c r="P663" s="2">
        <v>0</v>
      </c>
      <c r="Q663" s="2">
        <v>1627.5</v>
      </c>
      <c r="R663" s="2">
        <v>939.9</v>
      </c>
      <c r="S663" s="2">
        <v>687.6</v>
      </c>
      <c r="T663" s="2" t="s">
        <v>34</v>
      </c>
      <c r="U663" s="2" t="s">
        <v>35</v>
      </c>
      <c r="V663" s="2" t="str">
        <f t="shared" si="30"/>
        <v>ORD-2024-1066217-05-20242024-05-22CUST-4537Sneha KapoorConsumerSouthAndhra PradeshVijayawadaTechnologyMachinesMax Machines 595Second Class7232.501627.5939.9687.6PaidCompleted</v>
      </c>
      <c r="W663" s="2">
        <f t="shared" si="31"/>
        <v>1</v>
      </c>
      <c r="X663">
        <f t="shared" si="32"/>
        <v>1</v>
      </c>
    </row>
    <row r="664" spans="1:24">
      <c r="A664" s="2" t="s">
        <v>3122</v>
      </c>
      <c r="B664" s="2" t="s">
        <v>3123</v>
      </c>
      <c r="C664" s="2" t="s">
        <v>3124</v>
      </c>
      <c r="D664" s="2" t="s">
        <v>3125</v>
      </c>
      <c r="E664" s="2" t="s">
        <v>40</v>
      </c>
      <c r="F664" s="2" t="s">
        <v>115</v>
      </c>
      <c r="G664" s="2" t="s">
        <v>73</v>
      </c>
      <c r="H664" s="2" t="s">
        <v>28</v>
      </c>
      <c r="I664" s="2" t="s">
        <v>135</v>
      </c>
      <c r="J664" s="2" t="s">
        <v>86</v>
      </c>
      <c r="K664" s="2" t="s">
        <v>382</v>
      </c>
      <c r="L664" s="2" t="s">
        <v>3126</v>
      </c>
      <c r="M664" s="2" t="s">
        <v>48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34</v>
      </c>
      <c r="U664" s="2" t="s">
        <v>35</v>
      </c>
      <c r="V664" s="2" t="str">
        <f t="shared" si="30"/>
        <v>ORD-2024-106632024-01-1418-01-2024CUST-3181Mira DasHome OfficeWestRajasthanUdaipurTechnologyMachinesElite Machines 367Same Day61784.80.19637.927329.292308.63PaidCompleted</v>
      </c>
      <c r="W664" s="2">
        <f t="shared" si="31"/>
        <v>1</v>
      </c>
      <c r="X664">
        <f t="shared" si="32"/>
        <v>1</v>
      </c>
    </row>
    <row r="665" spans="1:24">
      <c r="A665" s="2" t="s">
        <v>3127</v>
      </c>
      <c r="B665" s="2" t="s">
        <v>1225</v>
      </c>
      <c r="C665" s="2" t="s">
        <v>2682</v>
      </c>
      <c r="D665" s="2" t="s">
        <v>3128</v>
      </c>
      <c r="E665" s="2" t="s">
        <v>148</v>
      </c>
      <c r="F665" s="2" t="s">
        <v>115</v>
      </c>
      <c r="G665" s="2" t="s">
        <v>42</v>
      </c>
      <c r="H665" s="2" t="s">
        <v>311</v>
      </c>
      <c r="I665" s="2" t="s">
        <v>312</v>
      </c>
      <c r="J665" s="2" t="s">
        <v>86</v>
      </c>
      <c r="K665" s="2" t="s">
        <v>94</v>
      </c>
      <c r="L665" s="2" t="s">
        <v>3129</v>
      </c>
      <c r="M665" s="2" t="s">
        <v>33</v>
      </c>
      <c r="N665" s="2">
        <v>2</v>
      </c>
      <c r="O665" s="2">
        <v>3185.01</v>
      </c>
      <c r="P665" s="2">
        <v>-0.24</v>
      </c>
      <c r="Q665" s="2">
        <v>4777.5200000000004</v>
      </c>
      <c r="R665" s="2">
        <v>3152.98</v>
      </c>
      <c r="S665" s="2">
        <v>1624.54</v>
      </c>
      <c r="T665" s="2" t="s">
        <v>34</v>
      </c>
      <c r="U665" s="2" t="s">
        <v>35</v>
      </c>
      <c r="V665" s="2" t="str">
        <f t="shared" si="30"/>
        <v>ORD-2024-1066405/02/20242024-05-08CUST-1015Rahul VermaHome OfficeEastJharkhandRanchiTechnologyCopiersBasic Copiers 787Second Class23185.01-0.244777.523152.981624.54PaidCompleted</v>
      </c>
      <c r="W665" s="2">
        <f t="shared" si="31"/>
        <v>1</v>
      </c>
      <c r="X665">
        <f t="shared" si="32"/>
        <v>1</v>
      </c>
    </row>
    <row r="666" spans="1:24">
      <c r="A666" s="2" t="s">
        <v>3130</v>
      </c>
      <c r="B666" s="2" t="s">
        <v>3131</v>
      </c>
      <c r="C666" s="2" t="s">
        <v>3132</v>
      </c>
      <c r="D666" s="2" t="s">
        <v>3133</v>
      </c>
      <c r="E666" s="2" t="s">
        <v>40</v>
      </c>
      <c r="F666" s="2" t="s">
        <v>115</v>
      </c>
      <c r="G666" s="2" t="s">
        <v>62</v>
      </c>
      <c r="H666" s="2" t="s">
        <v>63</v>
      </c>
      <c r="I666" s="2" t="s">
        <v>64</v>
      </c>
      <c r="J666" s="2" t="s">
        <v>86</v>
      </c>
      <c r="K666" s="2" t="s">
        <v>87</v>
      </c>
      <c r="L666" s="2" t="s">
        <v>3134</v>
      </c>
      <c r="M666" s="2" t="s">
        <v>67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34</v>
      </c>
      <c r="U666" s="2" t="s">
        <v>35</v>
      </c>
      <c r="V666" s="2" t="str">
        <f t="shared" si="30"/>
        <v>ORD-2024-1066507 Dec 202410 Dec 2024CUST-2709Mira DasHome OfficeSouthTelanganaHyderabadTechnologyAccessoriesMax Accessories 903Standard Class11908.830.21527.061055.89471.17PaidCompleted</v>
      </c>
      <c r="W666" s="2">
        <f t="shared" si="31"/>
        <v>1</v>
      </c>
      <c r="X666">
        <f t="shared" si="32"/>
        <v>1</v>
      </c>
    </row>
    <row r="667" spans="1:24">
      <c r="A667" s="2" t="s">
        <v>3135</v>
      </c>
      <c r="B667" s="2" t="s">
        <v>3136</v>
      </c>
      <c r="C667" s="2" t="s">
        <v>3137</v>
      </c>
      <c r="D667" s="2" t="s">
        <v>3138</v>
      </c>
      <c r="E667" s="2" t="s">
        <v>148</v>
      </c>
      <c r="F667" s="2" t="s">
        <v>115</v>
      </c>
      <c r="G667" s="2" t="s">
        <v>73</v>
      </c>
      <c r="H667" s="2" t="s">
        <v>235</v>
      </c>
      <c r="I667" s="2" t="s">
        <v>236</v>
      </c>
      <c r="J667" s="2" t="s">
        <v>30</v>
      </c>
      <c r="K667" s="2" t="s">
        <v>54</v>
      </c>
      <c r="L667" s="2" t="s">
        <v>3139</v>
      </c>
      <c r="M667" s="2" t="s">
        <v>67</v>
      </c>
      <c r="N667" s="2">
        <v>3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2057.5100000000002</v>
      </c>
      <c r="T667" s="2" t="s">
        <v>200</v>
      </c>
      <c r="U667" s="2" t="s">
        <v>78</v>
      </c>
      <c r="V667" s="2" t="str">
        <f t="shared" si="30"/>
        <v>ORD-2025-106662025-01-1301/13/2025CUST-1197Rahul VermaHome OfficeWestGujaratAhmedabadOffice SuppliesArtMax Art 660Standard Class32110.520.15698.43640.892057.51FailedCancelled</v>
      </c>
      <c r="W667" s="2">
        <f t="shared" si="31"/>
        <v>1</v>
      </c>
      <c r="X667">
        <f t="shared" si="32"/>
        <v>1</v>
      </c>
    </row>
    <row r="668" spans="1:24">
      <c r="A668" s="2" t="s">
        <v>3140</v>
      </c>
      <c r="B668" s="2" t="s">
        <v>2152</v>
      </c>
      <c r="C668" s="2" t="s">
        <v>2094</v>
      </c>
      <c r="D668" s="2" t="s">
        <v>3141</v>
      </c>
      <c r="E668" s="2" t="s">
        <v>180</v>
      </c>
      <c r="F668" s="2" t="s">
        <v>41</v>
      </c>
      <c r="G668" s="2" t="s">
        <v>27</v>
      </c>
      <c r="H668" s="2" t="s">
        <v>154</v>
      </c>
      <c r="I668" s="2" t="s">
        <v>155</v>
      </c>
      <c r="J668" s="2" t="s">
        <v>86</v>
      </c>
      <c r="K668" s="2" t="s">
        <v>94</v>
      </c>
      <c r="L668" s="2" t="s">
        <v>3142</v>
      </c>
      <c r="M668" s="2" t="s">
        <v>48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34</v>
      </c>
      <c r="U668" s="2" t="s">
        <v>35</v>
      </c>
      <c r="V668" s="2" t="str">
        <f t="shared" si="30"/>
        <v>ORD-2024-1066721 Jun 202406/26/2024CUST-7758Rohan MehtaSmall BusinessNorthPunjabLudhianaTechnologyCopiersClassic Copiers 908Same Day1279.830.05265.84223.4942.35PaidCompleted</v>
      </c>
      <c r="W668" s="2">
        <f t="shared" si="31"/>
        <v>1</v>
      </c>
      <c r="X668">
        <f t="shared" si="32"/>
        <v>1</v>
      </c>
    </row>
    <row r="669" spans="1:24">
      <c r="A669" s="2" t="s">
        <v>3143</v>
      </c>
      <c r="B669" s="2" t="s">
        <v>3144</v>
      </c>
      <c r="C669" s="2" t="s">
        <v>3145</v>
      </c>
      <c r="D669" s="2" t="s">
        <v>3146</v>
      </c>
      <c r="E669" s="2" t="s">
        <v>210</v>
      </c>
      <c r="F669" s="2" t="s">
        <v>41</v>
      </c>
      <c r="G669" s="2" t="s">
        <v>42</v>
      </c>
      <c r="H669" s="2" t="s">
        <v>186</v>
      </c>
      <c r="I669" s="2" t="s">
        <v>187</v>
      </c>
      <c r="J669" s="2" t="s">
        <v>86</v>
      </c>
      <c r="K669" s="2" t="s">
        <v>382</v>
      </c>
      <c r="L669" s="2" t="s">
        <v>3147</v>
      </c>
      <c r="M669" s="2" t="s">
        <v>67</v>
      </c>
      <c r="N669" s="2">
        <v>1</v>
      </c>
      <c r="O669" s="2">
        <v>3959.14</v>
      </c>
      <c r="P669" s="2">
        <v>0</v>
      </c>
      <c r="Q669" s="2">
        <v>3959.14</v>
      </c>
      <c r="R669" s="2">
        <v>3239.53</v>
      </c>
      <c r="S669" s="2">
        <v>719.61</v>
      </c>
      <c r="T669" s="2" t="s">
        <v>137</v>
      </c>
      <c r="U669" s="2" t="s">
        <v>125</v>
      </c>
      <c r="V669" s="2" t="str">
        <f t="shared" si="30"/>
        <v>ORD-2025-1066820-05-202527-05-2025CUST-3912Diya PatelSmall BusinessEastBiharPatnaTechnologyMachinesPro Machines 706Standard Class13959.1403959.143239.53719.61PendingReturned</v>
      </c>
      <c r="W669" s="2">
        <f t="shared" si="31"/>
        <v>1</v>
      </c>
      <c r="X669">
        <f t="shared" si="32"/>
        <v>1</v>
      </c>
    </row>
    <row r="670" spans="1:24">
      <c r="A670" s="2" t="s">
        <v>3148</v>
      </c>
      <c r="B670" s="2" t="s">
        <v>3149</v>
      </c>
      <c r="C670" s="2" t="s">
        <v>221</v>
      </c>
      <c r="D670" s="2" t="s">
        <v>3150</v>
      </c>
      <c r="E670" s="2" t="s">
        <v>40</v>
      </c>
      <c r="F670" s="2" t="s">
        <v>108</v>
      </c>
      <c r="G670" s="2" t="s">
        <v>73</v>
      </c>
      <c r="H670" s="2" t="s">
        <v>235</v>
      </c>
      <c r="I670" s="2" t="s">
        <v>236</v>
      </c>
      <c r="J670" s="2" t="s">
        <v>30</v>
      </c>
      <c r="K670" s="2" t="s">
        <v>31</v>
      </c>
      <c r="L670" s="2" t="s">
        <v>3151</v>
      </c>
      <c r="M670" s="2" t="s">
        <v>33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34</v>
      </c>
      <c r="U670" s="2" t="s">
        <v>35</v>
      </c>
      <c r="V670" s="2" t="str">
        <f t="shared" si="30"/>
        <v>ORD-2024-1066911/21/202423 Nov 2024CUST-4190Mira DasCorporateWestGujaratAhmedabadOffice SuppliesPaperPro Paper 187Second Class5600.460.22401.841873.11528.73PaidCompleted</v>
      </c>
      <c r="W670" s="2">
        <f t="shared" si="31"/>
        <v>1</v>
      </c>
      <c r="X670">
        <f t="shared" si="32"/>
        <v>1</v>
      </c>
    </row>
    <row r="671" spans="1:24">
      <c r="A671" s="2" t="s">
        <v>3152</v>
      </c>
      <c r="B671" s="2" t="s">
        <v>3153</v>
      </c>
      <c r="C671" s="2" t="s">
        <v>3154</v>
      </c>
      <c r="D671" s="2" t="s">
        <v>3155</v>
      </c>
      <c r="E671" s="2" t="s">
        <v>72</v>
      </c>
      <c r="F671" s="2" t="s">
        <v>115</v>
      </c>
      <c r="G671" s="2" t="s">
        <v>73</v>
      </c>
      <c r="H671" s="2" t="s">
        <v>74</v>
      </c>
      <c r="I671" s="2" t="s">
        <v>75</v>
      </c>
      <c r="J671" s="2" t="s">
        <v>45</v>
      </c>
      <c r="K671" s="2" t="s">
        <v>46</v>
      </c>
      <c r="L671" s="2" t="s">
        <v>3156</v>
      </c>
      <c r="M671" s="2" t="s">
        <v>33</v>
      </c>
      <c r="N671" s="2">
        <v>4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34</v>
      </c>
      <c r="U671" s="2" t="s">
        <v>35</v>
      </c>
      <c r="V671" s="2" t="str">
        <f t="shared" si="30"/>
        <v>ORD-2024-106702024-03-2401 Apr 2024CUST-7568Ananya RaoHome OfficeWestMaharashtraMumbaiFurnitureTablesClassic Tables 606Second Class41700.720.255102.163226.451875.71PaidCompleted</v>
      </c>
      <c r="W671" s="2">
        <f t="shared" si="31"/>
        <v>1</v>
      </c>
      <c r="X671">
        <f t="shared" si="32"/>
        <v>1</v>
      </c>
    </row>
    <row r="672" spans="1:24">
      <c r="A672" s="2" t="s">
        <v>3157</v>
      </c>
      <c r="B672" s="2" t="s">
        <v>3158</v>
      </c>
      <c r="C672" s="2" t="s">
        <v>2956</v>
      </c>
      <c r="D672" s="2" t="s">
        <v>2431</v>
      </c>
      <c r="E672" s="2" t="s">
        <v>168</v>
      </c>
      <c r="F672" s="2" t="s">
        <v>108</v>
      </c>
      <c r="G672" s="2" t="s">
        <v>27</v>
      </c>
      <c r="H672" s="2" t="s">
        <v>174</v>
      </c>
      <c r="I672" s="2" t="s">
        <v>175</v>
      </c>
      <c r="J672" s="2" t="s">
        <v>45</v>
      </c>
      <c r="K672" s="2" t="s">
        <v>46</v>
      </c>
      <c r="L672" s="2" t="s">
        <v>3159</v>
      </c>
      <c r="M672" s="2" t="s">
        <v>67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34</v>
      </c>
      <c r="U672" s="2" t="s">
        <v>35</v>
      </c>
      <c r="V672" s="2" t="str">
        <f t="shared" si="30"/>
        <v>ORD-2025-1067102/02/202506 Feb 2025CUST-5604Sneha KapoorCorporateNorthUttar PradeshNoidaFurnitureTablesSmart Tables 835Standard Class8857.860.16176.593560.962615.63PaidCompleted</v>
      </c>
      <c r="W672" s="2">
        <f t="shared" si="31"/>
        <v>1</v>
      </c>
      <c r="X672">
        <f t="shared" si="32"/>
        <v>1</v>
      </c>
    </row>
    <row r="673" spans="1:25">
      <c r="A673" s="2" t="s">
        <v>3160</v>
      </c>
      <c r="B673" s="2" t="s">
        <v>3161</v>
      </c>
      <c r="C673" s="2" t="s">
        <v>3162</v>
      </c>
      <c r="D673" s="2" t="s">
        <v>3163</v>
      </c>
      <c r="E673" s="2" t="s">
        <v>107</v>
      </c>
      <c r="F673" s="2" t="s">
        <v>115</v>
      </c>
      <c r="G673" s="2" t="s">
        <v>73</v>
      </c>
      <c r="H673" s="2" t="s">
        <v>249</v>
      </c>
      <c r="I673" s="2" t="s">
        <v>250</v>
      </c>
      <c r="J673" s="2" t="s">
        <v>86</v>
      </c>
      <c r="K673" s="2" t="s">
        <v>3164</v>
      </c>
      <c r="L673" s="2" t="s">
        <v>3165</v>
      </c>
      <c r="M673" s="2" t="s">
        <v>33</v>
      </c>
      <c r="N673" s="2">
        <v>9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34</v>
      </c>
      <c r="U673" s="2" t="s">
        <v>35</v>
      </c>
      <c r="V673" s="2" t="str">
        <f t="shared" si="30"/>
        <v>ORD-2024-106722024-03-2227-03-2024CUST-3293Aditi SenHome OfficeWestGoaPanajiTechnologyCOPIERSClassic Copiers 583Second Class93649.510.0531203.3117738.1313465.18PaidCompleted</v>
      </c>
      <c r="W673" s="2">
        <f t="shared" si="31"/>
        <v>1</v>
      </c>
      <c r="X673">
        <f t="shared" si="32"/>
        <v>1</v>
      </c>
    </row>
    <row r="674" spans="1:25">
      <c r="A674" s="2" t="s">
        <v>3166</v>
      </c>
      <c r="B674" s="2" t="s">
        <v>3167</v>
      </c>
      <c r="C674" s="2" t="s">
        <v>3168</v>
      </c>
      <c r="D674" s="2" t="s">
        <v>3169</v>
      </c>
      <c r="E674" s="2" t="s">
        <v>107</v>
      </c>
      <c r="F674" s="2" t="s">
        <v>108</v>
      </c>
      <c r="G674" s="2" t="s">
        <v>73</v>
      </c>
      <c r="H674" s="2" t="s">
        <v>84</v>
      </c>
      <c r="I674" s="2" t="s">
        <v>85</v>
      </c>
      <c r="J674" s="2" t="s">
        <v>45</v>
      </c>
      <c r="K674" s="2" t="s">
        <v>76</v>
      </c>
      <c r="L674" s="2" t="s">
        <v>3170</v>
      </c>
      <c r="M674" s="2" t="s">
        <v>67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34</v>
      </c>
      <c r="U674" s="2" t="s">
        <v>125</v>
      </c>
      <c r="V674" s="2" t="str">
        <f t="shared" si="30"/>
        <v>ORD-2024-106732024-09-042024-09-05CUST-8180Aditi SenCorporateWestMadhya PradeshIndoreFurnitureChairsClassic Chairs 460Standard Class52528.530.0512010.527864.614145.91PaidReturned</v>
      </c>
      <c r="W674" s="2">
        <f t="shared" si="31"/>
        <v>1</v>
      </c>
      <c r="X674">
        <f t="shared" si="32"/>
        <v>1</v>
      </c>
    </row>
    <row r="675" spans="1:25">
      <c r="A675" s="2" t="s">
        <v>3171</v>
      </c>
      <c r="B675" s="2" t="s">
        <v>2401</v>
      </c>
      <c r="C675" s="2" t="s">
        <v>3172</v>
      </c>
      <c r="D675" s="2" t="s">
        <v>3173</v>
      </c>
      <c r="E675" s="2" t="s">
        <v>61</v>
      </c>
      <c r="F675" s="2" t="s">
        <v>41</v>
      </c>
      <c r="G675" s="2" t="s">
        <v>73</v>
      </c>
      <c r="H675" s="2" t="s">
        <v>28</v>
      </c>
      <c r="I675" s="2" t="s">
        <v>135</v>
      </c>
      <c r="J675" s="2" t="s">
        <v>45</v>
      </c>
      <c r="K675" s="2" t="s">
        <v>204</v>
      </c>
      <c r="L675" s="2" t="s">
        <v>3174</v>
      </c>
      <c r="M675" s="2" t="s">
        <v>33</v>
      </c>
      <c r="N675" s="2">
        <v>4</v>
      </c>
      <c r="O675" s="2">
        <v>4072.9</v>
      </c>
      <c r="P675" s="2">
        <v>0.15</v>
      </c>
      <c r="Q675" s="2">
        <v>13847.86</v>
      </c>
      <c r="R675" s="2">
        <v>8471.7800000000007</v>
      </c>
      <c r="S675" s="2">
        <v>5376.08</v>
      </c>
      <c r="T675" s="2" t="s">
        <v>34</v>
      </c>
      <c r="U675" s="2" t="s">
        <v>35</v>
      </c>
      <c r="V675" s="2" t="str">
        <f t="shared" si="30"/>
        <v>ORD-2025-106742025-02-1316 Feb 2025CUST-2807Arjun BoseSmall BusinessWestRajasthanUdaipurFurnitureBookcasesClassic Bookcases 488Second Class44072.90.1513847.868471.785376.08PaidCompleted</v>
      </c>
      <c r="W675" s="2">
        <f t="shared" si="31"/>
        <v>1</v>
      </c>
      <c r="X675">
        <f t="shared" si="32"/>
        <v>1</v>
      </c>
    </row>
    <row r="676" spans="1:25">
      <c r="A676" s="2" t="s">
        <v>3175</v>
      </c>
      <c r="B676" s="2" t="s">
        <v>3176</v>
      </c>
      <c r="C676" s="2" t="s">
        <v>3177</v>
      </c>
      <c r="D676" s="2" t="s">
        <v>3178</v>
      </c>
      <c r="E676" s="2" t="s">
        <v>83</v>
      </c>
      <c r="F676" s="2" t="s">
        <v>108</v>
      </c>
      <c r="G676" s="2" t="s">
        <v>42</v>
      </c>
      <c r="H676" s="2" t="s">
        <v>311</v>
      </c>
      <c r="I676" s="2" t="s">
        <v>312</v>
      </c>
      <c r="J676" s="2" t="s">
        <v>86</v>
      </c>
      <c r="K676" s="2" t="s">
        <v>87</v>
      </c>
      <c r="L676" s="2" t="s">
        <v>3179</v>
      </c>
      <c r="M676" s="2" t="s">
        <v>33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137</v>
      </c>
      <c r="U676" s="2" t="s">
        <v>125</v>
      </c>
      <c r="V676" s="2" t="str">
        <f t="shared" si="30"/>
        <v>ORD-2024-106752024-05-182024-05-21CUST-4081Vikram IyerCorporateEastJharkhandRanchiTechnologyAccessoriesBasic Accessories 944Second Class11033.7101033.71630.82402.89PendingReturned</v>
      </c>
      <c r="W676" s="2">
        <f t="shared" si="31"/>
        <v>1</v>
      </c>
      <c r="X676">
        <f t="shared" si="32"/>
        <v>1</v>
      </c>
    </row>
    <row r="677" spans="1:25">
      <c r="A677" s="2" t="s">
        <v>3180</v>
      </c>
      <c r="B677" s="2" t="s">
        <v>3181</v>
      </c>
      <c r="C677" s="2" t="s">
        <v>3182</v>
      </c>
      <c r="D677" s="2" t="s">
        <v>3033</v>
      </c>
      <c r="E677" s="2" t="s">
        <v>162</v>
      </c>
      <c r="F677" s="2" t="s">
        <v>26</v>
      </c>
      <c r="G677" s="2" t="s">
        <v>27</v>
      </c>
      <c r="H677" s="2" t="s">
        <v>28</v>
      </c>
      <c r="I677" s="2" t="s">
        <v>29</v>
      </c>
      <c r="J677" s="2" t="s">
        <v>45</v>
      </c>
      <c r="K677" s="2" t="s">
        <v>65</v>
      </c>
      <c r="L677" s="2" t="s">
        <v>3183</v>
      </c>
      <c r="M677" s="2" t="s">
        <v>48</v>
      </c>
      <c r="N677" s="2">
        <v>3</v>
      </c>
      <c r="O677" s="2">
        <v>963.26</v>
      </c>
      <c r="P677" s="2">
        <v>0</v>
      </c>
      <c r="Q677" s="2">
        <v>2889.78</v>
      </c>
      <c r="R677" s="2">
        <v>1811.23</v>
      </c>
      <c r="S677" s="2">
        <v>1078.55</v>
      </c>
      <c r="T677" s="2" t="s">
        <v>34</v>
      </c>
      <c r="U677" s="2" t="s">
        <v>35</v>
      </c>
      <c r="V677" s="2" t="str">
        <f t="shared" si="30"/>
        <v>ORD-2025-1067607-06-202506/10/2025CUST-5061Aarav SharmaConsumerNorthRajasthanJaipurFurnitureFurnishingsEco Furnishings 217Same Day3963.2602889.781811.231078.55PaidCompleted</v>
      </c>
      <c r="W677" s="2">
        <f t="shared" si="31"/>
        <v>1</v>
      </c>
      <c r="X677">
        <f t="shared" si="32"/>
        <v>1</v>
      </c>
    </row>
    <row r="678" spans="1:25">
      <c r="A678" s="2" t="s">
        <v>3184</v>
      </c>
      <c r="B678" s="2" t="s">
        <v>3185</v>
      </c>
      <c r="C678" s="2" t="s">
        <v>3186</v>
      </c>
      <c r="D678" s="2" t="s">
        <v>3187</v>
      </c>
      <c r="E678" s="2" t="s">
        <v>148</v>
      </c>
      <c r="F678" s="2" t="s">
        <v>41</v>
      </c>
      <c r="G678" s="2" t="s">
        <v>27</v>
      </c>
      <c r="H678" s="2" t="s">
        <v>506</v>
      </c>
      <c r="I678" s="2" t="s">
        <v>507</v>
      </c>
      <c r="J678" s="2" t="s">
        <v>86</v>
      </c>
      <c r="K678" s="2" t="s">
        <v>223</v>
      </c>
      <c r="L678" s="2" t="s">
        <v>3188</v>
      </c>
      <c r="M678" s="2" t="s">
        <v>48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34</v>
      </c>
      <c r="U678" s="2" t="s">
        <v>35</v>
      </c>
      <c r="V678" s="2" t="str">
        <f t="shared" si="30"/>
        <v>ORD-2025-1067709/11/202509/18/2025CUST-9212Rahul VermaSmall BusinessNorthDelhiNew DelhiTechnologyPhonesSmart Phones 967Same Day73411.210.1520296.714920.875375.83PaidCompleted</v>
      </c>
      <c r="W678" s="2">
        <f t="shared" si="31"/>
        <v>2</v>
      </c>
      <c r="X678">
        <f t="shared" si="32"/>
        <v>2</v>
      </c>
      <c r="Y678" s="2" t="s">
        <v>4096</v>
      </c>
    </row>
    <row r="679" spans="1:25">
      <c r="A679" s="2" t="s">
        <v>3189</v>
      </c>
      <c r="B679" s="2" t="s">
        <v>3190</v>
      </c>
      <c r="C679" s="2" t="s">
        <v>3191</v>
      </c>
      <c r="D679" s="2" t="s">
        <v>24</v>
      </c>
      <c r="E679" s="2" t="s">
        <v>53</v>
      </c>
      <c r="F679" s="2" t="s">
        <v>115</v>
      </c>
      <c r="G679" s="2" t="s">
        <v>62</v>
      </c>
      <c r="H679" s="2" t="s">
        <v>229</v>
      </c>
      <c r="I679" s="2" t="s">
        <v>230</v>
      </c>
      <c r="J679" s="2" t="s">
        <v>45</v>
      </c>
      <c r="K679" s="2" t="s">
        <v>76</v>
      </c>
      <c r="L679" s="2" t="s">
        <v>3192</v>
      </c>
      <c r="M679" s="2" t="s">
        <v>48</v>
      </c>
      <c r="N679" s="2">
        <v>7</v>
      </c>
      <c r="O679" s="2">
        <v>2623.48</v>
      </c>
      <c r="P679" s="2">
        <v>0</v>
      </c>
      <c r="Q679" s="2">
        <v>18364.36</v>
      </c>
      <c r="R679" s="2">
        <v>15445.81</v>
      </c>
      <c r="S679" s="2">
        <v>2918.55</v>
      </c>
      <c r="T679" s="2" t="s">
        <v>34</v>
      </c>
      <c r="U679" s="2" t="s">
        <v>35</v>
      </c>
      <c r="V679" s="2" t="str">
        <f t="shared" si="30"/>
        <v>ORD-2024-106782024-06-2227-06-2024CUST-4655Isha NairHome OfficeSouthKarnatakaBengaluruFurnitureChairsSmart Chairs 610Same Day72623.48018364.3615445.812918.55PaidCompleted</v>
      </c>
      <c r="W679" s="2">
        <f t="shared" si="31"/>
        <v>1</v>
      </c>
      <c r="X679">
        <f t="shared" si="32"/>
        <v>1</v>
      </c>
    </row>
    <row r="680" spans="1:25">
      <c r="A680" s="2" t="s">
        <v>3193</v>
      </c>
      <c r="B680" s="2" t="s">
        <v>3194</v>
      </c>
      <c r="C680" s="2" t="s">
        <v>3195</v>
      </c>
      <c r="D680" s="2" t="s">
        <v>3196</v>
      </c>
      <c r="E680" s="2" t="s">
        <v>366</v>
      </c>
      <c r="F680" s="2" t="s">
        <v>108</v>
      </c>
      <c r="G680" s="2" t="s">
        <v>62</v>
      </c>
      <c r="H680" s="2" t="s">
        <v>229</v>
      </c>
      <c r="I680" s="2" t="s">
        <v>230</v>
      </c>
      <c r="J680" s="2" t="s">
        <v>45</v>
      </c>
      <c r="K680" s="2" t="s">
        <v>46</v>
      </c>
      <c r="L680" s="2" t="s">
        <v>3197</v>
      </c>
      <c r="M680" s="2" t="s">
        <v>33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34</v>
      </c>
      <c r="U680" s="2" t="s">
        <v>35</v>
      </c>
      <c r="V680" s="2" t="str">
        <f t="shared" si="30"/>
        <v>ORD-2024-1067924-11-202412/01/2024CUST-1674Kabir SinghCorporateSouthKarnatakaBengaluruFurnitureTablesPrime Tables 123Second Class92763.610.1521141.6211676.339465.29PaidCompleted</v>
      </c>
      <c r="W680" s="2">
        <f t="shared" si="31"/>
        <v>1</v>
      </c>
      <c r="X680">
        <f t="shared" si="32"/>
        <v>1</v>
      </c>
    </row>
    <row r="681" spans="1:25">
      <c r="A681" s="2" t="s">
        <v>3198</v>
      </c>
      <c r="B681" s="2" t="s">
        <v>3199</v>
      </c>
      <c r="C681" s="2" t="s">
        <v>640</v>
      </c>
      <c r="D681" s="2" t="s">
        <v>3200</v>
      </c>
      <c r="E681" s="2" t="s">
        <v>180</v>
      </c>
      <c r="F681" s="2" t="s">
        <v>108</v>
      </c>
      <c r="G681" s="2" t="s">
        <v>27</v>
      </c>
      <c r="H681" s="2" t="s">
        <v>154</v>
      </c>
      <c r="I681" s="2" t="s">
        <v>155</v>
      </c>
      <c r="J681" s="2" t="s">
        <v>86</v>
      </c>
      <c r="K681" s="2" t="s">
        <v>94</v>
      </c>
      <c r="L681" s="2" t="s">
        <v>3201</v>
      </c>
      <c r="M681" s="2" t="s">
        <v>48</v>
      </c>
      <c r="N681" s="2">
        <v>4</v>
      </c>
      <c r="O681" s="2">
        <v>1410.57</v>
      </c>
      <c r="P681" s="2" t="s">
        <v>681</v>
      </c>
      <c r="Q681" s="2">
        <v>5360.17</v>
      </c>
      <c r="R681" s="2">
        <v>3881.51</v>
      </c>
      <c r="S681" s="2">
        <v>1478.66</v>
      </c>
      <c r="T681" s="2" t="s">
        <v>124</v>
      </c>
      <c r="U681" s="2" t="s">
        <v>78</v>
      </c>
      <c r="V681" s="2" t="str">
        <f t="shared" si="30"/>
        <v>ORD-2025-1068016-08-202523-08-2025CUST-2897Rohan MehtaCorporateNorthPunjabLudhianaTechnologyCopiersSmart Copiers 579Same Day41410.5770%5360.173881.511478.66RefundedCancelled</v>
      </c>
      <c r="W681" s="2">
        <f t="shared" si="31"/>
        <v>1</v>
      </c>
      <c r="X681">
        <f t="shared" si="32"/>
        <v>1</v>
      </c>
    </row>
    <row r="682" spans="1:25">
      <c r="A682" s="2" t="s">
        <v>3202</v>
      </c>
      <c r="B682" s="2" t="s">
        <v>274</v>
      </c>
      <c r="C682" s="2" t="s">
        <v>577</v>
      </c>
      <c r="D682" s="2" t="s">
        <v>3203</v>
      </c>
      <c r="E682" s="2" t="s">
        <v>366</v>
      </c>
      <c r="F682" s="2" t="s">
        <v>108</v>
      </c>
      <c r="G682" s="2" t="s">
        <v>62</v>
      </c>
      <c r="H682" s="2" t="s">
        <v>339</v>
      </c>
      <c r="I682" s="2" t="s">
        <v>340</v>
      </c>
      <c r="J682" s="2" t="s">
        <v>86</v>
      </c>
      <c r="K682" s="2" t="s">
        <v>87</v>
      </c>
      <c r="L682" s="2" t="s">
        <v>3204</v>
      </c>
      <c r="M682" s="2" t="s">
        <v>56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34</v>
      </c>
      <c r="U682" s="2" t="s">
        <v>35</v>
      </c>
      <c r="V682" s="2" t="str">
        <f t="shared" si="30"/>
        <v>ORD-2024-1068129 May 202405 Jun 2024CUST-1136Kabir SinghCorporateSouthTamil NaduChennaiTechnologyAccessoriesEco Accessories 658First Class43700.24014800.9612048.392752.57PaidCompleted</v>
      </c>
      <c r="W682" s="2">
        <f t="shared" si="31"/>
        <v>1</v>
      </c>
      <c r="X682">
        <f t="shared" si="32"/>
        <v>1</v>
      </c>
    </row>
    <row r="683" spans="1:25">
      <c r="A683" s="2" t="s">
        <v>3205</v>
      </c>
      <c r="B683" s="2" t="s">
        <v>3206</v>
      </c>
      <c r="C683" s="2" t="s">
        <v>3207</v>
      </c>
      <c r="D683" s="2" t="s">
        <v>3208</v>
      </c>
      <c r="E683" s="2" t="s">
        <v>83</v>
      </c>
      <c r="F683" s="2" t="s">
        <v>108</v>
      </c>
      <c r="G683" s="2" t="s">
        <v>27</v>
      </c>
      <c r="H683" s="2" t="s">
        <v>506</v>
      </c>
      <c r="I683" s="2" t="s">
        <v>507</v>
      </c>
      <c r="J683" s="2" t="s">
        <v>45</v>
      </c>
      <c r="K683" s="2" t="s">
        <v>46</v>
      </c>
      <c r="L683" s="2" t="s">
        <v>3209</v>
      </c>
      <c r="M683" s="2" t="s">
        <v>33</v>
      </c>
      <c r="N683" s="2">
        <v>5</v>
      </c>
      <c r="O683" s="2">
        <v>1200.27</v>
      </c>
      <c r="P683" s="2">
        <v>0</v>
      </c>
      <c r="Q683" s="2">
        <v>6001.35</v>
      </c>
      <c r="R683" s="2">
        <v>4182.99</v>
      </c>
      <c r="S683" s="2">
        <v>1818.36</v>
      </c>
      <c r="T683" s="2" t="s">
        <v>34</v>
      </c>
      <c r="U683" s="2" t="s">
        <v>78</v>
      </c>
      <c r="V683" s="2" t="str">
        <f t="shared" si="30"/>
        <v>ORD-2024-1068207/04/20242024-07-10CUST-1376Vikram IyerCorporateNorthDelhiNew DelhiFurnitureTablesSmart Tables 777Second Class51200.2706001.354182.991818.36PaidCancelled</v>
      </c>
      <c r="W683" s="2">
        <f t="shared" si="31"/>
        <v>1</v>
      </c>
      <c r="X683">
        <f t="shared" si="32"/>
        <v>1</v>
      </c>
    </row>
    <row r="684" spans="1:25">
      <c r="A684" s="2" t="s">
        <v>3210</v>
      </c>
      <c r="B684" s="2" t="s">
        <v>344</v>
      </c>
      <c r="C684" s="2" t="s">
        <v>2883</v>
      </c>
      <c r="D684" s="2" t="s">
        <v>3211</v>
      </c>
      <c r="E684" s="2" t="s">
        <v>3212</v>
      </c>
      <c r="F684" s="2" t="s">
        <v>108</v>
      </c>
      <c r="G684" s="2" t="s">
        <v>27</v>
      </c>
      <c r="H684" s="2" t="s">
        <v>323</v>
      </c>
      <c r="I684" s="2" t="s">
        <v>324</v>
      </c>
      <c r="J684" s="2" t="s">
        <v>30</v>
      </c>
      <c r="K684" s="2" t="s">
        <v>156</v>
      </c>
      <c r="L684" s="2" t="s">
        <v>3213</v>
      </c>
      <c r="M684" s="2" t="s">
        <v>48</v>
      </c>
      <c r="N684" s="2">
        <v>3</v>
      </c>
      <c r="O684" s="2">
        <v>2590.7800000000002</v>
      </c>
      <c r="Q684" s="2">
        <v>7383.72</v>
      </c>
      <c r="R684" s="2">
        <v>4113.66</v>
      </c>
      <c r="S684" s="2">
        <v>3270.06</v>
      </c>
      <c r="T684" s="2" t="s">
        <v>34</v>
      </c>
      <c r="U684" s="2" t="s">
        <v>35</v>
      </c>
      <c r="V684" s="2" t="str">
        <f t="shared" si="30"/>
        <v>ORD-2025-1068305 Feb 202505-02-2025CUST-1553ananya raoCorporateNorthHaryanaGurugramOffice SuppliesStorageEco Storage 861Same Day32590.787383.724113.663270.06PaidCompleted</v>
      </c>
      <c r="W684" s="2">
        <f t="shared" si="31"/>
        <v>1</v>
      </c>
      <c r="X684">
        <f t="shared" si="32"/>
        <v>1</v>
      </c>
    </row>
    <row r="685" spans="1:25">
      <c r="A685" s="2" t="s">
        <v>3214</v>
      </c>
      <c r="B685" s="2" t="s">
        <v>3215</v>
      </c>
      <c r="C685" s="2" t="s">
        <v>1729</v>
      </c>
      <c r="D685" s="2" t="s">
        <v>3216</v>
      </c>
      <c r="E685" s="2" t="s">
        <v>61</v>
      </c>
      <c r="F685" s="2" t="s">
        <v>41</v>
      </c>
      <c r="G685" s="2" t="s">
        <v>62</v>
      </c>
      <c r="H685" s="2" t="s">
        <v>63</v>
      </c>
      <c r="I685" s="2" t="s">
        <v>64</v>
      </c>
      <c r="J685" s="2" t="s">
        <v>45</v>
      </c>
      <c r="K685" s="2" t="s">
        <v>65</v>
      </c>
      <c r="L685" s="2" t="s">
        <v>3217</v>
      </c>
      <c r="M685" s="2" t="s">
        <v>33</v>
      </c>
      <c r="N685" s="2">
        <v>6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2390.9299999999998</v>
      </c>
      <c r="T685" s="2" t="s">
        <v>124</v>
      </c>
      <c r="U685" s="2" t="s">
        <v>78</v>
      </c>
      <c r="V685" s="2" t="str">
        <f t="shared" si="30"/>
        <v>ORD-2025-106842025-07-2024-07-2025CUST-5704Arjun BoseSmall BusinessSouthTelanganaHyderabadFurnitureFurnishingsEco Furnishings 875Second Class61646.450.27902.965512.032390.93RefundedCancelled</v>
      </c>
      <c r="W685" s="2">
        <f t="shared" si="31"/>
        <v>1</v>
      </c>
      <c r="X685">
        <f t="shared" si="32"/>
        <v>1</v>
      </c>
    </row>
    <row r="686" spans="1:25">
      <c r="A686" s="2" t="s">
        <v>3218</v>
      </c>
      <c r="B686" s="2" t="s">
        <v>3219</v>
      </c>
      <c r="C686" s="2" t="s">
        <v>494</v>
      </c>
      <c r="D686" s="2" t="s">
        <v>3220</v>
      </c>
      <c r="E686" s="2" t="s">
        <v>53</v>
      </c>
      <c r="F686" s="2" t="s">
        <v>115</v>
      </c>
      <c r="G686" s="2" t="s">
        <v>62</v>
      </c>
      <c r="H686" s="2" t="s">
        <v>339</v>
      </c>
      <c r="I686" s="2" t="s">
        <v>340</v>
      </c>
      <c r="J686" s="2" t="s">
        <v>45</v>
      </c>
      <c r="K686" s="2" t="s">
        <v>204</v>
      </c>
      <c r="L686" s="2" t="s">
        <v>3221</v>
      </c>
      <c r="M686" s="2" t="s">
        <v>56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124</v>
      </c>
      <c r="U686" s="2" t="s">
        <v>78</v>
      </c>
      <c r="V686" s="2" t="str">
        <f t="shared" si="30"/>
        <v>ORD-2025-106852025-07-2121-07-2025CUST-6738Isha NairHome OfficeSouthTamil NaduChennaiFurnitureBookcasesPrime Bookcases 784First Class74396.650.224621.2417155.487465.76RefundedCancelled</v>
      </c>
      <c r="W686" s="2">
        <f t="shared" si="31"/>
        <v>1</v>
      </c>
      <c r="X686">
        <f t="shared" si="32"/>
        <v>1</v>
      </c>
    </row>
    <row r="687" spans="1:25">
      <c r="A687" s="2" t="s">
        <v>3222</v>
      </c>
      <c r="B687" s="2" t="s">
        <v>3223</v>
      </c>
      <c r="C687" s="2" t="s">
        <v>499</v>
      </c>
      <c r="D687" s="2" t="s">
        <v>2734</v>
      </c>
      <c r="E687" s="2" t="s">
        <v>93</v>
      </c>
      <c r="F687" s="2" t="s">
        <v>108</v>
      </c>
      <c r="G687" s="2" t="s">
        <v>73</v>
      </c>
      <c r="H687" s="2" t="s">
        <v>249</v>
      </c>
      <c r="I687" s="2" t="s">
        <v>250</v>
      </c>
      <c r="J687" s="2" t="s">
        <v>30</v>
      </c>
      <c r="K687" s="2" t="s">
        <v>54</v>
      </c>
      <c r="L687" s="2" t="s">
        <v>3224</v>
      </c>
      <c r="M687" s="2" t="s">
        <v>67</v>
      </c>
      <c r="N687" s="2">
        <v>9</v>
      </c>
      <c r="O687" s="2">
        <v>818.15</v>
      </c>
      <c r="P687" s="2">
        <v>0.55000000000000004</v>
      </c>
      <c r="Q687" s="2">
        <v>6627.01</v>
      </c>
      <c r="R687" s="2">
        <v>5606.79</v>
      </c>
      <c r="S687" s="2">
        <v>1020.22</v>
      </c>
      <c r="T687" s="2" t="s">
        <v>200</v>
      </c>
      <c r="U687" s="2" t="s">
        <v>78</v>
      </c>
      <c r="V687" s="2" t="str">
        <f t="shared" si="30"/>
        <v>ORD-2025-1068601 Oct 20252025-10-03CUST-2586Neha GuptaCorporateWestGoaPanajiOffice SuppliesArtClassic Art 380Standard Class9818.150.556627.015606.791020.22FailedCancelled</v>
      </c>
      <c r="W687" s="2">
        <f t="shared" si="31"/>
        <v>1</v>
      </c>
      <c r="X687">
        <f t="shared" si="32"/>
        <v>1</v>
      </c>
    </row>
    <row r="688" spans="1:25">
      <c r="A688" s="2" t="s">
        <v>3225</v>
      </c>
      <c r="B688" s="2" t="s">
        <v>3226</v>
      </c>
      <c r="C688" s="2" t="s">
        <v>2170</v>
      </c>
      <c r="D688" s="2" t="s">
        <v>3227</v>
      </c>
      <c r="E688" s="2" t="s">
        <v>168</v>
      </c>
      <c r="F688" s="2" t="s">
        <v>115</v>
      </c>
      <c r="G688" s="2" t="s">
        <v>62</v>
      </c>
      <c r="H688" s="2" t="s">
        <v>339</v>
      </c>
      <c r="I688" s="2" t="s">
        <v>340</v>
      </c>
      <c r="J688" s="2" t="s">
        <v>86</v>
      </c>
      <c r="K688" s="2" t="s">
        <v>94</v>
      </c>
      <c r="L688" s="2" t="s">
        <v>3228</v>
      </c>
      <c r="M688" s="2" t="s">
        <v>67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34</v>
      </c>
      <c r="U688" s="2" t="s">
        <v>35</v>
      </c>
      <c r="V688" s="2" t="str">
        <f t="shared" si="30"/>
        <v>ORD-2024-1068725-03-202404/02/2024CUST-3127Sneha KapoorHome OfficeSouthTamil NaduChennaiTechnologyCopiersPro Copiers 502Standard Class22349.1304698.262654.922043.34PaidCompleted</v>
      </c>
      <c r="W688" s="2">
        <f t="shared" si="31"/>
        <v>1</v>
      </c>
      <c r="X688">
        <f t="shared" si="32"/>
        <v>1</v>
      </c>
    </row>
    <row r="689" spans="1:25">
      <c r="A689" s="2" t="s">
        <v>3229</v>
      </c>
      <c r="B689" s="2" t="s">
        <v>1191</v>
      </c>
      <c r="C689" s="2" t="s">
        <v>3230</v>
      </c>
      <c r="D689" s="2" t="s">
        <v>3231</v>
      </c>
      <c r="E689" s="2" t="s">
        <v>40</v>
      </c>
      <c r="F689" s="2" t="s">
        <v>115</v>
      </c>
      <c r="G689" s="2" t="s">
        <v>27</v>
      </c>
      <c r="H689" s="2" t="s">
        <v>154</v>
      </c>
      <c r="I689" s="2" t="s">
        <v>155</v>
      </c>
      <c r="J689" s="2" t="s">
        <v>45</v>
      </c>
      <c r="K689" s="2" t="s">
        <v>46</v>
      </c>
      <c r="L689" s="2" t="s">
        <v>3232</v>
      </c>
      <c r="M689" s="2" t="s">
        <v>56</v>
      </c>
      <c r="N689" s="2">
        <v>4</v>
      </c>
      <c r="O689" s="2">
        <v>172.05</v>
      </c>
      <c r="P689" s="2">
        <v>0</v>
      </c>
      <c r="Q689" s="2">
        <v>688.2</v>
      </c>
      <c r="R689" s="2">
        <v>497.68</v>
      </c>
      <c r="S689" s="2">
        <v>190.52</v>
      </c>
      <c r="T689" s="2" t="s">
        <v>200</v>
      </c>
      <c r="U689" s="2" t="s">
        <v>78</v>
      </c>
      <c r="V689" s="2" t="str">
        <f t="shared" si="30"/>
        <v>ORD-2025-1068808 Oct 202513-10-2025CUST-9347Mira DasHome OfficeNorthPunjabLudhianaFurnitureTablesPrime Tables 604First Class4172.050688.2497.68190.52FailedCancelled</v>
      </c>
      <c r="W689" s="2">
        <f t="shared" si="31"/>
        <v>1</v>
      </c>
      <c r="X689">
        <f t="shared" si="32"/>
        <v>1</v>
      </c>
    </row>
    <row r="690" spans="1:25">
      <c r="A690" s="2" t="s">
        <v>3233</v>
      </c>
      <c r="B690" s="2" t="s">
        <v>1162</v>
      </c>
      <c r="C690" s="2" t="s">
        <v>3234</v>
      </c>
      <c r="D690" s="2" t="s">
        <v>3235</v>
      </c>
      <c r="E690" s="2" t="s">
        <v>93</v>
      </c>
      <c r="F690" s="2" t="s">
        <v>115</v>
      </c>
      <c r="G690" s="2" t="s">
        <v>27</v>
      </c>
      <c r="H690" s="2" t="s">
        <v>323</v>
      </c>
      <c r="I690" s="2" t="s">
        <v>324</v>
      </c>
      <c r="J690" s="2" t="s">
        <v>30</v>
      </c>
      <c r="K690" s="2" t="s">
        <v>54</v>
      </c>
      <c r="L690" s="2" t="s">
        <v>3236</v>
      </c>
      <c r="M690" s="2" t="s">
        <v>33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34</v>
      </c>
      <c r="U690" s="2" t="s">
        <v>35</v>
      </c>
      <c r="V690" s="2" t="str">
        <f t="shared" si="30"/>
        <v>ORD-2025-1068926 Feb 202527 Feb 2025CUST-8575Neha GuptaHome OfficeNorthHaryanaGurugramOffice SuppliesArtBasic Art 798Second Class63037.660.1515492.0712581.232910.84PaidCompleted</v>
      </c>
      <c r="W690" s="2">
        <f t="shared" si="31"/>
        <v>1</v>
      </c>
      <c r="X690">
        <f t="shared" si="32"/>
        <v>1</v>
      </c>
    </row>
    <row r="691" spans="1:25">
      <c r="A691" s="2" t="s">
        <v>3237</v>
      </c>
      <c r="B691" s="2" t="s">
        <v>3238</v>
      </c>
      <c r="C691" s="2" t="s">
        <v>3239</v>
      </c>
      <c r="D691" s="2" t="s">
        <v>3240</v>
      </c>
      <c r="E691" s="2" t="s">
        <v>180</v>
      </c>
      <c r="F691" s="2" t="s">
        <v>41</v>
      </c>
      <c r="G691" s="2" t="s">
        <v>27</v>
      </c>
      <c r="H691" s="2" t="s">
        <v>154</v>
      </c>
      <c r="I691" s="2" t="s">
        <v>155</v>
      </c>
      <c r="J691" s="2" t="s">
        <v>45</v>
      </c>
      <c r="K691" s="2" t="s">
        <v>46</v>
      </c>
      <c r="L691" s="2" t="s">
        <v>3241</v>
      </c>
      <c r="M691" s="2" t="s">
        <v>67</v>
      </c>
      <c r="N691" s="2">
        <v>9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200</v>
      </c>
      <c r="U691" s="2" t="s">
        <v>78</v>
      </c>
      <c r="V691" s="2" t="str">
        <f t="shared" si="30"/>
        <v>ORD-2024-1069005-10-202406 Oct 2024CUST-4382Rohan MehtaSmall BusinessNorthPunjabLudhianaFurnitureTablesElite Tables 717Standard Class9489.580.153745.292302.651442.64FailedCancelled</v>
      </c>
      <c r="W691" s="2">
        <f t="shared" si="31"/>
        <v>1</v>
      </c>
      <c r="X691">
        <f t="shared" si="32"/>
        <v>1</v>
      </c>
    </row>
    <row r="692" spans="1:25">
      <c r="A692" s="2" t="s">
        <v>3242</v>
      </c>
      <c r="B692" s="2" t="s">
        <v>877</v>
      </c>
      <c r="C692" s="2" t="s">
        <v>3243</v>
      </c>
      <c r="D692" s="2" t="s">
        <v>3244</v>
      </c>
      <c r="E692" s="2" t="s">
        <v>168</v>
      </c>
      <c r="F692" s="2" t="s">
        <v>108</v>
      </c>
      <c r="G692" s="2" t="s">
        <v>62</v>
      </c>
      <c r="H692" s="2" t="s">
        <v>339</v>
      </c>
      <c r="I692" s="2" t="s">
        <v>340</v>
      </c>
      <c r="J692" s="2" t="s">
        <v>30</v>
      </c>
      <c r="K692" s="2" t="s">
        <v>54</v>
      </c>
      <c r="L692" s="2" t="s">
        <v>3245</v>
      </c>
      <c r="M692" s="2" t="s">
        <v>67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200</v>
      </c>
      <c r="U692" s="2" t="s">
        <v>125</v>
      </c>
      <c r="V692" s="2" t="str">
        <f t="shared" si="30"/>
        <v>ORD-2024-1069109/11/20242024-09-15CUST-6815Sneha KapoorCorporateSouthTamil NaduChennaiOffice SuppliesArtMax Art 725Standard Class4865.6303462.522797.29665.23FailedReturned</v>
      </c>
      <c r="W692" s="2">
        <f t="shared" si="31"/>
        <v>1</v>
      </c>
      <c r="X692">
        <f t="shared" si="32"/>
        <v>1</v>
      </c>
    </row>
    <row r="693" spans="1:25">
      <c r="A693" s="2" t="s">
        <v>3246</v>
      </c>
      <c r="B693" s="2" t="s">
        <v>2461</v>
      </c>
      <c r="C693" s="2" t="s">
        <v>3247</v>
      </c>
      <c r="D693" s="2" t="s">
        <v>3248</v>
      </c>
      <c r="E693" s="2" t="s">
        <v>180</v>
      </c>
      <c r="F693" s="2" t="s">
        <v>26</v>
      </c>
      <c r="G693" s="2" t="s">
        <v>42</v>
      </c>
      <c r="H693" s="2" t="s">
        <v>43</v>
      </c>
      <c r="I693" s="2" t="s">
        <v>44</v>
      </c>
      <c r="J693" s="2" t="s">
        <v>86</v>
      </c>
      <c r="K693" s="2" t="s">
        <v>94</v>
      </c>
      <c r="L693" s="2" t="s">
        <v>3249</v>
      </c>
      <c r="M693" s="2" t="s">
        <v>33</v>
      </c>
      <c r="N693" s="2">
        <v>6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34</v>
      </c>
      <c r="U693" s="2" t="s">
        <v>35</v>
      </c>
      <c r="V693" s="2" t="str">
        <f t="shared" si="30"/>
        <v>ORD-2024-1069215-12-202416-12-2024CUST-7309Rohan MehtaConsumerEastOdishaBhubaneswarTechnologyCopiersSmart Copiers 456Second Class61538.10.058767.175098.23668.97PaidCompleted</v>
      </c>
      <c r="W693" s="2">
        <f t="shared" si="31"/>
        <v>1</v>
      </c>
      <c r="X693">
        <f t="shared" si="32"/>
        <v>1</v>
      </c>
    </row>
    <row r="694" spans="1:25">
      <c r="A694" s="2" t="s">
        <v>3250</v>
      </c>
      <c r="B694" s="2" t="s">
        <v>227</v>
      </c>
      <c r="C694" s="2" t="s">
        <v>3251</v>
      </c>
      <c r="D694" s="2" t="s">
        <v>3252</v>
      </c>
      <c r="E694" s="2" t="s">
        <v>53</v>
      </c>
      <c r="F694" s="2" t="s">
        <v>1781</v>
      </c>
      <c r="G694" s="2" t="s">
        <v>62</v>
      </c>
      <c r="H694" s="2" t="s">
        <v>229</v>
      </c>
      <c r="I694" s="2" t="s">
        <v>230</v>
      </c>
      <c r="J694" s="2" t="s">
        <v>45</v>
      </c>
      <c r="K694" s="2" t="s">
        <v>65</v>
      </c>
      <c r="L694" s="2" t="s">
        <v>3253</v>
      </c>
      <c r="M694" s="2" t="s">
        <v>33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34</v>
      </c>
      <c r="U694" s="2" t="s">
        <v>35</v>
      </c>
      <c r="V694" s="2" t="str">
        <f t="shared" si="30"/>
        <v>ORD-2025-1069305-10-202510-10-2025CUST-9531Isha NaircorporateSouthKarnatakaBengaluruFurnitureFurnishingsPrime Furnishings 883Second Class42365.680.18516.455903.812612.64PaidCompleted</v>
      </c>
      <c r="W694" s="2">
        <f t="shared" si="31"/>
        <v>1</v>
      </c>
      <c r="X694">
        <f t="shared" si="32"/>
        <v>1</v>
      </c>
    </row>
    <row r="695" spans="1:25">
      <c r="A695" s="2" t="s">
        <v>3254</v>
      </c>
      <c r="B695" s="2" t="s">
        <v>3255</v>
      </c>
      <c r="C695" s="2" t="s">
        <v>2498</v>
      </c>
      <c r="D695" s="2" t="s">
        <v>3256</v>
      </c>
      <c r="E695" s="2" t="s">
        <v>61</v>
      </c>
      <c r="F695" s="2" t="s">
        <v>26</v>
      </c>
      <c r="G695" s="2" t="s">
        <v>62</v>
      </c>
      <c r="H695" s="2" t="s">
        <v>339</v>
      </c>
      <c r="I695" s="2" t="s">
        <v>340</v>
      </c>
      <c r="J695" s="2" t="s">
        <v>45</v>
      </c>
      <c r="K695" s="2" t="s">
        <v>204</v>
      </c>
      <c r="L695" s="2" t="s">
        <v>3257</v>
      </c>
      <c r="M695" s="2" t="s">
        <v>33</v>
      </c>
      <c r="N695" s="2">
        <v>3</v>
      </c>
      <c r="O695" s="2">
        <v>4149.7700000000004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34</v>
      </c>
      <c r="U695" s="2" t="s">
        <v>35</v>
      </c>
      <c r="V695" s="2" t="str">
        <f t="shared" si="30"/>
        <v>ORD-2025-1069403-04-20252025-04-11CUST-6032Arjun BoseConsumerSouthTamil NaduChennaiFurnitureBookcasesSmart Bookcases 828Second Class34149.770.0511826.848035.963790.88PaidCompleted</v>
      </c>
      <c r="W695" s="2">
        <f t="shared" si="31"/>
        <v>1</v>
      </c>
      <c r="X695">
        <f t="shared" si="32"/>
        <v>1</v>
      </c>
    </row>
    <row r="696" spans="1:25">
      <c r="A696" s="2" t="s">
        <v>3258</v>
      </c>
      <c r="B696" s="2" t="s">
        <v>1730</v>
      </c>
      <c r="C696" s="2" t="s">
        <v>3079</v>
      </c>
      <c r="D696" s="2" t="s">
        <v>1738</v>
      </c>
      <c r="E696" s="2" t="s">
        <v>53</v>
      </c>
      <c r="F696" s="2" t="s">
        <v>26</v>
      </c>
      <c r="G696" s="2" t="s">
        <v>62</v>
      </c>
      <c r="H696" s="2" t="s">
        <v>100</v>
      </c>
      <c r="I696" s="2" t="s">
        <v>101</v>
      </c>
      <c r="J696" s="2" t="s">
        <v>30</v>
      </c>
      <c r="K696" s="2" t="s">
        <v>156</v>
      </c>
      <c r="L696" s="2" t="s">
        <v>3259</v>
      </c>
      <c r="M696" s="2" t="s">
        <v>56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34</v>
      </c>
      <c r="U696" s="2" t="s">
        <v>35</v>
      </c>
      <c r="V696" s="2" t="str">
        <f t="shared" si="30"/>
        <v>ORD-2025-1069501-08-202509-08-2025CUST-8025Isha NairConsumerSouthAndhra PradeshVijayawadaOffice SuppliesStorageClassic Storage 291First Class52736.240.1511629.029627.212001.81PaidCompleted</v>
      </c>
      <c r="W696" s="2">
        <f t="shared" si="31"/>
        <v>2</v>
      </c>
      <c r="X696">
        <f t="shared" si="32"/>
        <v>2</v>
      </c>
      <c r="Y696" s="2" t="s">
        <v>4096</v>
      </c>
    </row>
    <row r="697" spans="1:25">
      <c r="A697" s="2" t="s">
        <v>3260</v>
      </c>
      <c r="B697" s="2" t="s">
        <v>3261</v>
      </c>
      <c r="C697" s="2" t="s">
        <v>2105</v>
      </c>
      <c r="D697" s="2" t="s">
        <v>3262</v>
      </c>
      <c r="E697" s="2" t="s">
        <v>162</v>
      </c>
      <c r="F697" s="2" t="s">
        <v>26</v>
      </c>
      <c r="G697" s="2" t="s">
        <v>73</v>
      </c>
      <c r="H697" s="2" t="s">
        <v>84</v>
      </c>
      <c r="I697" s="2" t="s">
        <v>85</v>
      </c>
      <c r="J697" s="2" t="s">
        <v>86</v>
      </c>
      <c r="K697" s="2" t="s">
        <v>382</v>
      </c>
      <c r="L697" s="2" t="s">
        <v>3263</v>
      </c>
      <c r="M697" s="2" t="s">
        <v>67</v>
      </c>
      <c r="N697" s="2">
        <v>4</v>
      </c>
      <c r="O697" s="2">
        <v>257.39</v>
      </c>
      <c r="P697" s="2">
        <v>0</v>
      </c>
      <c r="Q697" s="2">
        <v>1029.56</v>
      </c>
      <c r="R697" s="2">
        <v>626.33000000000004</v>
      </c>
      <c r="S697" s="2">
        <v>403.23</v>
      </c>
      <c r="T697" s="2" t="s">
        <v>34</v>
      </c>
      <c r="U697" s="2" t="s">
        <v>35</v>
      </c>
      <c r="V697" s="2" t="str">
        <f t="shared" si="30"/>
        <v>ORD-2024-106962024-07-0101-07-2024CUST-6257Aarav SharmaConsumerWestMadhya PradeshIndoreTechnologyMachinesPrime Machines 102Standard Class4257.3901029.56626.33403.23PaidCompleted</v>
      </c>
      <c r="W697" s="2">
        <f t="shared" si="31"/>
        <v>1</v>
      </c>
      <c r="X697">
        <f t="shared" si="32"/>
        <v>1</v>
      </c>
    </row>
    <row r="698" spans="1:25">
      <c r="A698" s="2" t="s">
        <v>3264</v>
      </c>
      <c r="B698" s="2" t="s">
        <v>3265</v>
      </c>
      <c r="C698" s="2" t="s">
        <v>3266</v>
      </c>
      <c r="D698" s="2" t="s">
        <v>3267</v>
      </c>
      <c r="E698" s="2" t="s">
        <v>53</v>
      </c>
      <c r="F698" s="2" t="s">
        <v>41</v>
      </c>
      <c r="G698" s="2" t="s">
        <v>62</v>
      </c>
      <c r="H698" s="2" t="s">
        <v>242</v>
      </c>
      <c r="I698" s="2" t="s">
        <v>243</v>
      </c>
      <c r="J698" s="2" t="s">
        <v>86</v>
      </c>
      <c r="K698" s="2" t="s">
        <v>223</v>
      </c>
      <c r="L698" s="2" t="s">
        <v>3268</v>
      </c>
      <c r="N698" s="2">
        <v>4</v>
      </c>
      <c r="O698" s="2">
        <v>1178.8399999999999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34</v>
      </c>
      <c r="U698" s="2" t="s">
        <v>35</v>
      </c>
      <c r="V698" s="2" t="str">
        <f t="shared" si="30"/>
        <v>ORD-2025-1069722 Sep 202525 Sep 2025CUST-7812Isha NairSmall BusinessSouthKeralaKochiTechnologyPhonesClassic Phones 84241178.840.253536.522102.411363.28PaidCompleted</v>
      </c>
      <c r="W698" s="2">
        <f t="shared" si="31"/>
        <v>1</v>
      </c>
      <c r="X698">
        <f t="shared" si="32"/>
        <v>1</v>
      </c>
    </row>
    <row r="699" spans="1:25">
      <c r="A699" s="2" t="s">
        <v>3269</v>
      </c>
      <c r="B699" s="2" t="s">
        <v>2323</v>
      </c>
      <c r="C699" s="2" t="s">
        <v>787</v>
      </c>
      <c r="D699" s="2" t="s">
        <v>3270</v>
      </c>
      <c r="E699" s="2" t="s">
        <v>61</v>
      </c>
      <c r="F699" s="2" t="s">
        <v>108</v>
      </c>
      <c r="G699" s="2" t="s">
        <v>62</v>
      </c>
      <c r="H699" s="2" t="s">
        <v>100</v>
      </c>
      <c r="I699" s="2" t="s">
        <v>101</v>
      </c>
      <c r="J699" s="2" t="s">
        <v>30</v>
      </c>
      <c r="K699" s="2" t="s">
        <v>109</v>
      </c>
      <c r="L699" s="2" t="s">
        <v>3271</v>
      </c>
      <c r="M699" s="2" t="s">
        <v>56</v>
      </c>
      <c r="N699" s="2">
        <v>7</v>
      </c>
      <c r="O699" s="2">
        <v>567.15</v>
      </c>
      <c r="Q699" s="2">
        <v>2977.54</v>
      </c>
      <c r="R699" s="2">
        <v>1849.3</v>
      </c>
      <c r="S699" s="2">
        <v>1128.24</v>
      </c>
      <c r="T699" s="2" t="s">
        <v>124</v>
      </c>
      <c r="U699" s="2" t="s">
        <v>125</v>
      </c>
      <c r="V699" s="2" t="str">
        <f t="shared" si="30"/>
        <v>ORD-2025-1069803/01/202507-03-2025CUST-6205Arjun BoseCorporateSouthAndhra PradeshVijayawadaOffice SuppliesLabelsMax Labels 970First Class7567.152977.541849.31128.24RefundedReturned</v>
      </c>
      <c r="W699" s="2">
        <f t="shared" si="31"/>
        <v>1</v>
      </c>
      <c r="X699">
        <f t="shared" si="32"/>
        <v>1</v>
      </c>
    </row>
    <row r="700" spans="1:25">
      <c r="A700" s="2" t="s">
        <v>3272</v>
      </c>
      <c r="B700" s="2" t="s">
        <v>3273</v>
      </c>
      <c r="C700" s="2" t="s">
        <v>1741</v>
      </c>
      <c r="D700" s="2" t="s">
        <v>3274</v>
      </c>
      <c r="E700" s="2" t="s">
        <v>40</v>
      </c>
      <c r="F700" s="2" t="s">
        <v>108</v>
      </c>
      <c r="G700" s="2" t="s">
        <v>27</v>
      </c>
      <c r="H700" s="2" t="s">
        <v>28</v>
      </c>
      <c r="I700" s="2" t="s">
        <v>29</v>
      </c>
      <c r="J700" s="2" t="s">
        <v>86</v>
      </c>
      <c r="K700" s="2" t="s">
        <v>382</v>
      </c>
      <c r="L700" s="2" t="s">
        <v>3275</v>
      </c>
      <c r="M700" s="2" t="s">
        <v>67</v>
      </c>
      <c r="N700" s="2">
        <v>8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34</v>
      </c>
      <c r="U700" s="2" t="s">
        <v>125</v>
      </c>
      <c r="V700" s="2" t="str">
        <f t="shared" si="30"/>
        <v>ORD-2024-1069914-09-20242024-09-14CUST-5357Mira DasCorporateNorthRajasthanJaipurTechnologyMachinesClassic Machines 648Standard Class84081.660.1528208.123751.914003.38PaidReturned</v>
      </c>
      <c r="W700" s="2">
        <f t="shared" si="31"/>
        <v>1</v>
      </c>
      <c r="X700">
        <f t="shared" si="32"/>
        <v>1</v>
      </c>
    </row>
    <row r="701" spans="1:25">
      <c r="A701" s="2" t="s">
        <v>3276</v>
      </c>
      <c r="B701" s="2" t="s">
        <v>3277</v>
      </c>
      <c r="C701" s="2" t="s">
        <v>3278</v>
      </c>
      <c r="D701" s="2" t="s">
        <v>3279</v>
      </c>
      <c r="E701" s="2" t="s">
        <v>61</v>
      </c>
      <c r="F701" s="2" t="s">
        <v>41</v>
      </c>
      <c r="G701" s="2" t="s">
        <v>62</v>
      </c>
      <c r="H701" s="2" t="s">
        <v>229</v>
      </c>
      <c r="I701" s="2" t="s">
        <v>230</v>
      </c>
      <c r="J701" s="2" t="s">
        <v>45</v>
      </c>
      <c r="K701" s="2" t="s">
        <v>204</v>
      </c>
      <c r="L701" s="2" t="s">
        <v>3280</v>
      </c>
      <c r="M701" s="2" t="s">
        <v>67</v>
      </c>
      <c r="N701" s="2">
        <v>9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34</v>
      </c>
      <c r="U701" s="2" t="s">
        <v>35</v>
      </c>
      <c r="V701" s="2" t="str">
        <f t="shared" si="30"/>
        <v>ORD-2024-107002024-06-1111 Jun 2024CUST-9802Arjun BoseSmall BusinessSouthKarnatakaBengaluruFurnitureBookcasesMax Bookcases 565Standard Class91400.110.259450.747798.561652.18PaidCompleted</v>
      </c>
      <c r="W701" s="2">
        <f t="shared" si="31"/>
        <v>1</v>
      </c>
      <c r="X701">
        <f t="shared" si="32"/>
        <v>1</v>
      </c>
    </row>
    <row r="702" spans="1:25">
      <c r="A702" s="2" t="s">
        <v>3281</v>
      </c>
      <c r="B702" s="2" t="s">
        <v>3282</v>
      </c>
      <c r="C702" s="2" t="s">
        <v>1134</v>
      </c>
      <c r="D702" s="2" t="s">
        <v>3283</v>
      </c>
      <c r="E702" s="2" t="s">
        <v>93</v>
      </c>
      <c r="F702" s="2" t="s">
        <v>108</v>
      </c>
      <c r="G702" s="2" t="s">
        <v>42</v>
      </c>
      <c r="H702" s="2" t="s">
        <v>121</v>
      </c>
      <c r="I702" s="2" t="s">
        <v>122</v>
      </c>
      <c r="J702" s="2" t="s">
        <v>86</v>
      </c>
      <c r="K702" s="2" t="s">
        <v>382</v>
      </c>
      <c r="L702" s="2" t="s">
        <v>3284</v>
      </c>
      <c r="M702" s="2" t="s">
        <v>67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34</v>
      </c>
      <c r="U702" s="2" t="s">
        <v>35</v>
      </c>
      <c r="V702" s="2" t="str">
        <f t="shared" si="30"/>
        <v>ORD-2024-1070118-09-202409/21/2024CUST-5646Neha GuptaCorporateEastWest BengalKolkataTechnologyMachinesBasic Machines 220Standard Class33055.90.157792.554691.733100.82PaidCompleted</v>
      </c>
      <c r="W702" s="2">
        <f t="shared" si="31"/>
        <v>1</v>
      </c>
      <c r="X702">
        <f t="shared" si="32"/>
        <v>1</v>
      </c>
    </row>
    <row r="703" spans="1:25">
      <c r="A703" s="2" t="s">
        <v>3285</v>
      </c>
      <c r="B703" s="2" t="s">
        <v>1622</v>
      </c>
      <c r="C703" s="2" t="s">
        <v>1293</v>
      </c>
      <c r="D703" s="2" t="s">
        <v>3286</v>
      </c>
      <c r="E703" s="2" t="s">
        <v>180</v>
      </c>
      <c r="F703" s="2" t="s">
        <v>41</v>
      </c>
      <c r="G703" s="2" t="s">
        <v>73</v>
      </c>
      <c r="H703" s="2" t="s">
        <v>235</v>
      </c>
      <c r="I703" s="2" t="s">
        <v>236</v>
      </c>
      <c r="J703" s="2" t="s">
        <v>30</v>
      </c>
      <c r="K703" s="2" t="s">
        <v>54</v>
      </c>
      <c r="L703" s="2" t="s">
        <v>3287</v>
      </c>
      <c r="M703" s="2" t="s">
        <v>48</v>
      </c>
      <c r="N703" s="2">
        <v>7</v>
      </c>
      <c r="O703" s="2">
        <v>1224.94</v>
      </c>
      <c r="P703" s="2">
        <v>0</v>
      </c>
      <c r="Q703" s="2">
        <v>8574.58</v>
      </c>
      <c r="R703" s="2">
        <v>6685.81</v>
      </c>
      <c r="S703" s="2">
        <v>1888.77</v>
      </c>
      <c r="T703" s="2" t="s">
        <v>34</v>
      </c>
      <c r="U703" s="2" t="s">
        <v>125</v>
      </c>
      <c r="V703" s="2" t="str">
        <f t="shared" si="30"/>
        <v>ORD-2024-1070230-04-202404 May 2024CUST-7171Rohan MehtaSmall BusinessWestGujaratAhmedabadOffice SuppliesArtPro Art 151Same Day71224.9408574.586685.811888.77PaidReturned</v>
      </c>
      <c r="W703" s="2">
        <f t="shared" si="31"/>
        <v>1</v>
      </c>
      <c r="X703">
        <f t="shared" si="32"/>
        <v>1</v>
      </c>
    </row>
    <row r="704" spans="1:25">
      <c r="A704" s="2" t="s">
        <v>3288</v>
      </c>
      <c r="B704" s="2" t="s">
        <v>3289</v>
      </c>
      <c r="C704" s="2" t="s">
        <v>2884</v>
      </c>
      <c r="D704" s="2" t="s">
        <v>3290</v>
      </c>
      <c r="E704" s="2" t="s">
        <v>25</v>
      </c>
      <c r="F704" s="2" t="s">
        <v>41</v>
      </c>
      <c r="G704" s="2" t="s">
        <v>73</v>
      </c>
      <c r="H704" s="2" t="s">
        <v>28</v>
      </c>
      <c r="I704" s="2" t="s">
        <v>135</v>
      </c>
      <c r="J704" s="2" t="s">
        <v>45</v>
      </c>
      <c r="K704" s="2" t="s">
        <v>46</v>
      </c>
      <c r="L704" s="2" t="s">
        <v>3291</v>
      </c>
      <c r="M704" s="2" t="s">
        <v>33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34</v>
      </c>
      <c r="U704" s="2" t="s">
        <v>35</v>
      </c>
      <c r="V704" s="2" t="str">
        <f t="shared" si="30"/>
        <v>ORD-2025-107032025-02-0202/06/2025CUST-5231Karan MalhotraSmall BusinessWestRajasthanUdaipurFurnitureTablesPro Tables 980Second Class3997.340.12692.821820.08872.74PaidCompleted</v>
      </c>
      <c r="W704" s="2">
        <f t="shared" si="31"/>
        <v>1</v>
      </c>
      <c r="X704">
        <f t="shared" si="32"/>
        <v>1</v>
      </c>
    </row>
    <row r="705" spans="1:25">
      <c r="A705" s="2" t="s">
        <v>3292</v>
      </c>
      <c r="B705" s="2" t="s">
        <v>3293</v>
      </c>
      <c r="C705" s="2" t="s">
        <v>2380</v>
      </c>
      <c r="D705" s="2" t="s">
        <v>3294</v>
      </c>
      <c r="E705" s="2" t="s">
        <v>107</v>
      </c>
      <c r="F705" s="2" t="s">
        <v>108</v>
      </c>
      <c r="G705" s="2" t="s">
        <v>27</v>
      </c>
      <c r="H705" s="2" t="s">
        <v>28</v>
      </c>
      <c r="I705" s="2" t="s">
        <v>29</v>
      </c>
      <c r="J705" s="2" t="s">
        <v>45</v>
      </c>
      <c r="K705" s="2" t="s">
        <v>46</v>
      </c>
      <c r="L705" s="2" t="s">
        <v>3295</v>
      </c>
      <c r="M705" s="2" t="s">
        <v>56</v>
      </c>
      <c r="N705" s="2">
        <v>1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34</v>
      </c>
      <c r="U705" s="2" t="s">
        <v>35</v>
      </c>
      <c r="V705" s="2" t="str">
        <f t="shared" si="30"/>
        <v>ORD-2024-1070419 Oct 20242024-10-20CUST-8734Aditi SenCorporateNorthRajasthanJaipurFurnitureTablesClassic Tables 997First Class11150.030.11035.03854.35180.68PaidCompleted</v>
      </c>
      <c r="W705" s="2">
        <f t="shared" si="31"/>
        <v>1</v>
      </c>
      <c r="X705">
        <f t="shared" si="32"/>
        <v>1</v>
      </c>
    </row>
    <row r="706" spans="1:25">
      <c r="A706" s="2" t="s">
        <v>3296</v>
      </c>
      <c r="B706" s="2" t="s">
        <v>1558</v>
      </c>
      <c r="C706" s="2" t="s">
        <v>3297</v>
      </c>
      <c r="D706" s="2" t="s">
        <v>3298</v>
      </c>
      <c r="E706" s="2" t="s">
        <v>142</v>
      </c>
      <c r="F706" s="2" t="s">
        <v>115</v>
      </c>
      <c r="G706" s="2" t="s">
        <v>62</v>
      </c>
      <c r="H706" s="2" t="s">
        <v>339</v>
      </c>
      <c r="I706" s="2" t="s">
        <v>340</v>
      </c>
      <c r="J706" s="2" t="s">
        <v>45</v>
      </c>
      <c r="K706" s="2" t="s">
        <v>204</v>
      </c>
      <c r="L706" s="2" t="s">
        <v>3299</v>
      </c>
      <c r="N706" s="2">
        <v>1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581.45000000000005</v>
      </c>
      <c r="T706" s="2" t="s">
        <v>34</v>
      </c>
      <c r="U706" s="2" t="s">
        <v>35</v>
      </c>
      <c r="V706" s="2" t="str">
        <f t="shared" si="30"/>
        <v>ORD-2024-107052024-03-1303/20/2024CUST-4916Priya MenonHome OfficeSouthTamil NaduChennaiFurnitureBookcasesMax Bookcases 73812825.630.152401.791820.34581.45PaidCompleted</v>
      </c>
      <c r="W706" s="2">
        <f t="shared" si="31"/>
        <v>2</v>
      </c>
      <c r="X706">
        <f t="shared" si="32"/>
        <v>2</v>
      </c>
      <c r="Y706" s="2" t="s">
        <v>4096</v>
      </c>
    </row>
    <row r="707" spans="1:25">
      <c r="A707" s="2" t="s">
        <v>3300</v>
      </c>
      <c r="B707" s="2" t="s">
        <v>3301</v>
      </c>
      <c r="C707" s="2" t="s">
        <v>3302</v>
      </c>
      <c r="D707" s="2" t="s">
        <v>3303</v>
      </c>
      <c r="E707" s="2" t="s">
        <v>180</v>
      </c>
      <c r="F707" s="2" t="s">
        <v>26</v>
      </c>
      <c r="G707" s="2" t="s">
        <v>27</v>
      </c>
      <c r="H707" s="2" t="s">
        <v>28</v>
      </c>
      <c r="I707" s="2" t="s">
        <v>29</v>
      </c>
      <c r="J707" s="2" t="s">
        <v>30</v>
      </c>
      <c r="K707" s="2" t="s">
        <v>198</v>
      </c>
      <c r="L707" s="2" t="s">
        <v>3304</v>
      </c>
      <c r="M707" s="2" t="s">
        <v>67</v>
      </c>
      <c r="N707" s="2">
        <v>5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34</v>
      </c>
      <c r="U707" s="2" t="s">
        <v>35</v>
      </c>
      <c r="V707" s="2" t="str">
        <f t="shared" ref="V707:V770" si="33">_xlfn.CONCAT(A707:U707)</f>
        <v>ORD-2024-1070608 Sep 202409/14/2024CUST-3289Rohan MehtaConsumerNorthRajasthanJaipurOffice SuppliesBindersMax Binders 411Standard Class53371.750.0516015.8111352.384663.43PaidCompleted</v>
      </c>
      <c r="W707" s="2">
        <f t="shared" ref="W707:W770" si="34">COUNTIF($V$2:$V$933,V707)</f>
        <v>1</v>
      </c>
      <c r="X707">
        <f t="shared" ref="X707:X770" si="35">COUNTIF($A$2:$A$933,A707)</f>
        <v>1</v>
      </c>
    </row>
    <row r="708" spans="1:25">
      <c r="A708" s="2" t="s">
        <v>3305</v>
      </c>
      <c r="B708" s="2" t="s">
        <v>3306</v>
      </c>
      <c r="C708" s="2" t="s">
        <v>1043</v>
      </c>
      <c r="D708" s="2" t="s">
        <v>3307</v>
      </c>
      <c r="E708" s="2" t="s">
        <v>53</v>
      </c>
      <c r="F708" s="2" t="s">
        <v>41</v>
      </c>
      <c r="G708" s="2" t="s">
        <v>42</v>
      </c>
      <c r="H708" s="2" t="s">
        <v>43</v>
      </c>
      <c r="I708" s="2" t="s">
        <v>44</v>
      </c>
      <c r="J708" s="2" t="s">
        <v>30</v>
      </c>
      <c r="K708" s="2" t="s">
        <v>31</v>
      </c>
      <c r="L708" s="2" t="s">
        <v>3308</v>
      </c>
      <c r="M708" s="2" t="s">
        <v>48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34</v>
      </c>
      <c r="U708" s="2" t="s">
        <v>35</v>
      </c>
      <c r="V708" s="2" t="str">
        <f t="shared" si="33"/>
        <v>ORD-2024-1070724-06-202428-06-2024CUST-4928Isha NairSmall BusinessEastOdishaBhubaneswarOffice SuppliesPaperMax Paper 343Same Day12112.750.11901.481354.28547.2PaidCompleted</v>
      </c>
      <c r="W708" s="2">
        <f t="shared" si="34"/>
        <v>1</v>
      </c>
      <c r="X708">
        <f t="shared" si="35"/>
        <v>1</v>
      </c>
    </row>
    <row r="709" spans="1:25">
      <c r="A709" s="2" t="s">
        <v>3309</v>
      </c>
      <c r="B709" s="2" t="s">
        <v>3310</v>
      </c>
      <c r="C709" s="2" t="s">
        <v>2371</v>
      </c>
      <c r="D709" s="2" t="s">
        <v>3311</v>
      </c>
      <c r="E709" s="2" t="s">
        <v>83</v>
      </c>
      <c r="F709" s="2" t="s">
        <v>26</v>
      </c>
      <c r="G709" s="2" t="s">
        <v>27</v>
      </c>
      <c r="H709" s="2" t="s">
        <v>28</v>
      </c>
      <c r="I709" s="2" t="s">
        <v>29</v>
      </c>
      <c r="J709" s="2" t="s">
        <v>86</v>
      </c>
      <c r="K709" s="2" t="s">
        <v>87</v>
      </c>
      <c r="L709" s="2" t="s">
        <v>3312</v>
      </c>
      <c r="M709" s="2" t="s">
        <v>48</v>
      </c>
      <c r="N709" s="2">
        <v>5</v>
      </c>
      <c r="O709" s="2">
        <v>3722.66</v>
      </c>
      <c r="P709" s="2">
        <v>0.55000000000000004</v>
      </c>
      <c r="Q709" s="2">
        <v>16751.97</v>
      </c>
      <c r="R709" s="2">
        <v>11678.32</v>
      </c>
      <c r="S709" s="2">
        <v>5073.6499999999996</v>
      </c>
      <c r="T709" s="2" t="s">
        <v>34</v>
      </c>
      <c r="U709" s="2" t="s">
        <v>35</v>
      </c>
      <c r="V709" s="2" t="str">
        <f t="shared" si="33"/>
        <v>ORD-2025-1070824-06-202506/26/2025CUST-4902Vikram IyerConsumerNorthRajasthanJaipurTechnologyAccessoriesPro Accessories 485Same Day53722.660.5516751.9711678.325073.65PaidCompleted</v>
      </c>
      <c r="W709" s="2">
        <f t="shared" si="34"/>
        <v>1</v>
      </c>
      <c r="X709">
        <f t="shared" si="35"/>
        <v>1</v>
      </c>
    </row>
    <row r="710" spans="1:25">
      <c r="A710" s="2" t="s">
        <v>3313</v>
      </c>
      <c r="B710" s="2" t="s">
        <v>3314</v>
      </c>
      <c r="C710" s="2" t="s">
        <v>3315</v>
      </c>
      <c r="D710" s="2" t="s">
        <v>3316</v>
      </c>
      <c r="E710" s="2" t="s">
        <v>168</v>
      </c>
      <c r="F710" s="2" t="s">
        <v>26</v>
      </c>
      <c r="G710" s="2" t="s">
        <v>42</v>
      </c>
      <c r="H710" s="2" t="s">
        <v>216</v>
      </c>
      <c r="I710" s="2" t="s">
        <v>217</v>
      </c>
      <c r="J710" s="2" t="s">
        <v>45</v>
      </c>
      <c r="K710" s="2" t="s">
        <v>204</v>
      </c>
      <c r="L710" s="2" t="s">
        <v>3317</v>
      </c>
      <c r="M710" s="2" t="s">
        <v>56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34</v>
      </c>
      <c r="U710" s="2" t="s">
        <v>35</v>
      </c>
      <c r="V710" s="2" t="str">
        <f t="shared" si="33"/>
        <v>ORD-2025-1070903/20/20252025-03-26CUST-6504Sneha KapoorConsumerEastAssamGuwahatiFurnitureBookcasesElite Bookcases 113First Class44357.660.0516559.1113233.793325.32PaidCompleted</v>
      </c>
      <c r="W710" s="2">
        <f t="shared" si="34"/>
        <v>1</v>
      </c>
      <c r="X710">
        <f t="shared" si="35"/>
        <v>1</v>
      </c>
    </row>
    <row r="711" spans="1:25">
      <c r="A711" s="2" t="s">
        <v>3318</v>
      </c>
      <c r="B711" s="2" t="s">
        <v>195</v>
      </c>
      <c r="C711" s="2" t="s">
        <v>184</v>
      </c>
      <c r="D711" s="2" t="s">
        <v>3319</v>
      </c>
      <c r="E711" s="2" t="s">
        <v>366</v>
      </c>
      <c r="F711" s="2" t="s">
        <v>115</v>
      </c>
      <c r="G711" s="2" t="s">
        <v>27</v>
      </c>
      <c r="H711" s="2" t="s">
        <v>154</v>
      </c>
      <c r="I711" s="2" t="s">
        <v>155</v>
      </c>
      <c r="J711" s="2" t="s">
        <v>86</v>
      </c>
      <c r="K711" s="2" t="s">
        <v>223</v>
      </c>
      <c r="L711" s="2" t="s">
        <v>3320</v>
      </c>
      <c r="M711" s="2" t="s">
        <v>48</v>
      </c>
      <c r="N711" s="2">
        <v>7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34</v>
      </c>
      <c r="U711" s="2" t="s">
        <v>78</v>
      </c>
      <c r="V711" s="2" t="str">
        <f t="shared" si="33"/>
        <v>ORD-2025-1071019 Jan 202523 Jan 2025CUST-8036Kabir SinghHome OfficeNorthPunjabLudhianaTechnologyPhonesEco Phones 787Same Day71363.040.158110.096417.321692.77PaidCancelled</v>
      </c>
      <c r="W711" s="2">
        <f t="shared" si="34"/>
        <v>1</v>
      </c>
      <c r="X711">
        <f t="shared" si="35"/>
        <v>1</v>
      </c>
    </row>
    <row r="712" spans="1:25">
      <c r="A712" s="2" t="s">
        <v>3321</v>
      </c>
      <c r="B712" s="2" t="s">
        <v>3322</v>
      </c>
      <c r="C712" s="2" t="s">
        <v>3323</v>
      </c>
      <c r="D712" s="2" t="s">
        <v>3324</v>
      </c>
      <c r="E712" s="2" t="s">
        <v>83</v>
      </c>
      <c r="F712" s="2" t="s">
        <v>108</v>
      </c>
      <c r="G712" s="2" t="s">
        <v>27</v>
      </c>
      <c r="H712" s="2" t="s">
        <v>154</v>
      </c>
      <c r="I712" s="2" t="s">
        <v>155</v>
      </c>
      <c r="J712" s="2" t="s">
        <v>30</v>
      </c>
      <c r="K712" s="2" t="s">
        <v>54</v>
      </c>
      <c r="L712" s="2" t="s">
        <v>3325</v>
      </c>
      <c r="M712" s="2" t="s">
        <v>33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34</v>
      </c>
      <c r="U712" s="2" t="s">
        <v>35</v>
      </c>
      <c r="V712" s="2" t="str">
        <f t="shared" si="33"/>
        <v>ORD-2024-1071107/12/202407/19/2024CUST-7199Vikram IyerCorporateNorthPunjabLudhianaOffice SuppliesArtSmart Art 279Second Class51559.160.057406.015941.741464.27PaidCompleted</v>
      </c>
      <c r="W712" s="2">
        <f t="shared" si="34"/>
        <v>1</v>
      </c>
      <c r="X712">
        <f t="shared" si="35"/>
        <v>1</v>
      </c>
    </row>
    <row r="713" spans="1:25">
      <c r="A713" s="2" t="s">
        <v>3326</v>
      </c>
      <c r="B713" s="2" t="s">
        <v>3327</v>
      </c>
      <c r="C713" s="2" t="s">
        <v>3289</v>
      </c>
      <c r="D713" s="2" t="s">
        <v>3328</v>
      </c>
      <c r="E713" s="2" t="s">
        <v>366</v>
      </c>
      <c r="F713" s="2" t="s">
        <v>108</v>
      </c>
      <c r="G713" s="2" t="s">
        <v>42</v>
      </c>
      <c r="H713" s="2" t="s">
        <v>121</v>
      </c>
      <c r="I713" s="2" t="s">
        <v>122</v>
      </c>
      <c r="J713" s="2" t="s">
        <v>86</v>
      </c>
      <c r="K713" s="2" t="s">
        <v>382</v>
      </c>
      <c r="L713" s="2" t="s">
        <v>3329</v>
      </c>
      <c r="M713" s="2" t="s">
        <v>56</v>
      </c>
      <c r="N713" s="2">
        <v>1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137</v>
      </c>
      <c r="U713" s="2" t="s">
        <v>125</v>
      </c>
      <c r="V713" s="2" t="str">
        <f t="shared" si="33"/>
        <v>ORD-2025-1071202-02-20252025-02-02CUST-6176Kabir SinghCorporateEastWest BengalKolkataTechnologyMachinesBasic Machines 172First Class14326.750.054110.412394.141716.27PendingReturned</v>
      </c>
      <c r="W713" s="2">
        <f t="shared" si="34"/>
        <v>1</v>
      </c>
      <c r="X713">
        <f t="shared" si="35"/>
        <v>1</v>
      </c>
    </row>
    <row r="714" spans="1:25">
      <c r="A714" s="2" t="s">
        <v>3330</v>
      </c>
      <c r="B714" s="2" t="s">
        <v>2129</v>
      </c>
      <c r="C714" s="2" t="s">
        <v>3331</v>
      </c>
      <c r="D714" s="2" t="s">
        <v>3332</v>
      </c>
      <c r="E714" s="2" t="s">
        <v>53</v>
      </c>
      <c r="F714" s="2" t="s">
        <v>115</v>
      </c>
      <c r="G714" s="2" t="s">
        <v>73</v>
      </c>
      <c r="H714" s="2" t="s">
        <v>84</v>
      </c>
      <c r="I714" s="2" t="s">
        <v>85</v>
      </c>
      <c r="J714" s="2" t="s">
        <v>45</v>
      </c>
      <c r="K714" s="2" t="s">
        <v>76</v>
      </c>
      <c r="L714" s="2" t="s">
        <v>3333</v>
      </c>
      <c r="M714" s="2" t="s">
        <v>56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34</v>
      </c>
      <c r="U714" s="2" t="s">
        <v>35</v>
      </c>
      <c r="V714" s="2" t="str">
        <f t="shared" si="33"/>
        <v>ORD-2024-1071310 Feb 202418 Feb 2024CUST-5127Isha NairHome OfficeWestMadhya PradeshIndoreFurnitureChairsSmart Chairs 259First Class71382.8609680.026876.662803.36PaidCompleted</v>
      </c>
      <c r="W714" s="2">
        <f t="shared" si="34"/>
        <v>2</v>
      </c>
      <c r="X714">
        <f t="shared" si="35"/>
        <v>2</v>
      </c>
      <c r="Y714" s="2" t="s">
        <v>4096</v>
      </c>
    </row>
    <row r="715" spans="1:25">
      <c r="A715" s="2" t="s">
        <v>3334</v>
      </c>
      <c r="B715" s="2" t="s">
        <v>3335</v>
      </c>
      <c r="C715" s="2" t="s">
        <v>3182</v>
      </c>
      <c r="D715" s="2" t="s">
        <v>903</v>
      </c>
      <c r="E715" s="2" t="s">
        <v>40</v>
      </c>
      <c r="F715" s="2" t="s">
        <v>26</v>
      </c>
      <c r="G715" s="2" t="s">
        <v>73</v>
      </c>
      <c r="H715" s="2" t="s">
        <v>28</v>
      </c>
      <c r="I715" s="2" t="s">
        <v>135</v>
      </c>
      <c r="J715" s="2" t="s">
        <v>86</v>
      </c>
      <c r="K715" s="2" t="s">
        <v>382</v>
      </c>
      <c r="L715" s="2" t="s">
        <v>3336</v>
      </c>
      <c r="M715" s="2" t="s">
        <v>33</v>
      </c>
      <c r="N715" s="2">
        <v>1</v>
      </c>
      <c r="O715" s="2">
        <v>289.97000000000003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34</v>
      </c>
      <c r="U715" s="2" t="s">
        <v>35</v>
      </c>
      <c r="V715" s="2" t="str">
        <f t="shared" si="33"/>
        <v>ORD-2025-1071406/06/202506/10/2025CUST-2548Mira DasConsumerWestRajasthanUdaipurTechnologyMachinesPro Machines 987Second Class1289.970.25217.48132.1385.35PaidCompleted</v>
      </c>
      <c r="W715" s="2">
        <f t="shared" si="34"/>
        <v>1</v>
      </c>
      <c r="X715">
        <f t="shared" si="35"/>
        <v>1</v>
      </c>
    </row>
    <row r="716" spans="1:25">
      <c r="A716" s="2" t="s">
        <v>3337</v>
      </c>
      <c r="B716" s="2" t="s">
        <v>2115</v>
      </c>
      <c r="C716" s="2" t="s">
        <v>2231</v>
      </c>
      <c r="D716" s="2" t="s">
        <v>3338</v>
      </c>
      <c r="E716" s="2" t="s">
        <v>25</v>
      </c>
      <c r="F716" s="2" t="s">
        <v>115</v>
      </c>
      <c r="G716" s="2" t="s">
        <v>27</v>
      </c>
      <c r="H716" s="2" t="s">
        <v>506</v>
      </c>
      <c r="I716" s="2" t="s">
        <v>507</v>
      </c>
      <c r="J716" s="2" t="s">
        <v>86</v>
      </c>
      <c r="K716" s="2" t="s">
        <v>94</v>
      </c>
      <c r="L716" s="2" t="s">
        <v>3339</v>
      </c>
      <c r="M716" s="2" t="s">
        <v>67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34</v>
      </c>
      <c r="U716" s="2" t="s">
        <v>35</v>
      </c>
      <c r="V716" s="2" t="str">
        <f t="shared" si="33"/>
        <v>ORD-2025-1071522 Mar 20252025-03-23CUST-9902Karan MalhotraHome OfficeNorthDelhiNew DelhiTechnologyCopiersPro Copiers 206Standard Class92075.02018675.1813974.74700.48PaidCompleted</v>
      </c>
      <c r="W716" s="2">
        <f t="shared" si="34"/>
        <v>1</v>
      </c>
      <c r="X716">
        <f t="shared" si="35"/>
        <v>1</v>
      </c>
    </row>
    <row r="717" spans="1:25">
      <c r="A717" s="2" t="s">
        <v>3340</v>
      </c>
      <c r="B717" s="2" t="s">
        <v>454</v>
      </c>
      <c r="C717" s="2" t="s">
        <v>455</v>
      </c>
      <c r="D717" s="2" t="s">
        <v>3341</v>
      </c>
      <c r="E717" s="2" t="s">
        <v>142</v>
      </c>
      <c r="F717" s="2" t="s">
        <v>26</v>
      </c>
      <c r="G717" s="2" t="s">
        <v>27</v>
      </c>
      <c r="H717" s="2" t="s">
        <v>323</v>
      </c>
      <c r="I717" s="2" t="s">
        <v>324</v>
      </c>
      <c r="J717" s="2" t="s">
        <v>45</v>
      </c>
      <c r="K717" s="2" t="s">
        <v>76</v>
      </c>
      <c r="L717" s="2" t="s">
        <v>3342</v>
      </c>
      <c r="M717" s="2" t="s">
        <v>33</v>
      </c>
      <c r="N717" s="2">
        <v>7</v>
      </c>
      <c r="O717" s="2">
        <v>2843.09</v>
      </c>
      <c r="P717" s="2">
        <v>0</v>
      </c>
      <c r="Q717" s="2">
        <v>19901.63</v>
      </c>
      <c r="R717" s="2">
        <v>15492.03</v>
      </c>
      <c r="S717" s="2">
        <v>4409.6000000000004</v>
      </c>
      <c r="T717" s="2" t="s">
        <v>124</v>
      </c>
      <c r="U717" s="2" t="s">
        <v>78</v>
      </c>
      <c r="V717" s="2" t="str">
        <f t="shared" si="33"/>
        <v>ORD-2025-107162025-08-2227 Aug 2025CUST-7446Priya MenonConsumerNorthHaryanaGurugramFurnitureChairsMax Chairs 372Second Class72843.09019901.6315492.034409.6RefundedCancelled</v>
      </c>
      <c r="W717" s="2">
        <f t="shared" si="34"/>
        <v>1</v>
      </c>
      <c r="X717">
        <f t="shared" si="35"/>
        <v>1</v>
      </c>
    </row>
    <row r="718" spans="1:25">
      <c r="A718" s="2" t="s">
        <v>3343</v>
      </c>
      <c r="B718" s="2" t="s">
        <v>3344</v>
      </c>
      <c r="C718" s="2" t="s">
        <v>202</v>
      </c>
      <c r="D718" s="2" t="s">
        <v>3345</v>
      </c>
      <c r="E718" s="2" t="s">
        <v>210</v>
      </c>
      <c r="F718" s="2" t="s">
        <v>41</v>
      </c>
      <c r="G718" s="2" t="s">
        <v>27</v>
      </c>
      <c r="H718" s="2" t="s">
        <v>323</v>
      </c>
      <c r="I718" s="2" t="s">
        <v>324</v>
      </c>
      <c r="J718" s="2" t="s">
        <v>86</v>
      </c>
      <c r="K718" s="2" t="s">
        <v>223</v>
      </c>
      <c r="L718" s="2" t="s">
        <v>3346</v>
      </c>
      <c r="M718" s="2" t="s">
        <v>56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34</v>
      </c>
      <c r="U718" s="2" t="s">
        <v>35</v>
      </c>
      <c r="V718" s="2" t="str">
        <f t="shared" si="33"/>
        <v>ORD-2025-1071726 Aug 202531-08-2025CUST-7540Diya PatelSmall BusinessNorthHaryanaGurugramTechnologyPhonesBasic Phones 496First Class13388.020.152879.821824.881054.94PaidCompleted</v>
      </c>
      <c r="W718" s="2">
        <f t="shared" si="34"/>
        <v>1</v>
      </c>
      <c r="X718">
        <f t="shared" si="35"/>
        <v>1</v>
      </c>
    </row>
    <row r="719" spans="1:25">
      <c r="A719" s="2" t="s">
        <v>3347</v>
      </c>
      <c r="B719" s="2" t="s">
        <v>3348</v>
      </c>
      <c r="C719" s="2" t="s">
        <v>309</v>
      </c>
      <c r="D719" s="2" t="s">
        <v>3349</v>
      </c>
      <c r="E719" s="2" t="s">
        <v>366</v>
      </c>
      <c r="F719" s="2" t="s">
        <v>41</v>
      </c>
      <c r="G719" s="2" t="s">
        <v>27</v>
      </c>
      <c r="H719" s="2" t="s">
        <v>323</v>
      </c>
      <c r="I719" s="2" t="s">
        <v>324</v>
      </c>
      <c r="J719" s="2" t="s">
        <v>86</v>
      </c>
      <c r="K719" s="2" t="s">
        <v>382</v>
      </c>
      <c r="L719" s="2" t="s">
        <v>3350</v>
      </c>
      <c r="M719" s="2" t="s">
        <v>67</v>
      </c>
      <c r="N719" s="2">
        <v>9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</v>
      </c>
      <c r="T719" s="2" t="s">
        <v>137</v>
      </c>
      <c r="U719" s="2" t="s">
        <v>78</v>
      </c>
      <c r="V719" s="2" t="str">
        <f t="shared" si="33"/>
        <v>ORD-2025-1071812-10-202515 Oct 2025CUST-8351Kabir SinghSmall BusinessNorthHaryanaGurugramTechnologyMachinesPrime Machines 612Standard Class92598.920.218712.2211852.226860PendingCancelled</v>
      </c>
      <c r="W719" s="2">
        <f t="shared" si="34"/>
        <v>1</v>
      </c>
      <c r="X719">
        <f t="shared" si="35"/>
        <v>1</v>
      </c>
    </row>
    <row r="720" spans="1:25">
      <c r="A720" s="2" t="s">
        <v>3351</v>
      </c>
      <c r="B720" s="2" t="s">
        <v>3352</v>
      </c>
      <c r="C720" s="2" t="s">
        <v>876</v>
      </c>
      <c r="D720" s="2" t="s">
        <v>3353</v>
      </c>
      <c r="E720" s="2" t="s">
        <v>40</v>
      </c>
      <c r="F720" s="2" t="s">
        <v>26</v>
      </c>
      <c r="G720" s="2" t="s">
        <v>73</v>
      </c>
      <c r="H720" s="2" t="s">
        <v>74</v>
      </c>
      <c r="I720" s="2" t="s">
        <v>75</v>
      </c>
      <c r="J720" s="2" t="s">
        <v>30</v>
      </c>
      <c r="K720" s="2" t="s">
        <v>54</v>
      </c>
      <c r="L720" s="2" t="s">
        <v>3354</v>
      </c>
      <c r="M720" s="2" t="s">
        <v>48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34</v>
      </c>
      <c r="U720" s="2" t="s">
        <v>35</v>
      </c>
      <c r="V720" s="2" t="str">
        <f t="shared" si="33"/>
        <v>ORD-2024-1071906 Sep 20242024-09-09CUST-3918Mira DasConsumerWestMaharashtraMumbaiOffice SuppliesArtSmart Art 866Same Day31972.270.24733.453672.321061.13PaidCompleted</v>
      </c>
      <c r="W720" s="2">
        <f t="shared" si="34"/>
        <v>1</v>
      </c>
      <c r="X720">
        <f t="shared" si="35"/>
        <v>1</v>
      </c>
    </row>
    <row r="721" spans="1:25">
      <c r="A721" s="2" t="s">
        <v>3355</v>
      </c>
      <c r="B721" s="2" t="s">
        <v>1724</v>
      </c>
      <c r="C721" s="2" t="s">
        <v>1725</v>
      </c>
      <c r="D721" s="2" t="s">
        <v>185</v>
      </c>
      <c r="E721" s="2" t="s">
        <v>366</v>
      </c>
      <c r="F721" s="2" t="s">
        <v>108</v>
      </c>
      <c r="G721" s="2" t="s">
        <v>73</v>
      </c>
      <c r="H721" s="2" t="s">
        <v>235</v>
      </c>
      <c r="I721" s="2" t="s">
        <v>236</v>
      </c>
      <c r="J721" s="2" t="s">
        <v>30</v>
      </c>
      <c r="K721" s="2" t="s">
        <v>54</v>
      </c>
      <c r="L721" s="2" t="s">
        <v>3356</v>
      </c>
      <c r="M721" s="2" t="s">
        <v>48</v>
      </c>
      <c r="N721" s="2">
        <v>2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34</v>
      </c>
      <c r="U721" s="2" t="s">
        <v>35</v>
      </c>
      <c r="V721" s="2" t="str">
        <f t="shared" si="33"/>
        <v>ORD-2025-1072008 Sep 20252025-09-09CUST-3190Kabir SinghCorporateWestGujaratAhmedabadOffice SuppliesArtPro Art 447Same Day22372.410.23795.862264.921530.94PaidCompleted</v>
      </c>
      <c r="W721" s="2">
        <f t="shared" si="34"/>
        <v>2</v>
      </c>
      <c r="X721">
        <f t="shared" si="35"/>
        <v>2</v>
      </c>
      <c r="Y721" s="2" t="s">
        <v>4096</v>
      </c>
    </row>
    <row r="722" spans="1:25">
      <c r="A722" s="2" t="s">
        <v>3357</v>
      </c>
      <c r="B722" s="2" t="s">
        <v>1109</v>
      </c>
      <c r="C722" s="2" t="s">
        <v>3358</v>
      </c>
      <c r="D722" s="2" t="s">
        <v>3359</v>
      </c>
      <c r="E722" s="2" t="s">
        <v>107</v>
      </c>
      <c r="F722" s="2" t="s">
        <v>115</v>
      </c>
      <c r="G722" s="2" t="s">
        <v>73</v>
      </c>
      <c r="H722" s="2" t="s">
        <v>84</v>
      </c>
      <c r="I722" s="2" t="s">
        <v>85</v>
      </c>
      <c r="J722" s="2" t="s">
        <v>86</v>
      </c>
      <c r="K722" s="2" t="s">
        <v>94</v>
      </c>
      <c r="L722" s="2" t="s">
        <v>3360</v>
      </c>
      <c r="M722" s="2" t="s">
        <v>48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34</v>
      </c>
      <c r="U722" s="2" t="s">
        <v>35</v>
      </c>
      <c r="V722" s="2" t="str">
        <f t="shared" si="33"/>
        <v>ORD-2024-107212024-07-1607/16/2024CUST-1991Aditi SenHome OfficeWestMadhya PradeshIndoreTechnologyCopiersSmart Copiers 196Same Day44479.920.1515231.7312451.462780.27PaidCompleted</v>
      </c>
      <c r="W722" s="2">
        <f t="shared" si="34"/>
        <v>1</v>
      </c>
      <c r="X722">
        <f t="shared" si="35"/>
        <v>1</v>
      </c>
    </row>
    <row r="723" spans="1:25">
      <c r="A723" s="2" t="s">
        <v>3361</v>
      </c>
      <c r="B723" s="2" t="s">
        <v>254</v>
      </c>
      <c r="C723" s="2" t="s">
        <v>3362</v>
      </c>
      <c r="D723" s="2" t="s">
        <v>3363</v>
      </c>
      <c r="E723" s="2" t="s">
        <v>168</v>
      </c>
      <c r="F723" s="2" t="s">
        <v>26</v>
      </c>
      <c r="G723" s="2" t="s">
        <v>62</v>
      </c>
      <c r="H723" s="2" t="s">
        <v>229</v>
      </c>
      <c r="I723" s="2" t="s">
        <v>230</v>
      </c>
      <c r="J723" s="2" t="s">
        <v>86</v>
      </c>
      <c r="K723" s="2" t="s">
        <v>94</v>
      </c>
      <c r="L723" s="2" t="s">
        <v>3364</v>
      </c>
      <c r="M723" s="2" t="s">
        <v>56</v>
      </c>
      <c r="N723" s="2">
        <v>5</v>
      </c>
      <c r="O723" s="2">
        <v>2729.95</v>
      </c>
      <c r="P723" s="2">
        <v>0</v>
      </c>
      <c r="Q723" s="2">
        <v>13649.75</v>
      </c>
      <c r="R723" s="2">
        <v>10288.030000000001</v>
      </c>
      <c r="S723" s="2">
        <v>3361.72</v>
      </c>
      <c r="T723" s="2" t="s">
        <v>34</v>
      </c>
      <c r="U723" s="2" t="s">
        <v>35</v>
      </c>
      <c r="V723" s="2" t="str">
        <f t="shared" si="33"/>
        <v>ORD-2025-1072219-06-202523-06-2025CUST-7606Sneha KapoorConsumerSouthKarnatakaBengaluruTechnologyCopiersPro Copiers 532First Class52729.95013649.7510288.033361.72PaidCompleted</v>
      </c>
      <c r="W723" s="2">
        <f t="shared" si="34"/>
        <v>1</v>
      </c>
      <c r="X723">
        <f t="shared" si="35"/>
        <v>1</v>
      </c>
    </row>
    <row r="724" spans="1:25">
      <c r="A724" s="2" t="s">
        <v>3365</v>
      </c>
      <c r="B724" s="2" t="s">
        <v>2557</v>
      </c>
      <c r="C724" s="2" t="s">
        <v>3366</v>
      </c>
      <c r="D724" s="2" t="s">
        <v>3367</v>
      </c>
      <c r="E724" s="2" t="s">
        <v>83</v>
      </c>
      <c r="F724" s="2" t="s">
        <v>26</v>
      </c>
      <c r="G724" s="2" t="s">
        <v>42</v>
      </c>
      <c r="H724" s="2" t="s">
        <v>121</v>
      </c>
      <c r="I724" s="2" t="s">
        <v>122</v>
      </c>
      <c r="J724" s="2" t="s">
        <v>45</v>
      </c>
      <c r="K724" s="2" t="s">
        <v>76</v>
      </c>
      <c r="L724" s="2" t="s">
        <v>3368</v>
      </c>
      <c r="M724" s="2" t="s">
        <v>33</v>
      </c>
      <c r="N724" s="2">
        <v>9</v>
      </c>
      <c r="O724" s="2">
        <v>481.51</v>
      </c>
      <c r="Q724" s="2">
        <v>4333.59</v>
      </c>
      <c r="R724" s="2">
        <v>2533.59</v>
      </c>
      <c r="S724" s="2">
        <v>1800</v>
      </c>
      <c r="T724" s="2" t="s">
        <v>124</v>
      </c>
      <c r="U724" s="2" t="s">
        <v>78</v>
      </c>
      <c r="V724" s="2" t="str">
        <f t="shared" si="33"/>
        <v>ORD-2024-107232024-10-0710 Oct 2024CUST-8844Vikram IyerConsumerEastWest BengalKolkataFurnitureChairsEco Chairs 442Second Class9481.514333.592533.591800RefundedCancelled</v>
      </c>
      <c r="W724" s="2">
        <f t="shared" si="34"/>
        <v>1</v>
      </c>
      <c r="X724">
        <f t="shared" si="35"/>
        <v>1</v>
      </c>
    </row>
    <row r="725" spans="1:25">
      <c r="A725" s="2" t="s">
        <v>3369</v>
      </c>
      <c r="B725" s="2" t="s">
        <v>887</v>
      </c>
      <c r="C725" s="2" t="s">
        <v>3370</v>
      </c>
      <c r="D725" s="2" t="s">
        <v>3371</v>
      </c>
      <c r="E725" s="2" t="s">
        <v>366</v>
      </c>
      <c r="F725" s="2" t="s">
        <v>115</v>
      </c>
      <c r="G725" s="2" t="s">
        <v>42</v>
      </c>
      <c r="H725" s="2" t="s">
        <v>311</v>
      </c>
      <c r="I725" s="2" t="s">
        <v>312</v>
      </c>
      <c r="J725" s="2" t="s">
        <v>86</v>
      </c>
      <c r="K725" s="2" t="s">
        <v>87</v>
      </c>
      <c r="L725" s="2" t="s">
        <v>3372</v>
      </c>
      <c r="M725" s="2" t="s">
        <v>67</v>
      </c>
      <c r="N725" s="2">
        <v>6</v>
      </c>
      <c r="O725" s="2">
        <v>2391.9299999999998</v>
      </c>
      <c r="P725" s="2">
        <v>0.05</v>
      </c>
      <c r="Q725" s="2">
        <v>13634</v>
      </c>
      <c r="R725" s="2">
        <v>9589.81</v>
      </c>
      <c r="S725" s="2">
        <v>4044.19</v>
      </c>
      <c r="T725" s="2" t="s">
        <v>200</v>
      </c>
      <c r="U725" s="2" t="s">
        <v>125</v>
      </c>
      <c r="V725" s="2" t="str">
        <f t="shared" si="33"/>
        <v>ORD-2025-1072410/06/20252025-10-13CUST-4335Kabir SinghHome OfficeEastJharkhandRanchiTechnologyAccessoriesEco Accessories 364Standard Class62391.930.05136349589.814044.19FailedReturned</v>
      </c>
      <c r="W725" s="2">
        <f t="shared" si="34"/>
        <v>1</v>
      </c>
      <c r="X725">
        <f t="shared" si="35"/>
        <v>1</v>
      </c>
    </row>
    <row r="726" spans="1:25">
      <c r="A726" s="2" t="s">
        <v>3373</v>
      </c>
      <c r="B726" s="2" t="s">
        <v>3374</v>
      </c>
      <c r="C726" s="2" t="s">
        <v>1611</v>
      </c>
      <c r="D726" s="2" t="s">
        <v>3375</v>
      </c>
      <c r="E726" s="2" t="s">
        <v>25</v>
      </c>
      <c r="F726" s="2" t="s">
        <v>26</v>
      </c>
      <c r="G726" s="2" t="s">
        <v>73</v>
      </c>
      <c r="H726" s="2" t="s">
        <v>249</v>
      </c>
      <c r="I726" s="2" t="s">
        <v>250</v>
      </c>
      <c r="J726" s="2" t="s">
        <v>45</v>
      </c>
      <c r="K726" s="2" t="s">
        <v>65</v>
      </c>
      <c r="L726" s="2" t="s">
        <v>3376</v>
      </c>
      <c r="M726" s="2" t="s">
        <v>33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34</v>
      </c>
      <c r="U726" s="2" t="s">
        <v>35</v>
      </c>
      <c r="V726" s="2" t="str">
        <f t="shared" si="33"/>
        <v>ORD-2024-1072502/10/202416-02-2024CUST-5891Karan MalhotraConsumerWestGoaPanajiFurnitureFurnishingsElite Furnishings 921Second Class3253.430760.29497.77262.52PaidCompleted</v>
      </c>
      <c r="W726" s="2">
        <f t="shared" si="34"/>
        <v>1</v>
      </c>
      <c r="X726">
        <f t="shared" si="35"/>
        <v>1</v>
      </c>
    </row>
    <row r="727" spans="1:25">
      <c r="A727" s="2" t="s">
        <v>3377</v>
      </c>
      <c r="B727" s="2" t="s">
        <v>3378</v>
      </c>
      <c r="C727" s="2" t="s">
        <v>139</v>
      </c>
      <c r="D727" s="2" t="s">
        <v>3379</v>
      </c>
      <c r="E727" s="2" t="s">
        <v>142</v>
      </c>
      <c r="F727" s="2" t="s">
        <v>108</v>
      </c>
      <c r="G727" s="2" t="s">
        <v>62</v>
      </c>
      <c r="H727" s="2" t="s">
        <v>229</v>
      </c>
      <c r="I727" s="2" t="s">
        <v>230</v>
      </c>
      <c r="J727" s="2" t="s">
        <v>45</v>
      </c>
      <c r="K727" s="2" t="s">
        <v>46</v>
      </c>
      <c r="L727" s="2" t="s">
        <v>3380</v>
      </c>
      <c r="M727" s="2" t="s">
        <v>33</v>
      </c>
      <c r="N727" s="2">
        <v>7</v>
      </c>
      <c r="O727" s="2">
        <v>2134.73</v>
      </c>
      <c r="P727" s="2">
        <v>0</v>
      </c>
      <c r="Q727" s="2">
        <v>14943.11</v>
      </c>
      <c r="R727" s="2">
        <v>8521.5</v>
      </c>
      <c r="S727" s="2">
        <v>6421.61</v>
      </c>
      <c r="T727" s="2" t="s">
        <v>34</v>
      </c>
      <c r="U727" s="2" t="s">
        <v>35</v>
      </c>
      <c r="V727" s="2" t="str">
        <f t="shared" si="33"/>
        <v>ORD-2025-1072610/05/20252025-10-12CUST-6371Priya MenonCorporateSouthKarnatakaBengaluruFurnitureTablesMax Tables 309Second Class72134.73014943.118521.56421.61PaidCompleted</v>
      </c>
      <c r="W727" s="2">
        <f t="shared" si="34"/>
        <v>1</v>
      </c>
      <c r="X727">
        <f t="shared" si="35"/>
        <v>1</v>
      </c>
    </row>
    <row r="728" spans="1:25">
      <c r="A728" s="2" t="s">
        <v>3381</v>
      </c>
      <c r="B728" s="2" t="s">
        <v>3382</v>
      </c>
      <c r="C728" s="2" t="s">
        <v>3383</v>
      </c>
      <c r="D728" s="2" t="s">
        <v>3384</v>
      </c>
      <c r="E728" s="2" t="s">
        <v>366</v>
      </c>
      <c r="F728" s="2" t="s">
        <v>115</v>
      </c>
      <c r="G728" s="2" t="s">
        <v>73</v>
      </c>
      <c r="H728" s="2" t="s">
        <v>235</v>
      </c>
      <c r="I728" s="2" t="s">
        <v>236</v>
      </c>
      <c r="J728" s="2" t="s">
        <v>86</v>
      </c>
      <c r="K728" s="2" t="s">
        <v>223</v>
      </c>
      <c r="L728" s="2" t="s">
        <v>3385</v>
      </c>
      <c r="M728" s="2" t="s">
        <v>67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137</v>
      </c>
      <c r="U728" s="2" t="s">
        <v>125</v>
      </c>
      <c r="V728" s="2" t="str">
        <f t="shared" si="33"/>
        <v>ORD-2024-107272024-01-1701/23/2024CUST-6655Kabir SinghHome OfficeWestGujaratAhmedabadTechnologyPhonesPro Phones 857Standard Class520180.280725379.222692.78PendingReturned</v>
      </c>
      <c r="W728" s="2">
        <f t="shared" si="34"/>
        <v>1</v>
      </c>
      <c r="X728">
        <f t="shared" si="35"/>
        <v>1</v>
      </c>
    </row>
    <row r="729" spans="1:25">
      <c r="A729" s="2" t="s">
        <v>3386</v>
      </c>
      <c r="B729" s="2" t="s">
        <v>3387</v>
      </c>
      <c r="C729" s="2" t="s">
        <v>3387</v>
      </c>
      <c r="D729" s="2" t="s">
        <v>3388</v>
      </c>
      <c r="E729" s="2" t="s">
        <v>162</v>
      </c>
      <c r="F729" s="2" t="s">
        <v>41</v>
      </c>
      <c r="G729" s="2" t="s">
        <v>42</v>
      </c>
      <c r="H729" s="2" t="s">
        <v>216</v>
      </c>
      <c r="I729" s="2" t="s">
        <v>217</v>
      </c>
      <c r="J729" s="2" t="s">
        <v>86</v>
      </c>
      <c r="K729" s="2" t="s">
        <v>87</v>
      </c>
      <c r="L729" s="2" t="s">
        <v>3389</v>
      </c>
      <c r="M729" s="2" t="s">
        <v>33</v>
      </c>
      <c r="N729" s="2">
        <v>8</v>
      </c>
      <c r="O729" s="2">
        <v>3730.66</v>
      </c>
      <c r="P729" s="2">
        <v>0.05</v>
      </c>
      <c r="Q729" s="2">
        <v>28353.02</v>
      </c>
      <c r="R729" s="2">
        <v>19257.849999999999</v>
      </c>
      <c r="S729" s="2">
        <v>9095.17</v>
      </c>
      <c r="T729" s="2" t="s">
        <v>34</v>
      </c>
      <c r="U729" s="2" t="s">
        <v>35</v>
      </c>
      <c r="V729" s="2" t="str">
        <f t="shared" si="33"/>
        <v>ORD-2024-1072813 Oct 202413 Oct 2024CUST-6492Aarav SharmaSmall BusinessEastAssamGuwahatiTechnologyAccessoriesMax Accessories 567Second Class83730.660.0528353.0219257.859095.17PaidCompleted</v>
      </c>
      <c r="W729" s="2">
        <f t="shared" si="34"/>
        <v>1</v>
      </c>
      <c r="X729">
        <f t="shared" si="35"/>
        <v>1</v>
      </c>
    </row>
    <row r="730" spans="1:25">
      <c r="A730" s="2" t="s">
        <v>3390</v>
      </c>
      <c r="B730" s="2" t="s">
        <v>3052</v>
      </c>
      <c r="C730" s="2" t="s">
        <v>1762</v>
      </c>
      <c r="D730" s="2" t="s">
        <v>3391</v>
      </c>
      <c r="E730" s="2" t="s">
        <v>168</v>
      </c>
      <c r="F730" s="2" t="s">
        <v>41</v>
      </c>
      <c r="G730" s="2" t="s">
        <v>62</v>
      </c>
      <c r="H730" s="2" t="s">
        <v>229</v>
      </c>
      <c r="I730" s="2" t="s">
        <v>230</v>
      </c>
      <c r="J730" s="2" t="s">
        <v>86</v>
      </c>
      <c r="K730" s="2" t="s">
        <v>382</v>
      </c>
      <c r="L730" s="2" t="s">
        <v>3392</v>
      </c>
      <c r="M730" s="2" t="s">
        <v>56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34</v>
      </c>
      <c r="U730" s="2" t="s">
        <v>35</v>
      </c>
      <c r="V730" s="2" t="str">
        <f t="shared" si="33"/>
        <v>ORD-2024-107292024-01-0407-01-2024CUST-1154Sneha KapoorSmall BusinessSouthKarnatakaBengaluruTechnologyMachinesMax Machines 200First Class12363.020.152008.571194.83813.74PaidCompleted</v>
      </c>
      <c r="W730" s="2">
        <f t="shared" si="34"/>
        <v>1</v>
      </c>
      <c r="X730">
        <f t="shared" si="35"/>
        <v>1</v>
      </c>
    </row>
    <row r="731" spans="1:25">
      <c r="A731" s="2" t="s">
        <v>3393</v>
      </c>
      <c r="B731" s="2" t="s">
        <v>3394</v>
      </c>
      <c r="C731" s="2" t="s">
        <v>3395</v>
      </c>
      <c r="D731" s="2" t="s">
        <v>3396</v>
      </c>
      <c r="E731" s="2" t="s">
        <v>72</v>
      </c>
      <c r="F731" s="2" t="s">
        <v>108</v>
      </c>
      <c r="G731" s="2" t="s">
        <v>62</v>
      </c>
      <c r="H731" s="2" t="s">
        <v>339</v>
      </c>
      <c r="I731" s="2" t="s">
        <v>340</v>
      </c>
      <c r="J731" s="2" t="s">
        <v>86</v>
      </c>
      <c r="K731" s="2" t="s">
        <v>382</v>
      </c>
      <c r="L731" s="2" t="s">
        <v>3397</v>
      </c>
      <c r="M731" s="2" t="s">
        <v>48</v>
      </c>
      <c r="N731" s="2">
        <v>6</v>
      </c>
      <c r="O731" s="2">
        <v>1810.63</v>
      </c>
      <c r="P731" s="2">
        <v>0.15</v>
      </c>
      <c r="Q731" s="2">
        <v>9234.2099999999991</v>
      </c>
      <c r="R731" s="2">
        <v>5516.52</v>
      </c>
      <c r="S731" s="2">
        <v>3717.69</v>
      </c>
      <c r="T731" s="2" t="s">
        <v>34</v>
      </c>
      <c r="U731" s="2" t="s">
        <v>35</v>
      </c>
      <c r="V731" s="2" t="str">
        <f t="shared" si="33"/>
        <v>ORD-2025-1073017-05-202525 May 2025CUST-8713Ananya RaoCorporateSouthTamil NaduChennaiTechnologyMachinesPro Machines 563Same Day61810.630.159234.215516.523717.69PaidCompleted</v>
      </c>
      <c r="W731" s="2">
        <f t="shared" si="34"/>
        <v>2</v>
      </c>
      <c r="X731">
        <f t="shared" si="35"/>
        <v>2</v>
      </c>
      <c r="Y731" s="2" t="s">
        <v>4096</v>
      </c>
    </row>
    <row r="732" spans="1:25">
      <c r="A732" s="2" t="s">
        <v>3398</v>
      </c>
      <c r="B732" s="2" t="s">
        <v>3399</v>
      </c>
      <c r="C732" s="2" t="s">
        <v>3310</v>
      </c>
      <c r="D732" s="2" t="s">
        <v>3400</v>
      </c>
      <c r="E732" s="2" t="s">
        <v>61</v>
      </c>
      <c r="F732" s="2" t="s">
        <v>26</v>
      </c>
      <c r="G732" s="2" t="s">
        <v>42</v>
      </c>
      <c r="H732" s="2" t="s">
        <v>121</v>
      </c>
      <c r="I732" s="2" t="s">
        <v>122</v>
      </c>
      <c r="J732" s="2" t="s">
        <v>30</v>
      </c>
      <c r="K732" s="2" t="s">
        <v>54</v>
      </c>
      <c r="L732" s="2" t="s">
        <v>3401</v>
      </c>
      <c r="M732" s="2" t="s">
        <v>33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124</v>
      </c>
      <c r="U732" s="2" t="s">
        <v>125</v>
      </c>
      <c r="V732" s="2" t="str">
        <f t="shared" si="33"/>
        <v>ORD-2025-1073106/19/202524-06-2025CUST-6765Arjun BoseConsumerEastWest BengalKolkataOffice SuppliesArtElite Art 696Second Class4782.010.152658.832226.97431.86RefundedReturned</v>
      </c>
      <c r="W732" s="2">
        <f t="shared" si="34"/>
        <v>1</v>
      </c>
      <c r="X732">
        <f t="shared" si="35"/>
        <v>1</v>
      </c>
    </row>
    <row r="733" spans="1:25">
      <c r="A733" s="2" t="s">
        <v>3402</v>
      </c>
      <c r="B733" s="2" t="s">
        <v>3403</v>
      </c>
      <c r="C733" s="2" t="s">
        <v>3404</v>
      </c>
      <c r="D733" s="2" t="s">
        <v>3405</v>
      </c>
      <c r="E733" s="2" t="s">
        <v>72</v>
      </c>
      <c r="F733" s="2" t="s">
        <v>108</v>
      </c>
      <c r="G733" s="2" t="s">
        <v>42</v>
      </c>
      <c r="H733" s="2" t="s">
        <v>43</v>
      </c>
      <c r="I733" s="2" t="s">
        <v>44</v>
      </c>
      <c r="J733" s="2" t="s">
        <v>30</v>
      </c>
      <c r="K733" s="2" t="s">
        <v>198</v>
      </c>
      <c r="L733" s="2" t="s">
        <v>3406</v>
      </c>
      <c r="M733" s="2" t="s">
        <v>56</v>
      </c>
      <c r="N733" s="2">
        <v>4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34</v>
      </c>
      <c r="U733" s="2" t="s">
        <v>35</v>
      </c>
      <c r="V733" s="2" t="str">
        <f t="shared" si="33"/>
        <v>ORD-2024-107322024-03-1719 Mar 2024CUST-6849Ananya RaoCorporateEastOdishaBhubaneswarOffice SuppliesBindersEco Binders 178First Class44376.680.115756.0510245.445510.61PaidCompleted</v>
      </c>
      <c r="W733" s="2">
        <f t="shared" si="34"/>
        <v>1</v>
      </c>
      <c r="X733">
        <f t="shared" si="35"/>
        <v>1</v>
      </c>
    </row>
    <row r="734" spans="1:25">
      <c r="A734" s="2" t="s">
        <v>3407</v>
      </c>
      <c r="B734" s="2" t="s">
        <v>3408</v>
      </c>
      <c r="C734" s="2" t="s">
        <v>2821</v>
      </c>
      <c r="D734" s="2" t="s">
        <v>3409</v>
      </c>
      <c r="E734" s="2" t="s">
        <v>61</v>
      </c>
      <c r="F734" s="2" t="s">
        <v>41</v>
      </c>
      <c r="G734" s="2" t="s">
        <v>27</v>
      </c>
      <c r="H734" s="2" t="s">
        <v>154</v>
      </c>
      <c r="I734" s="2" t="s">
        <v>155</v>
      </c>
      <c r="J734" s="2" t="s">
        <v>86</v>
      </c>
      <c r="K734" s="2" t="s">
        <v>223</v>
      </c>
      <c r="L734" s="2" t="s">
        <v>3410</v>
      </c>
      <c r="M734" s="2" t="s">
        <v>67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34</v>
      </c>
      <c r="U734" s="2" t="s">
        <v>35</v>
      </c>
      <c r="V734" s="2" t="str">
        <f t="shared" si="33"/>
        <v>ORD-2024-107332024-11-2806 Dec 2024CUST-4973Arjun BoseSmall BusinessNorthPunjabLudhianaTechnologyPhonesMax Phones 678Standard Class62464.63014787.788596.656191.13PaidCompleted</v>
      </c>
      <c r="W734" s="2">
        <f t="shared" si="34"/>
        <v>1</v>
      </c>
      <c r="X734">
        <f t="shared" si="35"/>
        <v>1</v>
      </c>
    </row>
    <row r="735" spans="1:25">
      <c r="A735" s="2" t="s">
        <v>3411</v>
      </c>
      <c r="B735" s="2" t="s">
        <v>1832</v>
      </c>
      <c r="C735" s="2" t="s">
        <v>3412</v>
      </c>
      <c r="D735" s="2" t="s">
        <v>3413</v>
      </c>
      <c r="E735" s="2" t="s">
        <v>162</v>
      </c>
      <c r="F735" s="2" t="s">
        <v>115</v>
      </c>
      <c r="G735" s="2" t="s">
        <v>27</v>
      </c>
      <c r="H735" s="2" t="s">
        <v>28</v>
      </c>
      <c r="I735" s="2" t="s">
        <v>29</v>
      </c>
      <c r="J735" s="2" t="s">
        <v>45</v>
      </c>
      <c r="K735" s="2" t="s">
        <v>65</v>
      </c>
      <c r="L735" s="2" t="s">
        <v>3414</v>
      </c>
      <c r="M735" s="2" t="s">
        <v>56</v>
      </c>
      <c r="N735" s="2">
        <v>9</v>
      </c>
      <c r="O735" s="2">
        <v>2797.96</v>
      </c>
      <c r="P735" s="2">
        <v>0</v>
      </c>
      <c r="Q735" s="2">
        <v>25181.64</v>
      </c>
      <c r="R735" s="2">
        <v>15337.9</v>
      </c>
      <c r="S735" s="2">
        <v>9843.74</v>
      </c>
      <c r="T735" s="2" t="s">
        <v>34</v>
      </c>
      <c r="U735" s="2" t="s">
        <v>35</v>
      </c>
      <c r="V735" s="2" t="str">
        <f t="shared" si="33"/>
        <v>ORD-2024-1073421-06-202428 Jun 2024CUST-2394Aarav SharmaHome OfficeNorthRajasthanJaipurFurnitureFurnishingsClassic Furnishings 582First Class92797.96025181.6415337.99843.74PaidCompleted</v>
      </c>
      <c r="W735" s="2">
        <f t="shared" si="34"/>
        <v>1</v>
      </c>
      <c r="X735">
        <f t="shared" si="35"/>
        <v>1</v>
      </c>
    </row>
    <row r="736" spans="1:25">
      <c r="A736" s="2" t="s">
        <v>3415</v>
      </c>
      <c r="B736" s="2" t="s">
        <v>3416</v>
      </c>
      <c r="C736" s="2" t="s">
        <v>3416</v>
      </c>
      <c r="D736" s="2" t="s">
        <v>3417</v>
      </c>
      <c r="E736" s="2" t="s">
        <v>72</v>
      </c>
      <c r="F736" s="2" t="s">
        <v>41</v>
      </c>
      <c r="G736" s="2" t="s">
        <v>27</v>
      </c>
      <c r="H736" s="2" t="s">
        <v>28</v>
      </c>
      <c r="I736" s="2" t="s">
        <v>29</v>
      </c>
      <c r="J736" s="2" t="s">
        <v>86</v>
      </c>
      <c r="K736" s="2" t="s">
        <v>87</v>
      </c>
      <c r="L736" s="2" t="s">
        <v>3418</v>
      </c>
      <c r="M736" s="2" t="s">
        <v>56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34</v>
      </c>
      <c r="U736" s="2" t="s">
        <v>35</v>
      </c>
      <c r="V736" s="2" t="str">
        <f t="shared" si="33"/>
        <v>ORD-2024-1073524-08-202424-08-2024CUST-5406Ananya RaoSmall BusinessNorthRajasthanJaipurTechnologyAccessoriesClassic Accessories 981First Class42761.860.28837.956157.272680.68PaidCompleted</v>
      </c>
      <c r="W736" s="2">
        <f t="shared" si="34"/>
        <v>1</v>
      </c>
      <c r="X736">
        <f t="shared" si="35"/>
        <v>1</v>
      </c>
    </row>
    <row r="737" spans="1:24">
      <c r="A737" s="2" t="s">
        <v>3419</v>
      </c>
      <c r="B737" s="2" t="s">
        <v>3420</v>
      </c>
      <c r="C737" s="2" t="s">
        <v>2861</v>
      </c>
      <c r="D737" s="2" t="s">
        <v>3421</v>
      </c>
      <c r="E737" s="2" t="s">
        <v>40</v>
      </c>
      <c r="F737" s="2" t="s">
        <v>26</v>
      </c>
      <c r="G737" s="2" t="s">
        <v>73</v>
      </c>
      <c r="H737" s="2" t="s">
        <v>74</v>
      </c>
      <c r="I737" s="2" t="s">
        <v>75</v>
      </c>
      <c r="J737" s="2" t="s">
        <v>45</v>
      </c>
      <c r="K737" s="2" t="s">
        <v>46</v>
      </c>
      <c r="L737" s="2" t="s">
        <v>3422</v>
      </c>
      <c r="M737" s="2" t="s">
        <v>67</v>
      </c>
      <c r="N737" s="2">
        <v>6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34</v>
      </c>
      <c r="U737" s="2" t="s">
        <v>35</v>
      </c>
      <c r="V737" s="2" t="str">
        <f t="shared" si="33"/>
        <v>ORD-2024-107362024-08-1119-08-2024CUST-1963Mira DasConsumerWestMaharashtraMumbaiFurnitureTablesClassic Tables 534Standard Class61515.790.27275.796152.871122.92PaidCompleted</v>
      </c>
      <c r="W737" s="2">
        <f t="shared" si="34"/>
        <v>1</v>
      </c>
      <c r="X737">
        <f t="shared" si="35"/>
        <v>1</v>
      </c>
    </row>
    <row r="738" spans="1:24">
      <c r="A738" s="2" t="s">
        <v>3423</v>
      </c>
      <c r="B738" s="2" t="s">
        <v>2821</v>
      </c>
      <c r="C738" s="2" t="s">
        <v>3424</v>
      </c>
      <c r="D738" s="2" t="s">
        <v>3425</v>
      </c>
      <c r="E738" s="2" t="s">
        <v>107</v>
      </c>
      <c r="F738" s="2" t="s">
        <v>26</v>
      </c>
      <c r="G738" s="2" t="s">
        <v>73</v>
      </c>
      <c r="H738" s="2" t="s">
        <v>74</v>
      </c>
      <c r="I738" s="2" t="s">
        <v>75</v>
      </c>
      <c r="J738" s="2" t="s">
        <v>45</v>
      </c>
      <c r="K738" s="2" t="s">
        <v>76</v>
      </c>
      <c r="L738" s="2" t="s">
        <v>3426</v>
      </c>
      <c r="M738" s="2" t="s">
        <v>33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34</v>
      </c>
      <c r="U738" s="2" t="s">
        <v>35</v>
      </c>
      <c r="V738" s="2" t="str">
        <f t="shared" si="33"/>
        <v>ORD-2024-1073706 Dec 202409-12-2024CUST-9017Aditi SenConsumerWestMaharashtraMumbaiFurnitureChairsPro Chairs 383Second Class9290.750.12355.081350.031005.05PaidCompleted</v>
      </c>
      <c r="W738" s="2">
        <f t="shared" si="34"/>
        <v>1</v>
      </c>
      <c r="X738">
        <f t="shared" si="35"/>
        <v>1</v>
      </c>
    </row>
    <row r="739" spans="1:24">
      <c r="A739" s="2" t="s">
        <v>3427</v>
      </c>
      <c r="B739" s="2" t="s">
        <v>2249</v>
      </c>
      <c r="C739" s="2" t="s">
        <v>2129</v>
      </c>
      <c r="D739" s="2" t="s">
        <v>3428</v>
      </c>
      <c r="E739" s="2" t="s">
        <v>53</v>
      </c>
      <c r="F739" s="2" t="s">
        <v>115</v>
      </c>
      <c r="G739" s="2" t="s">
        <v>73</v>
      </c>
      <c r="H739" s="2" t="s">
        <v>74</v>
      </c>
      <c r="I739" s="2" t="s">
        <v>75</v>
      </c>
      <c r="J739" s="2" t="s">
        <v>45</v>
      </c>
      <c r="K739" s="2" t="s">
        <v>76</v>
      </c>
      <c r="L739" s="2" t="s">
        <v>3429</v>
      </c>
      <c r="M739" s="2" t="s">
        <v>48</v>
      </c>
      <c r="N739" s="2">
        <v>6</v>
      </c>
      <c r="O739" s="2">
        <v>601.52</v>
      </c>
      <c r="P739" s="2">
        <v>0</v>
      </c>
      <c r="Q739" s="2">
        <v>3609.12</v>
      </c>
      <c r="R739" s="2">
        <v>2645.5</v>
      </c>
      <c r="S739" s="2">
        <v>963.62</v>
      </c>
      <c r="T739" s="2" t="s">
        <v>34</v>
      </c>
      <c r="U739" s="2" t="s">
        <v>35</v>
      </c>
      <c r="V739" s="2" t="str">
        <f t="shared" si="33"/>
        <v>ORD-2024-107382024-02-1010 Feb 2024CUST-7967Isha NairHome OfficeWestMaharashtraMumbaiFurnitureChairsMax Chairs 845Same Day6601.5203609.122645.5963.62PaidCompleted</v>
      </c>
      <c r="W739" s="2">
        <f t="shared" si="34"/>
        <v>1</v>
      </c>
      <c r="X739">
        <f t="shared" si="35"/>
        <v>1</v>
      </c>
    </row>
    <row r="740" spans="1:24">
      <c r="A740" s="2" t="s">
        <v>3430</v>
      </c>
      <c r="B740" s="2" t="s">
        <v>1566</v>
      </c>
      <c r="C740" s="2" t="s">
        <v>3431</v>
      </c>
      <c r="D740" s="2" t="s">
        <v>3432</v>
      </c>
      <c r="E740" s="2" t="s">
        <v>142</v>
      </c>
      <c r="F740" s="2" t="s">
        <v>108</v>
      </c>
      <c r="G740" s="2" t="s">
        <v>62</v>
      </c>
      <c r="H740" s="2" t="s">
        <v>242</v>
      </c>
      <c r="I740" s="2" t="s">
        <v>243</v>
      </c>
      <c r="J740" s="2" t="s">
        <v>30</v>
      </c>
      <c r="K740" s="2" t="s">
        <v>31</v>
      </c>
      <c r="L740" s="2" t="s">
        <v>3433</v>
      </c>
      <c r="M740" s="2" t="s">
        <v>56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34</v>
      </c>
      <c r="U740" s="2" t="s">
        <v>35</v>
      </c>
      <c r="V740" s="2" t="str">
        <f t="shared" si="33"/>
        <v>ORD-2025-1073920 Feb 202502/22/2025CUST-5334Priya MenonCorporateSouthKeralaKochiOffice SuppliesPaperPrime Paper 307First Class12188.1902188.191298.84889.35PaidCompleted</v>
      </c>
      <c r="W740" s="2">
        <f t="shared" si="34"/>
        <v>1</v>
      </c>
      <c r="X740">
        <f t="shared" si="35"/>
        <v>1</v>
      </c>
    </row>
    <row r="741" spans="1:24">
      <c r="A741" s="2" t="s">
        <v>3434</v>
      </c>
      <c r="B741" s="2" t="s">
        <v>3435</v>
      </c>
      <c r="C741" s="2" t="s">
        <v>3436</v>
      </c>
      <c r="D741" s="2" t="s">
        <v>3437</v>
      </c>
      <c r="E741" s="2" t="s">
        <v>93</v>
      </c>
      <c r="F741" s="2" t="s">
        <v>108</v>
      </c>
      <c r="G741" s="2" t="s">
        <v>27</v>
      </c>
      <c r="H741" s="2" t="s">
        <v>28</v>
      </c>
      <c r="I741" s="2" t="s">
        <v>29</v>
      </c>
      <c r="J741" s="2" t="s">
        <v>86</v>
      </c>
      <c r="K741" s="2" t="s">
        <v>223</v>
      </c>
      <c r="L741" s="2" t="s">
        <v>3438</v>
      </c>
      <c r="M741" s="2" t="s">
        <v>67</v>
      </c>
      <c r="N741" s="2">
        <v>5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34</v>
      </c>
      <c r="U741" s="2" t="s">
        <v>35</v>
      </c>
      <c r="V741" s="2" t="str">
        <f t="shared" si="33"/>
        <v>ORD-2024-1074003 Dec 202412/10/2024CUST-5846Neha GuptaCorporateNorthRajasthanJaipurTechnologyPhonesBasic Phones 859Standard Class52393.860.0511370.847469.583901.26PaidCompleted</v>
      </c>
      <c r="W741" s="2">
        <f t="shared" si="34"/>
        <v>1</v>
      </c>
      <c r="X741">
        <f t="shared" si="35"/>
        <v>1</v>
      </c>
    </row>
    <row r="742" spans="1:24">
      <c r="A742" s="2" t="s">
        <v>3439</v>
      </c>
      <c r="B742" s="2" t="s">
        <v>3440</v>
      </c>
      <c r="C742" s="2" t="s">
        <v>2170</v>
      </c>
      <c r="D742" s="2" t="s">
        <v>778</v>
      </c>
      <c r="E742" s="2" t="s">
        <v>168</v>
      </c>
      <c r="F742" s="2" t="s">
        <v>41</v>
      </c>
      <c r="G742" s="2" t="s">
        <v>73</v>
      </c>
      <c r="H742" s="2" t="s">
        <v>74</v>
      </c>
      <c r="I742" s="2" t="s">
        <v>75</v>
      </c>
      <c r="J742" s="2" t="s">
        <v>45</v>
      </c>
      <c r="K742" s="2" t="s">
        <v>76</v>
      </c>
      <c r="L742" s="2" t="s">
        <v>3441</v>
      </c>
      <c r="M742" s="2" t="s">
        <v>56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34</v>
      </c>
      <c r="U742" s="2" t="s">
        <v>35</v>
      </c>
      <c r="V742" s="2" t="str">
        <f t="shared" si="33"/>
        <v>ORD-2024-1074102 Apr 202404/02/2024CUST-7932Sneha KapoorSmall BusinessWestMaharashtraMumbaiFurnitureChairsEco Chairs 883First Class425830.19298.86548.52750.3PaidCompleted</v>
      </c>
      <c r="W742" s="2">
        <f t="shared" si="34"/>
        <v>1</v>
      </c>
      <c r="X742">
        <f t="shared" si="35"/>
        <v>1</v>
      </c>
    </row>
    <row r="743" spans="1:24">
      <c r="A743" s="2" t="s">
        <v>3442</v>
      </c>
      <c r="B743" s="2" t="s">
        <v>3443</v>
      </c>
      <c r="C743" s="2" t="s">
        <v>3444</v>
      </c>
      <c r="D743" s="2" t="s">
        <v>3445</v>
      </c>
      <c r="E743" s="2" t="s">
        <v>53</v>
      </c>
      <c r="F743" s="2" t="s">
        <v>115</v>
      </c>
      <c r="G743" s="2" t="s">
        <v>62</v>
      </c>
      <c r="H743" s="2" t="s">
        <v>339</v>
      </c>
      <c r="I743" s="2" t="s">
        <v>340</v>
      </c>
      <c r="J743" s="2" t="s">
        <v>45</v>
      </c>
      <c r="K743" s="2" t="s">
        <v>76</v>
      </c>
      <c r="L743" s="2" t="s">
        <v>3446</v>
      </c>
      <c r="M743" s="2" t="s">
        <v>33</v>
      </c>
      <c r="N743" s="2">
        <v>3</v>
      </c>
      <c r="O743" s="2">
        <v>2951.12</v>
      </c>
      <c r="Q743" s="2">
        <v>7082.69</v>
      </c>
      <c r="R743" s="2">
        <v>5596.34</v>
      </c>
      <c r="S743" s="2">
        <v>1486.35</v>
      </c>
      <c r="T743" s="2" t="s">
        <v>34</v>
      </c>
      <c r="U743" s="2" t="s">
        <v>78</v>
      </c>
      <c r="V743" s="2" t="str">
        <f t="shared" si="33"/>
        <v>ORD-2025-1074204/23/20252025-04-25CUST-3285Isha NairHome OfficeSouthTamil NaduChennaiFurnitureChairsMax Chairs 706Second Class32951.127082.695596.341486.35PaidCancelled</v>
      </c>
      <c r="W743" s="2">
        <f t="shared" si="34"/>
        <v>1</v>
      </c>
      <c r="X743">
        <f t="shared" si="35"/>
        <v>1</v>
      </c>
    </row>
    <row r="744" spans="1:24">
      <c r="A744" s="2" t="s">
        <v>3447</v>
      </c>
      <c r="B744" s="2" t="s">
        <v>3448</v>
      </c>
      <c r="C744" s="2" t="s">
        <v>3449</v>
      </c>
      <c r="D744" s="2" t="s">
        <v>3450</v>
      </c>
      <c r="E744" s="2" t="s">
        <v>25</v>
      </c>
      <c r="F744" s="2" t="s">
        <v>108</v>
      </c>
      <c r="G744" s="2" t="s">
        <v>3451</v>
      </c>
      <c r="H744" s="2" t="s">
        <v>43</v>
      </c>
      <c r="I744" s="2" t="s">
        <v>44</v>
      </c>
      <c r="J744" s="2" t="s">
        <v>30</v>
      </c>
      <c r="K744" s="2" t="s">
        <v>31</v>
      </c>
      <c r="L744" s="2" t="s">
        <v>3452</v>
      </c>
      <c r="M744" s="2" t="s">
        <v>67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34</v>
      </c>
      <c r="U744" s="2" t="s">
        <v>35</v>
      </c>
      <c r="V744" s="2" t="str">
        <f t="shared" si="33"/>
        <v>ORD-2024-1074310/15/202422 Oct 2024CUST-6368Karan MalhotraCorporateeastOdishaBhubaneswarOffice SuppliesPaperPrime Paper 768Standard Class42260.9509043.85913.383130.42PaidCompleted</v>
      </c>
      <c r="W744" s="2">
        <f t="shared" si="34"/>
        <v>1</v>
      </c>
      <c r="X744">
        <f t="shared" si="35"/>
        <v>1</v>
      </c>
    </row>
    <row r="745" spans="1:24">
      <c r="A745" s="2" t="s">
        <v>3453</v>
      </c>
      <c r="B745" s="2" t="s">
        <v>1397</v>
      </c>
      <c r="C745" s="2" t="s">
        <v>1940</v>
      </c>
      <c r="D745" s="2" t="s">
        <v>3454</v>
      </c>
      <c r="E745" s="2" t="s">
        <v>168</v>
      </c>
      <c r="F745" s="2" t="s">
        <v>26</v>
      </c>
      <c r="G745" s="2" t="s">
        <v>27</v>
      </c>
      <c r="H745" s="2" t="s">
        <v>174</v>
      </c>
      <c r="I745" s="2" t="s">
        <v>175</v>
      </c>
      <c r="J745" s="2" t="s">
        <v>30</v>
      </c>
      <c r="K745" s="2" t="s">
        <v>54</v>
      </c>
      <c r="L745" s="2" t="s">
        <v>3455</v>
      </c>
      <c r="M745" s="2" t="s">
        <v>67</v>
      </c>
      <c r="N745" s="2">
        <v>6</v>
      </c>
      <c r="O745" s="2">
        <v>491.4</v>
      </c>
      <c r="P745" s="2">
        <v>0.25</v>
      </c>
      <c r="Q745" s="2">
        <v>2211.3000000000002</v>
      </c>
      <c r="R745" s="2">
        <v>1735.64</v>
      </c>
      <c r="S745" s="2">
        <v>475.66</v>
      </c>
      <c r="T745" s="2" t="s">
        <v>34</v>
      </c>
      <c r="U745" s="2" t="s">
        <v>35</v>
      </c>
      <c r="V745" s="2" t="str">
        <f t="shared" si="33"/>
        <v>ORD-2025-1074402/12/202514 Feb 2025CUST-6231Sneha KapoorConsumerNorthUttar PradeshNoidaOffice SuppliesArtBasic Art 764Standard Class6491.40.252211.31735.64475.66PaidCompleted</v>
      </c>
      <c r="W745" s="2">
        <f t="shared" si="34"/>
        <v>1</v>
      </c>
      <c r="X745">
        <f t="shared" si="35"/>
        <v>1</v>
      </c>
    </row>
    <row r="746" spans="1:24">
      <c r="A746" s="2" t="s">
        <v>3456</v>
      </c>
      <c r="B746" s="2" t="s">
        <v>3457</v>
      </c>
      <c r="C746" s="2" t="s">
        <v>1470</v>
      </c>
      <c r="D746" s="2" t="s">
        <v>3458</v>
      </c>
      <c r="E746" s="2" t="s">
        <v>40</v>
      </c>
      <c r="F746" s="2" t="s">
        <v>115</v>
      </c>
      <c r="G746" s="2" t="s">
        <v>27</v>
      </c>
      <c r="H746" s="2" t="s">
        <v>154</v>
      </c>
      <c r="I746" s="2" t="s">
        <v>155</v>
      </c>
      <c r="J746" s="2" t="s">
        <v>30</v>
      </c>
      <c r="K746" s="2" t="s">
        <v>198</v>
      </c>
      <c r="L746" s="2" t="s">
        <v>3459</v>
      </c>
      <c r="M746" s="2" t="s">
        <v>56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34</v>
      </c>
      <c r="U746" s="2" t="s">
        <v>78</v>
      </c>
      <c r="V746" s="2" t="str">
        <f t="shared" si="33"/>
        <v>ORD-2025-107452025-08-172025-08-20CUST-2021Mira DasHome OfficeNorthPunjabLudhianaOffice SuppliesBindersPrime Binders 181First Class52701.890.112158.510260.071898.43PaidCancelled</v>
      </c>
      <c r="W746" s="2">
        <f t="shared" si="34"/>
        <v>1</v>
      </c>
      <c r="X746">
        <f t="shared" si="35"/>
        <v>1</v>
      </c>
    </row>
    <row r="747" spans="1:24">
      <c r="A747" s="2" t="s">
        <v>3460</v>
      </c>
      <c r="B747" s="2" t="s">
        <v>3461</v>
      </c>
      <c r="C747" s="2" t="s">
        <v>3462</v>
      </c>
      <c r="D747" s="2" t="s">
        <v>3463</v>
      </c>
      <c r="E747" s="2" t="s">
        <v>40</v>
      </c>
      <c r="F747" s="2" t="s">
        <v>41</v>
      </c>
      <c r="G747" s="2" t="s">
        <v>42</v>
      </c>
      <c r="H747" s="2" t="s">
        <v>216</v>
      </c>
      <c r="I747" s="2" t="s">
        <v>217</v>
      </c>
      <c r="J747" s="2" t="s">
        <v>86</v>
      </c>
      <c r="K747" s="2" t="s">
        <v>94</v>
      </c>
      <c r="L747" s="2" t="s">
        <v>3464</v>
      </c>
      <c r="M747" s="2" t="s">
        <v>67</v>
      </c>
      <c r="N747" s="2">
        <v>3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34</v>
      </c>
      <c r="U747" s="2" t="s">
        <v>35</v>
      </c>
      <c r="V747" s="2" t="str">
        <f t="shared" si="33"/>
        <v>ORD-2024-1074624 Oct 202428-10-2024CUST-1493Mira DasSmall BusinessEastAssamGuwahatiTechnologyCopiersMax Copiers 866Standard Class3723.590.21736.621059.52677.1PaidCompleted</v>
      </c>
      <c r="W747" s="2">
        <f t="shared" si="34"/>
        <v>1</v>
      </c>
      <c r="X747">
        <f t="shared" si="35"/>
        <v>1</v>
      </c>
    </row>
    <row r="748" spans="1:24">
      <c r="A748" s="2" t="s">
        <v>3465</v>
      </c>
      <c r="B748" s="2" t="s">
        <v>1348</v>
      </c>
      <c r="C748" s="2" t="s">
        <v>3466</v>
      </c>
      <c r="D748" s="2" t="s">
        <v>3053</v>
      </c>
      <c r="E748" s="2" t="s">
        <v>162</v>
      </c>
      <c r="F748" s="2" t="s">
        <v>115</v>
      </c>
      <c r="G748" s="2" t="s">
        <v>42</v>
      </c>
      <c r="H748" s="2" t="s">
        <v>121</v>
      </c>
      <c r="I748" s="2" t="s">
        <v>122</v>
      </c>
      <c r="J748" s="2" t="s">
        <v>30</v>
      </c>
      <c r="K748" s="2" t="s">
        <v>31</v>
      </c>
      <c r="L748" s="2" t="s">
        <v>3467</v>
      </c>
      <c r="M748" s="2" t="s">
        <v>67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34</v>
      </c>
      <c r="U748" s="2" t="s">
        <v>35</v>
      </c>
      <c r="V748" s="2" t="str">
        <f t="shared" si="33"/>
        <v>ORD-2025-107472025-01-0410-01-2025CUST-2314Aarav SharmaHome OfficeEastWest BengalKolkataOffice SuppliesPaperPro Paper 662Standard Class42583.190.28266.216236.322029.89PaidCompleted</v>
      </c>
      <c r="W748" s="2">
        <f t="shared" si="34"/>
        <v>1</v>
      </c>
      <c r="X748">
        <f t="shared" si="35"/>
        <v>1</v>
      </c>
    </row>
    <row r="749" spans="1:24">
      <c r="A749" s="2" t="s">
        <v>3468</v>
      </c>
      <c r="B749" s="2" t="s">
        <v>3469</v>
      </c>
      <c r="C749" s="2" t="s">
        <v>3470</v>
      </c>
      <c r="D749" s="2" t="s">
        <v>3471</v>
      </c>
      <c r="E749" s="2" t="s">
        <v>53</v>
      </c>
      <c r="F749" s="2" t="s">
        <v>115</v>
      </c>
      <c r="G749" s="2" t="s">
        <v>42</v>
      </c>
      <c r="H749" s="2" t="s">
        <v>43</v>
      </c>
      <c r="I749" s="2" t="s">
        <v>44</v>
      </c>
      <c r="J749" s="2" t="s">
        <v>30</v>
      </c>
      <c r="K749" s="2" t="s">
        <v>31</v>
      </c>
      <c r="L749" s="2" t="s">
        <v>3472</v>
      </c>
      <c r="M749" s="2" t="s">
        <v>48</v>
      </c>
      <c r="N749" s="2">
        <v>8</v>
      </c>
      <c r="O749" s="2">
        <v>1473.83</v>
      </c>
      <c r="P749" s="2">
        <v>0.15</v>
      </c>
      <c r="Q749" s="2">
        <v>10022.040000000001</v>
      </c>
      <c r="R749" s="2">
        <v>5576.98</v>
      </c>
      <c r="S749" s="2">
        <v>4445.0600000000004</v>
      </c>
      <c r="T749" s="2" t="s">
        <v>34</v>
      </c>
      <c r="U749" s="2" t="s">
        <v>35</v>
      </c>
      <c r="V749" s="2" t="str">
        <f t="shared" si="33"/>
        <v>ORD-2024-107482024-05-0107 May 2024CUST-8416Isha NairHome OfficeEastOdishaBhubaneswarOffice SuppliesPaperClassic Paper 388Same Day81473.830.1510022.045576.984445.06PaidCompleted</v>
      </c>
      <c r="W749" s="2">
        <f t="shared" si="34"/>
        <v>1</v>
      </c>
      <c r="X749">
        <f t="shared" si="35"/>
        <v>1</v>
      </c>
    </row>
    <row r="750" spans="1:24">
      <c r="A750" s="2" t="s">
        <v>3473</v>
      </c>
      <c r="B750" s="2" t="s">
        <v>3474</v>
      </c>
      <c r="C750" s="2" t="s">
        <v>3475</v>
      </c>
      <c r="D750" s="2" t="s">
        <v>3476</v>
      </c>
      <c r="E750" s="2" t="s">
        <v>210</v>
      </c>
      <c r="F750" s="2" t="s">
        <v>115</v>
      </c>
      <c r="G750" s="2" t="s">
        <v>27</v>
      </c>
      <c r="H750" s="2" t="s">
        <v>323</v>
      </c>
      <c r="I750" s="2" t="s">
        <v>324</v>
      </c>
      <c r="J750" s="2" t="s">
        <v>86</v>
      </c>
      <c r="K750" s="2" t="s">
        <v>223</v>
      </c>
      <c r="L750" s="2" t="s">
        <v>3477</v>
      </c>
      <c r="M750" s="2" t="s">
        <v>33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34</v>
      </c>
      <c r="U750" s="2" t="s">
        <v>35</v>
      </c>
      <c r="V750" s="2" t="str">
        <f t="shared" si="33"/>
        <v>ORD-2024-1074930-05-202405/30/2024CUST-3103Diya PatelHome OfficeNorthHaryanaGurugramTechnologyPhonesPro Phones 765Second Class13848.040.252886.032064.83821.2PaidCompleted</v>
      </c>
      <c r="W750" s="2">
        <f t="shared" si="34"/>
        <v>1</v>
      </c>
      <c r="X750">
        <f t="shared" si="35"/>
        <v>1</v>
      </c>
    </row>
    <row r="751" spans="1:24">
      <c r="A751" s="2" t="s">
        <v>3478</v>
      </c>
      <c r="B751" s="2" t="s">
        <v>3479</v>
      </c>
      <c r="C751" s="2" t="s">
        <v>3480</v>
      </c>
      <c r="D751" s="2" t="s">
        <v>3481</v>
      </c>
      <c r="E751" s="2" t="s">
        <v>107</v>
      </c>
      <c r="F751" s="2" t="s">
        <v>115</v>
      </c>
      <c r="G751" s="2" t="s">
        <v>42</v>
      </c>
      <c r="H751" s="2" t="s">
        <v>216</v>
      </c>
      <c r="I751" s="2" t="s">
        <v>217</v>
      </c>
      <c r="J751" s="2" t="s">
        <v>86</v>
      </c>
      <c r="K751" s="2" t="s">
        <v>382</v>
      </c>
      <c r="L751" s="2" t="s">
        <v>3482</v>
      </c>
      <c r="M751" s="2" t="s">
        <v>67</v>
      </c>
      <c r="N751" s="2">
        <v>1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34</v>
      </c>
      <c r="U751" s="2" t="s">
        <v>35</v>
      </c>
      <c r="V751" s="2" t="str">
        <f t="shared" si="33"/>
        <v>ORD-2024-1075021 Mar 20242024-03-25CUST-4457Aditi SenHome OfficeEastAssamGuwahatiTechnologyMachinesClassic Machines 543Standard Class11716.70.151459.191055.79403.4PaidCompleted</v>
      </c>
      <c r="W751" s="2">
        <f t="shared" si="34"/>
        <v>1</v>
      </c>
      <c r="X751">
        <f t="shared" si="35"/>
        <v>1</v>
      </c>
    </row>
    <row r="752" spans="1:24">
      <c r="A752" s="2" t="s">
        <v>3483</v>
      </c>
      <c r="B752" s="2" t="s">
        <v>3484</v>
      </c>
      <c r="C752" s="2" t="s">
        <v>375</v>
      </c>
      <c r="D752" s="2" t="s">
        <v>3485</v>
      </c>
      <c r="E752" s="2" t="s">
        <v>162</v>
      </c>
      <c r="F752" s="2" t="s">
        <v>115</v>
      </c>
      <c r="G752" s="2" t="s">
        <v>62</v>
      </c>
      <c r="H752" s="2" t="s">
        <v>63</v>
      </c>
      <c r="I752" s="2" t="s">
        <v>64</v>
      </c>
      <c r="J752" s="2" t="s">
        <v>86</v>
      </c>
      <c r="K752" s="2" t="s">
        <v>87</v>
      </c>
      <c r="L752" s="2" t="s">
        <v>3486</v>
      </c>
      <c r="M752" s="2" t="s">
        <v>56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34</v>
      </c>
      <c r="U752" s="2" t="s">
        <v>35</v>
      </c>
      <c r="V752" s="2" t="str">
        <f t="shared" si="33"/>
        <v>ORD-2025-1075106/02/20252025-06-02CUST-7036Aarav SharmaHome OfficeSouthTelanganaHyderabadTechnologyAccessoriesMax Accessories 291First Class83925.930.1526696.3222724.523971.8PaidCompleted</v>
      </c>
      <c r="W752" s="2">
        <f t="shared" si="34"/>
        <v>1</v>
      </c>
      <c r="X752">
        <f t="shared" si="35"/>
        <v>1</v>
      </c>
    </row>
    <row r="753" spans="1:24">
      <c r="A753" s="2" t="s">
        <v>3487</v>
      </c>
      <c r="B753" s="2" t="s">
        <v>720</v>
      </c>
      <c r="C753" s="2" t="s">
        <v>3488</v>
      </c>
      <c r="D753" s="2" t="s">
        <v>3489</v>
      </c>
      <c r="E753" s="2" t="s">
        <v>142</v>
      </c>
      <c r="F753" s="2" t="s">
        <v>115</v>
      </c>
      <c r="H753" s="2" t="s">
        <v>174</v>
      </c>
      <c r="I753" s="2" t="s">
        <v>175</v>
      </c>
      <c r="J753" s="2" t="s">
        <v>86</v>
      </c>
      <c r="K753" s="2" t="s">
        <v>382</v>
      </c>
      <c r="L753" s="2" t="s">
        <v>3490</v>
      </c>
      <c r="N753" s="2">
        <v>3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34</v>
      </c>
      <c r="U753" s="2" t="s">
        <v>35</v>
      </c>
      <c r="V753" s="2" t="str">
        <f t="shared" si="33"/>
        <v>ORD-2025-1075218-07-202519-07-2025CUST-8512Priya MenonHome OfficeUttar PradeshNoidaTechnologyMachinesEco Machines 41432963.250.058445.266937.61507.66PaidCompleted</v>
      </c>
      <c r="W753" s="2">
        <f t="shared" si="34"/>
        <v>1</v>
      </c>
      <c r="X753">
        <f t="shared" si="35"/>
        <v>1</v>
      </c>
    </row>
    <row r="754" spans="1:24">
      <c r="A754" s="2" t="s">
        <v>3491</v>
      </c>
      <c r="B754" s="2" t="s">
        <v>2217</v>
      </c>
      <c r="C754" s="2" t="s">
        <v>3162</v>
      </c>
      <c r="D754" s="2" t="s">
        <v>3492</v>
      </c>
      <c r="E754" s="2" t="s">
        <v>107</v>
      </c>
      <c r="F754" s="2" t="s">
        <v>108</v>
      </c>
      <c r="G754" s="2" t="s">
        <v>73</v>
      </c>
      <c r="H754" s="2" t="s">
        <v>235</v>
      </c>
      <c r="I754" s="2" t="s">
        <v>236</v>
      </c>
      <c r="J754" s="2" t="s">
        <v>30</v>
      </c>
      <c r="K754" s="2" t="s">
        <v>156</v>
      </c>
      <c r="L754" s="2" t="s">
        <v>3493</v>
      </c>
      <c r="M754" s="2" t="s">
        <v>56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34</v>
      </c>
      <c r="U754" s="2" t="s">
        <v>35</v>
      </c>
      <c r="V754" s="2" t="str">
        <f t="shared" si="33"/>
        <v>ORD-2024-1075324-03-202427-03-2024CUST-6345Aditi SenCorporateWestGujaratAhmedabadOffice SuppliesStorageBasic Storage 273First Class52465.220.0511709.798372.293337.5PaidCompleted</v>
      </c>
      <c r="W754" s="2">
        <f t="shared" si="34"/>
        <v>1</v>
      </c>
      <c r="X754">
        <f t="shared" si="35"/>
        <v>1</v>
      </c>
    </row>
    <row r="755" spans="1:24">
      <c r="A755" s="2" t="s">
        <v>3494</v>
      </c>
      <c r="B755" s="2" t="s">
        <v>2438</v>
      </c>
      <c r="C755" s="2" t="s">
        <v>2798</v>
      </c>
      <c r="D755" s="2" t="s">
        <v>3495</v>
      </c>
      <c r="E755" s="2" t="s">
        <v>107</v>
      </c>
      <c r="F755" s="2" t="s">
        <v>108</v>
      </c>
      <c r="G755" s="2" t="s">
        <v>27</v>
      </c>
      <c r="H755" s="2" t="s">
        <v>506</v>
      </c>
      <c r="I755" s="2" t="s">
        <v>507</v>
      </c>
      <c r="J755" s="2" t="s">
        <v>45</v>
      </c>
      <c r="K755" s="2" t="s">
        <v>65</v>
      </c>
      <c r="L755" s="2" t="s">
        <v>3496</v>
      </c>
      <c r="M755" s="2" t="s">
        <v>33</v>
      </c>
      <c r="N755" s="2">
        <v>3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200</v>
      </c>
      <c r="U755" s="2" t="s">
        <v>125</v>
      </c>
      <c r="V755" s="2" t="str">
        <f t="shared" si="33"/>
        <v>ORD-2024-1075411 Aug 202410-08-2024CUST-4505Aditi SenCorporateNorthDelhiNew DelhiFurnitureFurnishingsElite Furnishings 588Second Class31017.220.152593.911848.48745.43FailedReturned</v>
      </c>
      <c r="W755" s="2">
        <f t="shared" si="34"/>
        <v>1</v>
      </c>
      <c r="X755">
        <f t="shared" si="35"/>
        <v>1</v>
      </c>
    </row>
    <row r="756" spans="1:24">
      <c r="A756" s="2" t="s">
        <v>3497</v>
      </c>
      <c r="B756" s="2" t="s">
        <v>3498</v>
      </c>
      <c r="C756" s="2" t="s">
        <v>3498</v>
      </c>
      <c r="D756" s="2" t="s">
        <v>3499</v>
      </c>
      <c r="E756" s="2" t="s">
        <v>93</v>
      </c>
      <c r="F756" s="2" t="s">
        <v>108</v>
      </c>
      <c r="G756" s="2" t="s">
        <v>62</v>
      </c>
      <c r="H756" s="2" t="s">
        <v>242</v>
      </c>
      <c r="I756" s="2" t="s">
        <v>243</v>
      </c>
      <c r="J756" s="2" t="s">
        <v>30</v>
      </c>
      <c r="K756" s="2" t="s">
        <v>156</v>
      </c>
      <c r="L756" s="2" t="s">
        <v>3500</v>
      </c>
      <c r="M756" s="2" t="s">
        <v>67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34</v>
      </c>
      <c r="U756" s="2" t="s">
        <v>35</v>
      </c>
      <c r="V756" s="2" t="str">
        <f t="shared" si="33"/>
        <v>ORD-2025-1075506/04/202506/04/2025CUST-7960Neha GuptaCorporateSouthKeralaKochiOffice SuppliesStorageElite Storage 857Standard Class4891.340.252674.022207.57466.45PaidCompleted</v>
      </c>
      <c r="W756" s="2">
        <f t="shared" si="34"/>
        <v>1</v>
      </c>
      <c r="X756">
        <f t="shared" si="35"/>
        <v>1</v>
      </c>
    </row>
    <row r="757" spans="1:24">
      <c r="A757" s="2" t="s">
        <v>3501</v>
      </c>
      <c r="B757" s="2" t="s">
        <v>1094</v>
      </c>
      <c r="C757" s="2" t="s">
        <v>1729</v>
      </c>
      <c r="D757" s="2" t="s">
        <v>3502</v>
      </c>
      <c r="E757" s="2" t="s">
        <v>142</v>
      </c>
      <c r="F757" s="2" t="s">
        <v>115</v>
      </c>
      <c r="G757" s="2" t="s">
        <v>73</v>
      </c>
      <c r="H757" s="2" t="s">
        <v>84</v>
      </c>
      <c r="I757" s="2" t="s">
        <v>85</v>
      </c>
      <c r="J757" s="2" t="s">
        <v>30</v>
      </c>
      <c r="K757" s="2" t="s">
        <v>156</v>
      </c>
      <c r="L757" s="2" t="s">
        <v>3503</v>
      </c>
      <c r="M757" s="2" t="s">
        <v>33</v>
      </c>
      <c r="N757" s="2">
        <v>5</v>
      </c>
      <c r="O757" s="2">
        <v>2481.7399999999998</v>
      </c>
      <c r="P757" s="2">
        <v>0.2</v>
      </c>
      <c r="Q757" s="2">
        <v>9926.9599999999991</v>
      </c>
      <c r="R757" s="2">
        <v>7994.98</v>
      </c>
      <c r="S757" s="2">
        <v>1931.98</v>
      </c>
      <c r="T757" s="2" t="s">
        <v>34</v>
      </c>
      <c r="U757" s="2" t="s">
        <v>35</v>
      </c>
      <c r="V757" s="2" t="str">
        <f t="shared" si="33"/>
        <v>ORD-2025-1075620-07-202524-07-2025CUST-3365Priya MenonHome OfficeWestMadhya PradeshIndoreOffice SuppliesStoragePrime Storage 183Second Class52481.740.29926.967994.981931.98PaidCompleted</v>
      </c>
      <c r="W757" s="2">
        <f t="shared" si="34"/>
        <v>1</v>
      </c>
      <c r="X757">
        <f t="shared" si="35"/>
        <v>1</v>
      </c>
    </row>
    <row r="758" spans="1:24">
      <c r="A758" s="2" t="s">
        <v>3504</v>
      </c>
      <c r="B758" s="2" t="s">
        <v>3505</v>
      </c>
      <c r="C758" s="2" t="s">
        <v>3506</v>
      </c>
      <c r="D758" s="2" t="s">
        <v>3507</v>
      </c>
      <c r="E758" s="2" t="s">
        <v>180</v>
      </c>
      <c r="F758" s="2" t="s">
        <v>26</v>
      </c>
      <c r="G758" s="2" t="s">
        <v>27</v>
      </c>
      <c r="H758" s="2" t="s">
        <v>28</v>
      </c>
      <c r="I758" s="2" t="s">
        <v>29</v>
      </c>
      <c r="J758" s="2" t="s">
        <v>86</v>
      </c>
      <c r="K758" s="2" t="s">
        <v>87</v>
      </c>
      <c r="L758" s="2" t="s">
        <v>3508</v>
      </c>
      <c r="M758" s="2" t="s">
        <v>48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34</v>
      </c>
      <c r="U758" s="2" t="s">
        <v>125</v>
      </c>
      <c r="V758" s="2" t="str">
        <f t="shared" si="33"/>
        <v>ORD-2024-1075710/27/202411/01/2024CUST-1557Rohan MehtaConsumerNorthRajasthanJaipurTechnologyAccessoriesSmart Accessories 362Same Day72177.10.212191.7610457.491734.27PaidReturned</v>
      </c>
      <c r="W758" s="2">
        <f t="shared" si="34"/>
        <v>1</v>
      </c>
      <c r="X758">
        <f t="shared" si="35"/>
        <v>1</v>
      </c>
    </row>
    <row r="759" spans="1:24">
      <c r="A759" s="2" t="s">
        <v>3509</v>
      </c>
      <c r="B759" s="2" t="s">
        <v>3510</v>
      </c>
      <c r="C759" s="2" t="s">
        <v>3511</v>
      </c>
      <c r="D759" s="2" t="s">
        <v>3512</v>
      </c>
      <c r="E759" s="2" t="s">
        <v>107</v>
      </c>
      <c r="F759" s="2" t="s">
        <v>41</v>
      </c>
      <c r="G759" s="2" t="s">
        <v>62</v>
      </c>
      <c r="H759" s="2" t="s">
        <v>242</v>
      </c>
      <c r="I759" s="2" t="s">
        <v>243</v>
      </c>
      <c r="J759" s="2" t="s">
        <v>45</v>
      </c>
      <c r="K759" s="2" t="s">
        <v>204</v>
      </c>
      <c r="L759" s="2" t="s">
        <v>3513</v>
      </c>
      <c r="M759" s="2" t="s">
        <v>67</v>
      </c>
      <c r="N759" s="2">
        <v>3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200</v>
      </c>
      <c r="U759" s="2" t="s">
        <v>78</v>
      </c>
      <c r="V759" s="2" t="str">
        <f t="shared" si="33"/>
        <v>ORD-2025-1075801 Aug 20252025-08-03CUST-3058Aditi SenSmall BusinessSouthKeralaKochiFurnitureBookcasesClassic Bookcases 310Standard Class31904.780.254285.762386.331899.43FailedCancelled</v>
      </c>
      <c r="W759" s="2">
        <f t="shared" si="34"/>
        <v>1</v>
      </c>
      <c r="X759">
        <f t="shared" si="35"/>
        <v>1</v>
      </c>
    </row>
    <row r="760" spans="1:24">
      <c r="A760" s="2" t="s">
        <v>3514</v>
      </c>
      <c r="B760" s="2" t="s">
        <v>3515</v>
      </c>
      <c r="C760" s="2" t="s">
        <v>2704</v>
      </c>
      <c r="D760" s="2" t="s">
        <v>3516</v>
      </c>
      <c r="E760" s="2" t="s">
        <v>162</v>
      </c>
      <c r="F760" s="2" t="s">
        <v>41</v>
      </c>
      <c r="G760" s="2" t="s">
        <v>62</v>
      </c>
      <c r="H760" s="2" t="s">
        <v>229</v>
      </c>
      <c r="I760" s="2" t="s">
        <v>230</v>
      </c>
      <c r="J760" s="2" t="s">
        <v>45</v>
      </c>
      <c r="K760" s="2" t="s">
        <v>76</v>
      </c>
      <c r="L760" s="2" t="s">
        <v>3517</v>
      </c>
      <c r="M760" s="2" t="s">
        <v>67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34</v>
      </c>
      <c r="U760" s="2" t="s">
        <v>35</v>
      </c>
      <c r="V760" s="2" t="str">
        <f t="shared" si="33"/>
        <v>ORD-2024-1075902 May 202410 May 2024CUST-6076Aarav SharmaSmall BusinessSouthKarnatakaBengaluruFurnitureChairsPrime Chairs 721Standard Class14166.9104166.913412.63754.28PaidCompleted</v>
      </c>
      <c r="W760" s="2">
        <f t="shared" si="34"/>
        <v>1</v>
      </c>
      <c r="X760">
        <f t="shared" si="35"/>
        <v>1</v>
      </c>
    </row>
    <row r="761" spans="1:24">
      <c r="A761" s="2" t="s">
        <v>3518</v>
      </c>
      <c r="B761" s="2" t="s">
        <v>406</v>
      </c>
      <c r="C761" s="2" t="s">
        <v>3519</v>
      </c>
      <c r="D761" s="2" t="s">
        <v>3520</v>
      </c>
      <c r="E761" s="2" t="s">
        <v>61</v>
      </c>
      <c r="F761" s="2" t="s">
        <v>115</v>
      </c>
      <c r="G761" s="2" t="s">
        <v>62</v>
      </c>
      <c r="H761" s="2" t="s">
        <v>229</v>
      </c>
      <c r="I761" s="2" t="s">
        <v>230</v>
      </c>
      <c r="J761" s="2" t="s">
        <v>45</v>
      </c>
      <c r="K761" s="2" t="s">
        <v>46</v>
      </c>
      <c r="L761" s="2" t="s">
        <v>3521</v>
      </c>
      <c r="M761" s="2" t="s">
        <v>33</v>
      </c>
      <c r="N761" s="2">
        <v>5</v>
      </c>
      <c r="O761" s="2">
        <v>3986.01</v>
      </c>
      <c r="P761" s="2">
        <v>0.25</v>
      </c>
      <c r="Q761" s="2">
        <v>14947.54</v>
      </c>
      <c r="R761" s="2">
        <v>9438.4599999999991</v>
      </c>
      <c r="S761" s="2">
        <v>5509.08</v>
      </c>
      <c r="T761" s="2" t="s">
        <v>34</v>
      </c>
      <c r="U761" s="2" t="s">
        <v>35</v>
      </c>
      <c r="V761" s="2" t="str">
        <f t="shared" si="33"/>
        <v>ORD-2024-107602024-07-1926-07-2024CUST-2098Arjun BoseHome OfficeSouthKarnatakaBengaluruFurnitureTablesPrime Tables 797Second Class53986.010.2514947.549438.465509.08PaidCompleted</v>
      </c>
      <c r="W761" s="2">
        <f t="shared" si="34"/>
        <v>1</v>
      </c>
      <c r="X761">
        <f t="shared" si="35"/>
        <v>1</v>
      </c>
    </row>
    <row r="762" spans="1:24">
      <c r="A762" s="2" t="s">
        <v>3522</v>
      </c>
      <c r="B762" s="2" t="s">
        <v>3523</v>
      </c>
      <c r="C762" s="2" t="s">
        <v>1195</v>
      </c>
      <c r="D762" s="2" t="s">
        <v>3524</v>
      </c>
      <c r="E762" s="2" t="s">
        <v>107</v>
      </c>
      <c r="F762" s="2" t="s">
        <v>115</v>
      </c>
      <c r="G762" s="2" t="s">
        <v>42</v>
      </c>
      <c r="H762" s="2" t="s">
        <v>216</v>
      </c>
      <c r="I762" s="2" t="s">
        <v>217</v>
      </c>
      <c r="J762" s="2" t="s">
        <v>30</v>
      </c>
      <c r="K762" s="2" t="s">
        <v>54</v>
      </c>
      <c r="L762" s="2" t="s">
        <v>3525</v>
      </c>
      <c r="M762" s="2" t="s">
        <v>33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137</v>
      </c>
      <c r="U762" s="2" t="s">
        <v>125</v>
      </c>
      <c r="V762" s="2" t="str">
        <f t="shared" si="33"/>
        <v>ORD-2024-1076128-08-202402 Sep 2024CUST-7193Aditi SenHome OfficeEastAssamGuwahatiOffice SuppliesArtMax Art 926Second Class43365.53013462.127600.635861.49PendingReturned</v>
      </c>
      <c r="W762" s="2">
        <f t="shared" si="34"/>
        <v>1</v>
      </c>
      <c r="X762">
        <f t="shared" si="35"/>
        <v>1</v>
      </c>
    </row>
    <row r="763" spans="1:24">
      <c r="A763" s="2" t="s">
        <v>3526</v>
      </c>
      <c r="B763" s="2" t="s">
        <v>455</v>
      </c>
      <c r="C763" s="2" t="s">
        <v>3527</v>
      </c>
      <c r="D763" s="2" t="s">
        <v>3528</v>
      </c>
      <c r="E763" s="2" t="s">
        <v>53</v>
      </c>
      <c r="F763" s="2" t="s">
        <v>26</v>
      </c>
      <c r="G763" s="2" t="s">
        <v>62</v>
      </c>
      <c r="H763" s="2" t="s">
        <v>229</v>
      </c>
      <c r="I763" s="2" t="s">
        <v>230</v>
      </c>
      <c r="J763" s="2" t="s">
        <v>86</v>
      </c>
      <c r="K763" s="2" t="s">
        <v>382</v>
      </c>
      <c r="L763" s="2" t="s">
        <v>3529</v>
      </c>
      <c r="M763" s="2" t="s">
        <v>56</v>
      </c>
      <c r="N763" s="2">
        <v>3</v>
      </c>
      <c r="O763" s="2">
        <v>2489.12</v>
      </c>
      <c r="P763" s="2">
        <v>0</v>
      </c>
      <c r="Q763" s="2">
        <v>7467.36</v>
      </c>
      <c r="R763" s="2">
        <v>5010.6099999999997</v>
      </c>
      <c r="S763" s="2">
        <v>2456.75</v>
      </c>
      <c r="T763" s="2" t="s">
        <v>34</v>
      </c>
      <c r="U763" s="2" t="s">
        <v>35</v>
      </c>
      <c r="V763" s="2" t="str">
        <f t="shared" si="33"/>
        <v>ORD-2025-1076227 Aug 202508/31/2025CUST-8948Isha NairConsumerSouthKarnatakaBengaluruTechnologyMachinesMax Machines 364First Class32489.1207467.365010.612456.75PaidCompleted</v>
      </c>
      <c r="W763" s="2">
        <f t="shared" si="34"/>
        <v>1</v>
      </c>
      <c r="X763">
        <f t="shared" si="35"/>
        <v>1</v>
      </c>
    </row>
    <row r="764" spans="1:24">
      <c r="A764" s="2" t="s">
        <v>3530</v>
      </c>
      <c r="B764" s="2" t="s">
        <v>3531</v>
      </c>
      <c r="C764" s="2" t="s">
        <v>3532</v>
      </c>
      <c r="D764" s="2" t="s">
        <v>3533</v>
      </c>
      <c r="E764" s="2" t="s">
        <v>210</v>
      </c>
      <c r="F764" s="2" t="s">
        <v>108</v>
      </c>
      <c r="G764" s="2" t="s">
        <v>73</v>
      </c>
      <c r="H764" s="2" t="s">
        <v>84</v>
      </c>
      <c r="I764" s="2" t="s">
        <v>85</v>
      </c>
      <c r="J764" s="2" t="s">
        <v>86</v>
      </c>
      <c r="K764" s="2" t="s">
        <v>382</v>
      </c>
      <c r="L764" s="2" t="s">
        <v>3534</v>
      </c>
      <c r="M764" s="2" t="s">
        <v>33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124</v>
      </c>
      <c r="U764" s="2" t="s">
        <v>125</v>
      </c>
      <c r="V764" s="2" t="str">
        <f t="shared" si="33"/>
        <v>ORD-2024-1076301/01/202405 Jan 2024CUST-6921Diya PatelCorporateWestMadhya PradeshIndoreTechnologyMachinesClassic Machines 122Second Class23694.120.25910.594775.441135.15RefundedReturned</v>
      </c>
      <c r="W764" s="2">
        <f t="shared" si="34"/>
        <v>1</v>
      </c>
      <c r="X764">
        <f t="shared" si="35"/>
        <v>1</v>
      </c>
    </row>
    <row r="765" spans="1:24">
      <c r="A765" s="2" t="s">
        <v>3535</v>
      </c>
      <c r="B765" s="2" t="s">
        <v>3536</v>
      </c>
      <c r="C765" s="2" t="s">
        <v>3537</v>
      </c>
      <c r="D765" s="2" t="s">
        <v>3538</v>
      </c>
      <c r="E765" s="2" t="s">
        <v>210</v>
      </c>
      <c r="F765" s="2" t="s">
        <v>26</v>
      </c>
      <c r="G765" s="2" t="s">
        <v>27</v>
      </c>
      <c r="H765" s="2" t="s">
        <v>28</v>
      </c>
      <c r="I765" s="2" t="s">
        <v>29</v>
      </c>
      <c r="J765" s="2" t="s">
        <v>45</v>
      </c>
      <c r="K765" s="2" t="s">
        <v>65</v>
      </c>
      <c r="L765" s="2" t="s">
        <v>3539</v>
      </c>
      <c r="M765" s="2" t="s">
        <v>48</v>
      </c>
      <c r="N765" s="2">
        <v>6</v>
      </c>
      <c r="O765" s="2">
        <v>2742.48</v>
      </c>
      <c r="P765" s="2">
        <v>0</v>
      </c>
      <c r="Q765" s="2">
        <v>16454.88</v>
      </c>
      <c r="R765" s="2">
        <v>12081.54</v>
      </c>
      <c r="S765" s="2">
        <v>4373.34</v>
      </c>
      <c r="T765" s="2" t="s">
        <v>34</v>
      </c>
      <c r="U765" s="2" t="s">
        <v>35</v>
      </c>
      <c r="V765" s="2" t="str">
        <f t="shared" si="33"/>
        <v>ORD-2025-1076423 Aug 20252025-08-25CUST-4086Diya PatelConsumerNorthRajasthanJaipurFurnitureFurnishingsElite Furnishings 169Same Day62742.48016454.8812081.544373.34PaidCompleted</v>
      </c>
      <c r="W765" s="2">
        <f t="shared" si="34"/>
        <v>1</v>
      </c>
      <c r="X765">
        <f t="shared" si="35"/>
        <v>1</v>
      </c>
    </row>
    <row r="766" spans="1:24">
      <c r="A766" s="2" t="s">
        <v>3540</v>
      </c>
      <c r="B766" s="2" t="s">
        <v>1862</v>
      </c>
      <c r="C766" s="2" t="s">
        <v>2913</v>
      </c>
      <c r="D766" s="2" t="s">
        <v>1354</v>
      </c>
      <c r="E766" s="2" t="s">
        <v>142</v>
      </c>
      <c r="F766" s="2" t="s">
        <v>108</v>
      </c>
      <c r="G766" s="2" t="s">
        <v>62</v>
      </c>
      <c r="H766" s="2" t="s">
        <v>242</v>
      </c>
      <c r="I766" s="2" t="s">
        <v>243</v>
      </c>
      <c r="J766" s="2" t="s">
        <v>45</v>
      </c>
      <c r="K766" s="2" t="s">
        <v>204</v>
      </c>
      <c r="L766" s="2" t="s">
        <v>3541</v>
      </c>
      <c r="M766" s="2" t="s">
        <v>56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34</v>
      </c>
      <c r="U766" s="2" t="s">
        <v>35</v>
      </c>
      <c r="V766" s="2" t="str">
        <f t="shared" si="33"/>
        <v>ORD-2025-107652025-04-1313-04-2025CUST-5174Priya MenonCorporateSouthKeralaKochiFurnitureBookcasesPro Bookcases 615First Class644140.0525159.821606.833552.97PaidCompleted</v>
      </c>
      <c r="W766" s="2">
        <f t="shared" si="34"/>
        <v>1</v>
      </c>
      <c r="X766">
        <f t="shared" si="35"/>
        <v>1</v>
      </c>
    </row>
    <row r="767" spans="1:24">
      <c r="A767" s="2" t="s">
        <v>3542</v>
      </c>
      <c r="B767" s="2" t="s">
        <v>3543</v>
      </c>
      <c r="C767" s="2" t="s">
        <v>3544</v>
      </c>
      <c r="D767" s="2" t="s">
        <v>3545</v>
      </c>
      <c r="E767" s="2" t="s">
        <v>83</v>
      </c>
      <c r="F767" s="2" t="s">
        <v>108</v>
      </c>
      <c r="G767" s="2" t="s">
        <v>42</v>
      </c>
      <c r="H767" s="2" t="s">
        <v>311</v>
      </c>
      <c r="I767" s="2" t="s">
        <v>312</v>
      </c>
      <c r="J767" s="2" t="s">
        <v>30</v>
      </c>
      <c r="K767" s="2" t="s">
        <v>109</v>
      </c>
      <c r="L767" s="2" t="s">
        <v>3546</v>
      </c>
      <c r="M767" s="2" t="s">
        <v>56</v>
      </c>
      <c r="N767" s="2">
        <v>3</v>
      </c>
      <c r="O767" s="2">
        <v>608.14</v>
      </c>
      <c r="P767" s="2">
        <v>0</v>
      </c>
      <c r="Q767" s="2">
        <v>1824.42</v>
      </c>
      <c r="R767" s="2">
        <v>1214.8699999999999</v>
      </c>
      <c r="S767" s="2">
        <v>609.54999999999995</v>
      </c>
      <c r="T767" s="2" t="s">
        <v>34</v>
      </c>
      <c r="U767" s="2" t="s">
        <v>35</v>
      </c>
      <c r="V767" s="2" t="str">
        <f t="shared" si="33"/>
        <v>ORD-2025-1076629-06-20252025-07-03CUST-8747Vikram IyerCorporateEastJharkhandRanchiOffice SuppliesLabelsMax Labels 136First Class3608.1401824.421214.87609.55PaidCompleted</v>
      </c>
      <c r="W767" s="2">
        <f t="shared" si="34"/>
        <v>1</v>
      </c>
      <c r="X767">
        <f t="shared" si="35"/>
        <v>1</v>
      </c>
    </row>
    <row r="768" spans="1:24">
      <c r="A768" s="2" t="s">
        <v>3547</v>
      </c>
      <c r="B768" s="2" t="s">
        <v>3548</v>
      </c>
      <c r="C768" s="2" t="s">
        <v>2009</v>
      </c>
      <c r="D768" s="2" t="s">
        <v>3549</v>
      </c>
      <c r="E768" s="2" t="s">
        <v>40</v>
      </c>
      <c r="F768" s="2" t="s">
        <v>108</v>
      </c>
      <c r="G768" s="2" t="s">
        <v>73</v>
      </c>
      <c r="H768" s="2" t="s">
        <v>235</v>
      </c>
      <c r="I768" s="2" t="s">
        <v>236</v>
      </c>
      <c r="J768" s="2" t="s">
        <v>30</v>
      </c>
      <c r="K768" s="2" t="s">
        <v>54</v>
      </c>
      <c r="L768" s="2" t="s">
        <v>3550</v>
      </c>
      <c r="M768" s="2" t="s">
        <v>33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34</v>
      </c>
      <c r="U768" s="2" t="s">
        <v>78</v>
      </c>
      <c r="V768" s="2" t="str">
        <f t="shared" si="33"/>
        <v>ORD-2024-1076717 Sep 202424 Sep 2024CUST-3156Mira DasCorporateWestGujaratAhmedabadOffice SuppliesArtPrime Art 380Second Class92307.960.216617.319195.737421.58PaidCancelled</v>
      </c>
      <c r="W768" s="2">
        <f t="shared" si="34"/>
        <v>1</v>
      </c>
      <c r="X768">
        <f t="shared" si="35"/>
        <v>1</v>
      </c>
    </row>
    <row r="769" spans="1:24">
      <c r="A769" s="2" t="s">
        <v>3551</v>
      </c>
      <c r="B769" s="2" t="s">
        <v>3552</v>
      </c>
      <c r="C769" s="2" t="s">
        <v>2708</v>
      </c>
      <c r="D769" s="2" t="s">
        <v>3553</v>
      </c>
      <c r="E769" s="2" t="s">
        <v>72</v>
      </c>
      <c r="F769" s="2" t="s">
        <v>115</v>
      </c>
      <c r="G769" s="2" t="s">
        <v>27</v>
      </c>
      <c r="H769" s="2" t="s">
        <v>174</v>
      </c>
      <c r="I769" s="2" t="s">
        <v>175</v>
      </c>
      <c r="J769" s="2" t="s">
        <v>918</v>
      </c>
      <c r="K769" s="2" t="s">
        <v>198</v>
      </c>
      <c r="L769" s="2" t="s">
        <v>3554</v>
      </c>
      <c r="M769" s="2" t="s">
        <v>67</v>
      </c>
      <c r="N769" s="2">
        <v>1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34</v>
      </c>
      <c r="U769" s="2" t="s">
        <v>35</v>
      </c>
      <c r="V769" s="2" t="str">
        <f t="shared" si="33"/>
        <v>ORD-2024-1076803 May 202405/06/2024CUST-2043Ananya RaoHome OfficeNorthUttar PradeshNoidaOFFICE SUPPLIESBindersClassic Binders 234Standard Class11244.580.25933.43583.09350.34PaidCompleted</v>
      </c>
      <c r="W769" s="2">
        <f t="shared" si="34"/>
        <v>1</v>
      </c>
      <c r="X769">
        <f t="shared" si="35"/>
        <v>1</v>
      </c>
    </row>
    <row r="770" spans="1:24">
      <c r="A770" s="2" t="s">
        <v>3555</v>
      </c>
      <c r="B770" s="2" t="s">
        <v>1812</v>
      </c>
      <c r="C770" s="2" t="s">
        <v>3556</v>
      </c>
      <c r="D770" s="2" t="s">
        <v>3557</v>
      </c>
      <c r="E770" s="2" t="s">
        <v>168</v>
      </c>
      <c r="F770" s="2" t="s">
        <v>115</v>
      </c>
      <c r="G770" s="2" t="s">
        <v>42</v>
      </c>
      <c r="H770" s="2" t="s">
        <v>311</v>
      </c>
      <c r="I770" s="2" t="s">
        <v>312</v>
      </c>
      <c r="J770" s="2" t="s">
        <v>30</v>
      </c>
      <c r="K770" s="2" t="s">
        <v>31</v>
      </c>
      <c r="L770" s="2" t="s">
        <v>3558</v>
      </c>
      <c r="M770" s="2" t="s">
        <v>48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34</v>
      </c>
      <c r="U770" s="2" t="s">
        <v>35</v>
      </c>
      <c r="V770" s="2" t="str">
        <f t="shared" si="33"/>
        <v>ORD-2025-107692025-04-022025-04-04CUST-8808Sneha KapoorHome OfficeEastJharkhandRanchiOffice SuppliesPaperClassic Paper 280Same Day53234.240.114554.0811166.843387.24PaidCompleted</v>
      </c>
      <c r="W770" s="2">
        <f t="shared" si="34"/>
        <v>1</v>
      </c>
      <c r="X770">
        <f t="shared" si="35"/>
        <v>1</v>
      </c>
    </row>
    <row r="771" spans="1:24">
      <c r="A771" s="2" t="s">
        <v>3559</v>
      </c>
      <c r="B771" s="2" t="s">
        <v>3560</v>
      </c>
      <c r="C771" s="2" t="s">
        <v>2018</v>
      </c>
      <c r="D771" s="2" t="s">
        <v>3561</v>
      </c>
      <c r="E771" s="2" t="s">
        <v>142</v>
      </c>
      <c r="F771" s="2" t="s">
        <v>115</v>
      </c>
      <c r="G771" s="2" t="s">
        <v>73</v>
      </c>
      <c r="H771" s="2" t="s">
        <v>249</v>
      </c>
      <c r="I771" s="2" t="s">
        <v>250</v>
      </c>
      <c r="J771" s="2" t="s">
        <v>45</v>
      </c>
      <c r="K771" s="2" t="s">
        <v>204</v>
      </c>
      <c r="L771" s="2" t="s">
        <v>3562</v>
      </c>
      <c r="M771" s="2" t="s">
        <v>48</v>
      </c>
      <c r="N771" s="2">
        <v>3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34</v>
      </c>
      <c r="U771" s="2" t="s">
        <v>35</v>
      </c>
      <c r="V771" s="2" t="str">
        <f t="shared" ref="V771:V834" si="36">_xlfn.CONCAT(A771:U771)</f>
        <v>ORD-2024-1077005/11/202413 May 2024CUST-1293Priya MenonHome OfficeWestGoaPanajiFurnitureBookcasesClassic Bookcases 922Same Day33612.750.258128.695071.663057.03PaidCompleted</v>
      </c>
      <c r="W771" s="2">
        <f t="shared" ref="W771:W834" si="37">COUNTIF($V$2:$V$933,V771)</f>
        <v>1</v>
      </c>
      <c r="X771">
        <f t="shared" ref="X771:X834" si="38">COUNTIF($A$2:$A$933,A771)</f>
        <v>1</v>
      </c>
    </row>
    <row r="772" spans="1:24">
      <c r="A772" s="2" t="s">
        <v>3563</v>
      </c>
      <c r="B772" s="2" t="s">
        <v>2307</v>
      </c>
      <c r="C772" s="2" t="s">
        <v>2762</v>
      </c>
      <c r="D772" s="2" t="s">
        <v>3564</v>
      </c>
      <c r="E772" s="2" t="s">
        <v>93</v>
      </c>
      <c r="F772" s="2" t="s">
        <v>26</v>
      </c>
      <c r="G772" s="2" t="s">
        <v>27</v>
      </c>
      <c r="H772" s="2" t="s">
        <v>174</v>
      </c>
      <c r="I772" s="2" t="s">
        <v>175</v>
      </c>
      <c r="J772" s="2" t="s">
        <v>86</v>
      </c>
      <c r="K772" s="2" t="s">
        <v>94</v>
      </c>
      <c r="L772" s="2" t="s">
        <v>3565</v>
      </c>
      <c r="M772" s="2" t="s">
        <v>56</v>
      </c>
      <c r="N772" s="2">
        <v>4</v>
      </c>
      <c r="O772" s="2">
        <v>863</v>
      </c>
      <c r="Q772" s="2">
        <v>3106.8</v>
      </c>
      <c r="R772" s="2">
        <v>2376.62</v>
      </c>
      <c r="S772" s="2">
        <v>730.18</v>
      </c>
      <c r="T772" s="2" t="s">
        <v>34</v>
      </c>
      <c r="U772" s="2" t="s">
        <v>35</v>
      </c>
      <c r="V772" s="2" t="str">
        <f t="shared" si="36"/>
        <v>ORD-2024-1077102/15/202417-02-2024CUST-8384Neha GuptaConsumerNorthUttar PradeshNoidaTechnologyCopiersEco Copiers 396First Class48633106.82376.62730.18PaidCompleted</v>
      </c>
      <c r="W772" s="2">
        <f t="shared" si="37"/>
        <v>1</v>
      </c>
      <c r="X772">
        <f t="shared" si="38"/>
        <v>1</v>
      </c>
    </row>
    <row r="773" spans="1:24">
      <c r="A773" s="2" t="s">
        <v>3566</v>
      </c>
      <c r="B773" s="2" t="s">
        <v>3567</v>
      </c>
      <c r="C773" s="2" t="s">
        <v>2623</v>
      </c>
      <c r="D773" s="2" t="s">
        <v>691</v>
      </c>
      <c r="E773" s="2" t="s">
        <v>72</v>
      </c>
      <c r="F773" s="2" t="s">
        <v>26</v>
      </c>
      <c r="G773" s="2" t="s">
        <v>27</v>
      </c>
      <c r="H773" s="2" t="s">
        <v>323</v>
      </c>
      <c r="I773" s="2" t="s">
        <v>324</v>
      </c>
      <c r="J773" s="2" t="s">
        <v>86</v>
      </c>
      <c r="K773" s="2" t="s">
        <v>382</v>
      </c>
      <c r="L773" s="2" t="s">
        <v>3568</v>
      </c>
      <c r="M773" s="2" t="s">
        <v>33</v>
      </c>
      <c r="N773" s="2">
        <v>4</v>
      </c>
      <c r="O773" s="2">
        <v>2131.41</v>
      </c>
      <c r="Q773" s="2">
        <v>6394.23</v>
      </c>
      <c r="R773" s="2">
        <v>3520.69</v>
      </c>
      <c r="S773" s="2">
        <v>2873.54</v>
      </c>
      <c r="T773" s="2" t="s">
        <v>34</v>
      </c>
      <c r="U773" s="2" t="s">
        <v>35</v>
      </c>
      <c r="V773" s="2" t="str">
        <f t="shared" si="36"/>
        <v>ORD-2024-107722024-07-122024-07-14CUST-7861Ananya RaoConsumerNorthHaryanaGurugramTechnologyMachinesBasic Machines 401Second Class42131.416394.233520.692873.54PaidCompleted</v>
      </c>
      <c r="W773" s="2">
        <f t="shared" si="37"/>
        <v>1</v>
      </c>
      <c r="X773">
        <f t="shared" si="38"/>
        <v>1</v>
      </c>
    </row>
    <row r="774" spans="1:24">
      <c r="A774" s="2" t="s">
        <v>3569</v>
      </c>
      <c r="B774" s="2" t="s">
        <v>171</v>
      </c>
      <c r="C774" s="2" t="s">
        <v>1571</v>
      </c>
      <c r="D774" s="2" t="s">
        <v>3570</v>
      </c>
      <c r="E774" s="2" t="s">
        <v>210</v>
      </c>
      <c r="F774" s="2" t="s">
        <v>26</v>
      </c>
      <c r="G774" s="2" t="s">
        <v>62</v>
      </c>
      <c r="H774" s="2" t="s">
        <v>339</v>
      </c>
      <c r="I774" s="2" t="s">
        <v>340</v>
      </c>
      <c r="J774" s="2" t="s">
        <v>45</v>
      </c>
      <c r="K774" s="2" t="s">
        <v>76</v>
      </c>
      <c r="L774" s="2" t="s">
        <v>3571</v>
      </c>
      <c r="M774" s="2" t="s">
        <v>48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137</v>
      </c>
      <c r="U774" s="2" t="s">
        <v>78</v>
      </c>
      <c r="V774" s="2" t="str">
        <f t="shared" si="36"/>
        <v>ORD-2025-1077307/15/202519 Jul 2025CUST-8422Diya PatelConsumerSouthTamil NaduChennaiFurnitureChairsBasic Chairs 279Same Day13903.220.053708.062760.29947.77PendingCancelled</v>
      </c>
      <c r="W774" s="2">
        <f t="shared" si="37"/>
        <v>1</v>
      </c>
      <c r="X774">
        <f t="shared" si="38"/>
        <v>1</v>
      </c>
    </row>
    <row r="775" spans="1:24">
      <c r="A775" s="2" t="s">
        <v>3572</v>
      </c>
      <c r="B775" s="2" t="s">
        <v>3573</v>
      </c>
      <c r="C775" s="2" t="s">
        <v>3574</v>
      </c>
      <c r="D775" s="2" t="s">
        <v>3575</v>
      </c>
      <c r="E775" s="2" t="s">
        <v>25</v>
      </c>
      <c r="F775" s="2" t="s">
        <v>115</v>
      </c>
      <c r="G775" s="2" t="s">
        <v>73</v>
      </c>
      <c r="H775" s="2" t="s">
        <v>235</v>
      </c>
      <c r="I775" s="2" t="s">
        <v>236</v>
      </c>
      <c r="J775" s="2" t="s">
        <v>86</v>
      </c>
      <c r="K775" s="2" t="s">
        <v>223</v>
      </c>
      <c r="L775" s="2" t="s">
        <v>3576</v>
      </c>
      <c r="N775" s="2">
        <v>4</v>
      </c>
      <c r="O775" s="2">
        <v>2945.07</v>
      </c>
      <c r="P775" s="2">
        <v>0.2</v>
      </c>
      <c r="Q775" s="2">
        <v>9424.2199999999993</v>
      </c>
      <c r="R775" s="2">
        <v>6178.92</v>
      </c>
      <c r="S775" s="2">
        <v>3245.3</v>
      </c>
      <c r="T775" s="2" t="s">
        <v>34</v>
      </c>
      <c r="U775" s="2" t="s">
        <v>35</v>
      </c>
      <c r="V775" s="2" t="str">
        <f t="shared" si="36"/>
        <v>ORD-2025-107742025-02-2121 Feb 2025CUST-4766Karan MalhotraHome OfficeWestGujaratAhmedabadTechnologyPhonesBasic Phones 75342945.070.29424.226178.923245.3PaidCompleted</v>
      </c>
      <c r="W775" s="2">
        <f t="shared" si="37"/>
        <v>1</v>
      </c>
      <c r="X775">
        <f t="shared" si="38"/>
        <v>1</v>
      </c>
    </row>
    <row r="776" spans="1:24">
      <c r="A776" s="2" t="s">
        <v>3577</v>
      </c>
      <c r="B776" s="2" t="s">
        <v>3578</v>
      </c>
      <c r="C776" s="2" t="s">
        <v>1799</v>
      </c>
      <c r="D776" s="2" t="s">
        <v>3579</v>
      </c>
      <c r="E776" s="2" t="s">
        <v>366</v>
      </c>
      <c r="F776" s="2" t="s">
        <v>26</v>
      </c>
      <c r="G776" s="2" t="s">
        <v>73</v>
      </c>
      <c r="H776" s="2" t="s">
        <v>28</v>
      </c>
      <c r="I776" s="2" t="s">
        <v>135</v>
      </c>
      <c r="J776" s="2" t="s">
        <v>86</v>
      </c>
      <c r="K776" s="2" t="s">
        <v>382</v>
      </c>
      <c r="L776" s="2" t="s">
        <v>3580</v>
      </c>
      <c r="N776" s="2">
        <v>9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34</v>
      </c>
      <c r="U776" s="2" t="s">
        <v>35</v>
      </c>
      <c r="V776" s="2" t="str">
        <f t="shared" si="36"/>
        <v>ORD-2025-1077507-08-20252025-08-07CUST-1182Kabir SinghConsumerWestRajasthanUdaipurTechnologyMachinesSmart Machines 78991076.750.27752.64689.33063.3PaidCompleted</v>
      </c>
      <c r="W776" s="2">
        <f t="shared" si="37"/>
        <v>1</v>
      </c>
      <c r="X776">
        <f t="shared" si="38"/>
        <v>1</v>
      </c>
    </row>
    <row r="777" spans="1:24">
      <c r="A777" s="2" t="s">
        <v>3581</v>
      </c>
      <c r="B777" s="2" t="s">
        <v>3582</v>
      </c>
      <c r="C777" s="2" t="s">
        <v>3583</v>
      </c>
      <c r="D777" s="2" t="s">
        <v>3584</v>
      </c>
      <c r="E777" s="2" t="s">
        <v>61</v>
      </c>
      <c r="F777" s="2" t="s">
        <v>26</v>
      </c>
      <c r="G777" s="2" t="s">
        <v>27</v>
      </c>
      <c r="H777" s="2" t="s">
        <v>323</v>
      </c>
      <c r="I777" s="2" t="s">
        <v>324</v>
      </c>
      <c r="J777" s="2" t="s">
        <v>86</v>
      </c>
      <c r="K777" s="2" t="s">
        <v>87</v>
      </c>
      <c r="L777" s="2" t="s">
        <v>3585</v>
      </c>
      <c r="M777" s="2" t="s">
        <v>67</v>
      </c>
      <c r="N777" s="2">
        <v>8</v>
      </c>
      <c r="O777" s="2">
        <v>3956.12</v>
      </c>
      <c r="P777" s="2">
        <v>0.25</v>
      </c>
      <c r="Q777" s="2">
        <v>23736.720000000001</v>
      </c>
      <c r="R777" s="2">
        <v>13890.9</v>
      </c>
      <c r="S777" s="2">
        <v>9845.82</v>
      </c>
      <c r="T777" s="2" t="s">
        <v>34</v>
      </c>
      <c r="U777" s="2" t="s">
        <v>35</v>
      </c>
      <c r="V777" s="2" t="str">
        <f t="shared" si="36"/>
        <v>ORD-2024-1077614 Apr 202422-04-2024CUST-4461Arjun BoseConsumerNorthHaryanaGurugramTechnologyAccessoriesElite Accessories 312Standard Class83956.120.2523736.7213890.99845.82PaidCompleted</v>
      </c>
      <c r="W777" s="2">
        <f t="shared" si="37"/>
        <v>1</v>
      </c>
      <c r="X777">
        <f t="shared" si="38"/>
        <v>1</v>
      </c>
    </row>
    <row r="778" spans="1:24">
      <c r="A778" s="2" t="s">
        <v>3586</v>
      </c>
      <c r="B778" s="2" t="s">
        <v>3587</v>
      </c>
      <c r="C778" s="2" t="s">
        <v>2351</v>
      </c>
      <c r="D778" s="2" t="s">
        <v>3588</v>
      </c>
      <c r="E778" s="2" t="s">
        <v>107</v>
      </c>
      <c r="F778" s="2" t="s">
        <v>41</v>
      </c>
      <c r="G778" s="2" t="s">
        <v>27</v>
      </c>
      <c r="H778" s="2" t="s">
        <v>28</v>
      </c>
      <c r="I778" s="2" t="s">
        <v>29</v>
      </c>
      <c r="J778" s="2" t="s">
        <v>86</v>
      </c>
      <c r="K778" s="2" t="s">
        <v>94</v>
      </c>
      <c r="L778" s="2" t="s">
        <v>3589</v>
      </c>
      <c r="M778" s="2" t="s">
        <v>33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34</v>
      </c>
      <c r="U778" s="2" t="s">
        <v>35</v>
      </c>
      <c r="V778" s="2" t="str">
        <f t="shared" si="36"/>
        <v>ORD-2025-1077708-06-202506/13/2025CUST-9690Aditi SenSmall BusinessNorthRajasthanJaipurTechnologyCopiersEco Copiers 528Second Class73857.13026999.9117815.989183.93PaidCompleted</v>
      </c>
      <c r="W778" s="2">
        <f t="shared" si="37"/>
        <v>1</v>
      </c>
      <c r="X778">
        <f t="shared" si="38"/>
        <v>1</v>
      </c>
    </row>
    <row r="779" spans="1:24">
      <c r="A779" s="2" t="s">
        <v>3590</v>
      </c>
      <c r="B779" s="2" t="s">
        <v>3591</v>
      </c>
      <c r="C779" s="2" t="s">
        <v>2280</v>
      </c>
      <c r="D779" s="2" t="s">
        <v>3592</v>
      </c>
      <c r="E779" s="2" t="s">
        <v>366</v>
      </c>
      <c r="F779" s="2" t="s">
        <v>41</v>
      </c>
      <c r="G779" s="2" t="s">
        <v>73</v>
      </c>
      <c r="H779" s="2" t="s">
        <v>84</v>
      </c>
      <c r="I779" s="2" t="s">
        <v>85</v>
      </c>
      <c r="J779" s="2" t="s">
        <v>86</v>
      </c>
      <c r="K779" s="2" t="s">
        <v>87</v>
      </c>
      <c r="L779" s="2" t="s">
        <v>3593</v>
      </c>
      <c r="M779" s="2" t="s">
        <v>33</v>
      </c>
      <c r="N779" s="2">
        <v>4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</v>
      </c>
      <c r="T779" s="2" t="s">
        <v>200</v>
      </c>
      <c r="U779" s="2" t="s">
        <v>78</v>
      </c>
      <c r="V779" s="2" t="str">
        <f t="shared" si="36"/>
        <v>ORD-2024-1077804-02-20242024-02-06CUST-6879Kabir SinghSmall BusinessWestMadhya PradeshIndoreTechnologyAccessoriesElite Accessories 226Second Class41489.740.155065.123530.121535FailedCancelled</v>
      </c>
      <c r="W779" s="2">
        <f t="shared" si="37"/>
        <v>1</v>
      </c>
      <c r="X779">
        <f t="shared" si="38"/>
        <v>1</v>
      </c>
    </row>
    <row r="780" spans="1:24">
      <c r="A780" s="2" t="s">
        <v>3594</v>
      </c>
      <c r="B780" s="2" t="s">
        <v>715</v>
      </c>
      <c r="C780" s="2" t="s">
        <v>3595</v>
      </c>
      <c r="D780" s="2" t="s">
        <v>3596</v>
      </c>
      <c r="E780" s="2" t="s">
        <v>25</v>
      </c>
      <c r="F780" s="2" t="s">
        <v>41</v>
      </c>
      <c r="G780" s="2" t="s">
        <v>27</v>
      </c>
      <c r="H780" s="2" t="s">
        <v>323</v>
      </c>
      <c r="I780" s="2" t="s">
        <v>324</v>
      </c>
      <c r="J780" s="2" t="s">
        <v>86</v>
      </c>
      <c r="K780" s="2" t="s">
        <v>94</v>
      </c>
      <c r="L780" s="2" t="s">
        <v>3597</v>
      </c>
      <c r="M780" s="2" t="s">
        <v>33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34</v>
      </c>
      <c r="U780" s="2" t="s">
        <v>35</v>
      </c>
      <c r="V780" s="2" t="str">
        <f t="shared" si="36"/>
        <v>ORD-2024-1077907/24/202424-07-2024CUST-4714Karan MalhotraSmall BusinessNorthHaryanaGurugramTechnologyCopiersPro Copiers 298Second Class41676.8806707.525672.571034.95PaidCompleted</v>
      </c>
      <c r="W780" s="2">
        <f t="shared" si="37"/>
        <v>1</v>
      </c>
      <c r="X780">
        <f t="shared" si="38"/>
        <v>1</v>
      </c>
    </row>
    <row r="781" spans="1:24">
      <c r="A781" s="2" t="s">
        <v>3598</v>
      </c>
      <c r="B781" s="2" t="s">
        <v>2205</v>
      </c>
      <c r="C781" s="2" t="s">
        <v>3599</v>
      </c>
      <c r="D781" s="2" t="s">
        <v>3600</v>
      </c>
      <c r="E781" s="2" t="s">
        <v>142</v>
      </c>
      <c r="F781" s="2" t="s">
        <v>41</v>
      </c>
      <c r="G781" s="2" t="s">
        <v>62</v>
      </c>
      <c r="H781" s="2" t="s">
        <v>100</v>
      </c>
      <c r="I781" s="2" t="s">
        <v>101</v>
      </c>
      <c r="J781" s="2" t="s">
        <v>45</v>
      </c>
      <c r="K781" s="2" t="s">
        <v>76</v>
      </c>
      <c r="L781" s="2" t="s">
        <v>3601</v>
      </c>
      <c r="M781" s="2" t="s">
        <v>67</v>
      </c>
      <c r="N781" s="2">
        <v>4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34</v>
      </c>
      <c r="U781" s="2" t="s">
        <v>35</v>
      </c>
      <c r="V781" s="2" t="str">
        <f t="shared" si="36"/>
        <v>ORD-2024-1078001/15/202420-01-2024CUST-7547Priya MenonSmall BusinessSouthAndhra PradeshVijayawadaFurnitureChairsPrime Chairs 331Standard Class43153.540.0511983.458572.93410.55PaidCompleted</v>
      </c>
      <c r="W781" s="2">
        <f t="shared" si="37"/>
        <v>1</v>
      </c>
      <c r="X781">
        <f t="shared" si="38"/>
        <v>1</v>
      </c>
    </row>
    <row r="782" spans="1:24">
      <c r="A782" s="2" t="s">
        <v>3602</v>
      </c>
      <c r="B782" s="2" t="s">
        <v>3603</v>
      </c>
      <c r="C782" s="2" t="s">
        <v>2654</v>
      </c>
      <c r="D782" s="2" t="s">
        <v>3604</v>
      </c>
      <c r="E782" s="2" t="s">
        <v>210</v>
      </c>
      <c r="F782" s="2" t="s">
        <v>41</v>
      </c>
      <c r="G782" s="2" t="s">
        <v>73</v>
      </c>
      <c r="H782" s="2" t="s">
        <v>28</v>
      </c>
      <c r="I782" s="2" t="s">
        <v>135</v>
      </c>
      <c r="J782" s="2" t="s">
        <v>45</v>
      </c>
      <c r="K782" s="2" t="s">
        <v>76</v>
      </c>
      <c r="L782" s="2" t="s">
        <v>3605</v>
      </c>
      <c r="M782" s="2" t="s">
        <v>48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34</v>
      </c>
      <c r="U782" s="2" t="s">
        <v>35</v>
      </c>
      <c r="V782" s="2" t="str">
        <f t="shared" si="36"/>
        <v>ORD-2024-1078104 Aug 202408/10/2024CUST-3288Diya PatelSmall BusinessWestRajasthanUdaipurFurnitureChairsClassic Chairs 798Same Day4426.430.21364.58978.16386.42PaidCompleted</v>
      </c>
      <c r="W782" s="2">
        <f t="shared" si="37"/>
        <v>1</v>
      </c>
      <c r="X782">
        <f t="shared" si="38"/>
        <v>1</v>
      </c>
    </row>
    <row r="783" spans="1:24">
      <c r="A783" s="2" t="s">
        <v>3606</v>
      </c>
      <c r="B783" s="2" t="s">
        <v>3607</v>
      </c>
      <c r="C783" s="2" t="s">
        <v>2129</v>
      </c>
      <c r="D783" s="2" t="s">
        <v>3608</v>
      </c>
      <c r="E783" s="2" t="s">
        <v>25</v>
      </c>
      <c r="F783" s="2" t="s">
        <v>115</v>
      </c>
      <c r="G783" s="2" t="s">
        <v>73</v>
      </c>
      <c r="H783" s="2" t="s">
        <v>28</v>
      </c>
      <c r="I783" s="2" t="s">
        <v>135</v>
      </c>
      <c r="J783" s="2" t="s">
        <v>30</v>
      </c>
      <c r="K783" s="2" t="s">
        <v>109</v>
      </c>
      <c r="L783" s="2" t="s">
        <v>3609</v>
      </c>
      <c r="M783" s="2" t="s">
        <v>56</v>
      </c>
      <c r="N783" s="2">
        <v>3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137</v>
      </c>
      <c r="U783" s="2" t="s">
        <v>125</v>
      </c>
      <c r="V783" s="2" t="str">
        <f t="shared" si="36"/>
        <v>ORD-2024-107822024-02-0210 Feb 2024CUST-8597Karan MalhotraHome OfficeWestRajasthanUdaipurOffice SuppliesLabelsClassic Labels 204First Class3383.40.25862.65603.73258.92PendingReturned</v>
      </c>
      <c r="W783" s="2">
        <f t="shared" si="37"/>
        <v>1</v>
      </c>
      <c r="X783">
        <f t="shared" si="38"/>
        <v>1</v>
      </c>
    </row>
    <row r="784" spans="1:24">
      <c r="A784" s="2" t="s">
        <v>3610</v>
      </c>
      <c r="B784" s="2" t="s">
        <v>1435</v>
      </c>
      <c r="C784" s="2" t="s">
        <v>3611</v>
      </c>
      <c r="D784" s="2" t="s">
        <v>3612</v>
      </c>
      <c r="E784" s="2" t="s">
        <v>40</v>
      </c>
      <c r="F784" s="2" t="s">
        <v>108</v>
      </c>
      <c r="G784" s="2" t="s">
        <v>42</v>
      </c>
      <c r="H784" s="2" t="s">
        <v>121</v>
      </c>
      <c r="I784" s="2" t="s">
        <v>122</v>
      </c>
      <c r="J784" s="2" t="s">
        <v>86</v>
      </c>
      <c r="K784" s="2" t="s">
        <v>94</v>
      </c>
      <c r="L784" s="2" t="s">
        <v>3613</v>
      </c>
      <c r="M784" s="2" t="s">
        <v>67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34</v>
      </c>
      <c r="U784" s="2" t="s">
        <v>35</v>
      </c>
      <c r="V784" s="2" t="str">
        <f t="shared" si="36"/>
        <v>ORD-2025-107832025-03-1403/22/2025CUST-9085Mira DasCorporateEastWest BengalKolkataTechnologyCopiersBasic Copiers 254Standard Class2669.630.151138.37797.34341.03PaidCompleted</v>
      </c>
      <c r="W784" s="2">
        <f t="shared" si="37"/>
        <v>1</v>
      </c>
      <c r="X784">
        <f t="shared" si="38"/>
        <v>1</v>
      </c>
    </row>
    <row r="785" spans="1:24">
      <c r="A785" s="2" t="s">
        <v>3614</v>
      </c>
      <c r="B785" s="2" t="s">
        <v>3615</v>
      </c>
      <c r="C785" s="2" t="s">
        <v>3616</v>
      </c>
      <c r="D785" s="2" t="s">
        <v>3617</v>
      </c>
      <c r="E785" s="2" t="s">
        <v>162</v>
      </c>
      <c r="F785" s="2" t="s">
        <v>41</v>
      </c>
      <c r="G785" s="2" t="s">
        <v>42</v>
      </c>
      <c r="H785" s="2" t="s">
        <v>186</v>
      </c>
      <c r="I785" s="2" t="s">
        <v>187</v>
      </c>
      <c r="J785" s="2" t="s">
        <v>30</v>
      </c>
      <c r="K785" s="2" t="s">
        <v>54</v>
      </c>
      <c r="L785" s="2" t="s">
        <v>3618</v>
      </c>
      <c r="M785" s="2" t="s">
        <v>33</v>
      </c>
      <c r="N785" s="2">
        <v>1</v>
      </c>
      <c r="O785" s="2">
        <v>2581.9299999999998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34</v>
      </c>
      <c r="U785" s="2" t="s">
        <v>35</v>
      </c>
      <c r="V785" s="2" t="str">
        <f t="shared" si="36"/>
        <v>ORD-2024-1078407 Jun 20242024-06-07CUST-7746Aarav SharmaSmall BusinessEastBiharPatnaOffice SuppliesArtBasic Art 709Second Class12581.930.052452.831906.7546.13PaidCompleted</v>
      </c>
      <c r="W785" s="2">
        <f t="shared" si="37"/>
        <v>1</v>
      </c>
      <c r="X785">
        <f t="shared" si="38"/>
        <v>1</v>
      </c>
    </row>
    <row r="786" spans="1:24">
      <c r="A786" s="2" t="s">
        <v>3619</v>
      </c>
      <c r="B786" s="2" t="s">
        <v>3620</v>
      </c>
      <c r="C786" s="2" t="s">
        <v>2553</v>
      </c>
      <c r="D786" s="2" t="s">
        <v>3621</v>
      </c>
      <c r="E786" s="2" t="s">
        <v>142</v>
      </c>
      <c r="F786" s="2" t="s">
        <v>108</v>
      </c>
      <c r="G786" s="2" t="s">
        <v>3622</v>
      </c>
      <c r="H786" s="2" t="s">
        <v>154</v>
      </c>
      <c r="I786" s="2" t="s">
        <v>155</v>
      </c>
      <c r="J786" s="2" t="s">
        <v>86</v>
      </c>
      <c r="K786" s="2" t="s">
        <v>94</v>
      </c>
      <c r="L786" s="2" t="s">
        <v>3623</v>
      </c>
      <c r="M786" s="2" t="s">
        <v>56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34</v>
      </c>
      <c r="U786" s="2" t="s">
        <v>35</v>
      </c>
      <c r="V786" s="2" t="str">
        <f t="shared" si="36"/>
        <v>ORD-2025-1078510/04/20252025-10-05CUST-3119Priya MenonCorporatenorthPunjabLudhianaTechnologyCopiersMax Copiers 551First Class4418.180.051589.081084.66504.42PaidCompleted</v>
      </c>
      <c r="W786" s="2">
        <f t="shared" si="37"/>
        <v>1</v>
      </c>
      <c r="X786">
        <f t="shared" si="38"/>
        <v>1</v>
      </c>
    </row>
    <row r="787" spans="1:24">
      <c r="A787" s="2" t="s">
        <v>3624</v>
      </c>
      <c r="B787" s="2" t="s">
        <v>3625</v>
      </c>
      <c r="C787" s="2" t="s">
        <v>273</v>
      </c>
      <c r="D787" s="2" t="s">
        <v>3626</v>
      </c>
      <c r="E787" s="2" t="s">
        <v>210</v>
      </c>
      <c r="F787" s="2" t="s">
        <v>41</v>
      </c>
      <c r="G787" s="2" t="s">
        <v>27</v>
      </c>
      <c r="H787" s="2" t="s">
        <v>323</v>
      </c>
      <c r="I787" s="2" t="s">
        <v>324</v>
      </c>
      <c r="J787" s="2" t="s">
        <v>30</v>
      </c>
      <c r="K787" s="2" t="s">
        <v>156</v>
      </c>
      <c r="L787" s="2" t="s">
        <v>3627</v>
      </c>
      <c r="M787" s="2" t="s">
        <v>48</v>
      </c>
      <c r="N787" s="2">
        <v>2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200</v>
      </c>
      <c r="U787" s="2" t="s">
        <v>78</v>
      </c>
      <c r="V787" s="2" t="str">
        <f t="shared" si="36"/>
        <v>ORD-2024-1078623-05-202429-05-2024CUST-7518Diya PatelSmall BusinessNorthHaryanaGurugramOffice SuppliesStorageEco Storage 183Same Day23012.940.254519.413504.161275.55FailedCancelled</v>
      </c>
      <c r="W787" s="2">
        <f t="shared" si="37"/>
        <v>1</v>
      </c>
      <c r="X787">
        <f t="shared" si="38"/>
        <v>1</v>
      </c>
    </row>
    <row r="788" spans="1:24">
      <c r="A788" s="2" t="s">
        <v>3628</v>
      </c>
      <c r="B788" s="2" t="s">
        <v>1271</v>
      </c>
      <c r="C788" s="2" t="s">
        <v>2853</v>
      </c>
      <c r="D788" s="2" t="s">
        <v>3629</v>
      </c>
      <c r="E788" s="2" t="s">
        <v>72</v>
      </c>
      <c r="F788" s="2" t="s">
        <v>108</v>
      </c>
      <c r="G788" s="2" t="s">
        <v>27</v>
      </c>
      <c r="H788" s="2" t="s">
        <v>28</v>
      </c>
      <c r="I788" s="2" t="s">
        <v>29</v>
      </c>
      <c r="J788" s="2" t="s">
        <v>45</v>
      </c>
      <c r="K788" s="2" t="s">
        <v>65</v>
      </c>
      <c r="L788" s="2" t="s">
        <v>3630</v>
      </c>
      <c r="N788" s="2">
        <v>4</v>
      </c>
      <c r="O788" s="2">
        <v>715.45</v>
      </c>
      <c r="P788" s="2">
        <v>0.05</v>
      </c>
      <c r="Q788" s="2">
        <v>2718.71</v>
      </c>
      <c r="R788" s="2">
        <v>2065.0500000000002</v>
      </c>
      <c r="S788" s="2">
        <v>653.66</v>
      </c>
      <c r="T788" s="2" t="s">
        <v>124</v>
      </c>
      <c r="U788" s="2" t="s">
        <v>125</v>
      </c>
      <c r="V788" s="2" t="str">
        <f t="shared" si="36"/>
        <v>ORD-2025-1078707/06/202508 Jul 2025CUST-1343Ananya RaoCorporateNorthRajasthanJaipurFurnitureFurnishingsPro Furnishings 2334715.450.052718.712065.05653.66RefundedReturned</v>
      </c>
      <c r="W788" s="2">
        <f t="shared" si="37"/>
        <v>1</v>
      </c>
      <c r="X788">
        <f t="shared" si="38"/>
        <v>1</v>
      </c>
    </row>
    <row r="789" spans="1:24">
      <c r="A789" s="2" t="s">
        <v>3631</v>
      </c>
      <c r="B789" s="2" t="s">
        <v>1324</v>
      </c>
      <c r="C789" s="2" t="s">
        <v>3632</v>
      </c>
      <c r="D789" s="2" t="s">
        <v>3633</v>
      </c>
      <c r="E789" s="2" t="s">
        <v>72</v>
      </c>
      <c r="F789" s="2" t="s">
        <v>115</v>
      </c>
      <c r="G789" s="2" t="s">
        <v>42</v>
      </c>
      <c r="H789" s="2" t="s">
        <v>186</v>
      </c>
      <c r="I789" s="2" t="s">
        <v>187</v>
      </c>
      <c r="J789" s="2" t="s">
        <v>30</v>
      </c>
      <c r="K789" s="2" t="s">
        <v>31</v>
      </c>
      <c r="L789" s="2" t="s">
        <v>3634</v>
      </c>
      <c r="M789" s="2" t="s">
        <v>33</v>
      </c>
      <c r="N789" s="2">
        <v>2</v>
      </c>
      <c r="O789" s="2">
        <v>3718.77</v>
      </c>
      <c r="P789" s="2">
        <v>0.05</v>
      </c>
      <c r="Q789" s="2">
        <v>7065.66</v>
      </c>
      <c r="R789" s="2">
        <v>4915.2700000000004</v>
      </c>
      <c r="S789" s="2">
        <v>2150.39</v>
      </c>
      <c r="T789" s="2" t="s">
        <v>34</v>
      </c>
      <c r="U789" s="2" t="s">
        <v>35</v>
      </c>
      <c r="V789" s="2" t="str">
        <f t="shared" si="36"/>
        <v>ORD-2024-107882024-09-122024-09-18CUST-7548Ananya RaoHome OfficeEastBiharPatnaOffice SuppliesPaperPrime Paper 878Second Class23718.770.057065.664915.272150.39PaidCompleted</v>
      </c>
      <c r="W789" s="2">
        <f t="shared" si="37"/>
        <v>1</v>
      </c>
      <c r="X789">
        <f t="shared" si="38"/>
        <v>1</v>
      </c>
    </row>
    <row r="790" spans="1:24">
      <c r="A790" s="2" t="s">
        <v>3635</v>
      </c>
      <c r="B790" s="2" t="s">
        <v>1299</v>
      </c>
      <c r="C790" s="2" t="s">
        <v>538</v>
      </c>
      <c r="D790" s="2" t="s">
        <v>3636</v>
      </c>
      <c r="E790" s="2" t="s">
        <v>53</v>
      </c>
      <c r="F790" s="2" t="s">
        <v>108</v>
      </c>
      <c r="G790" s="2" t="s">
        <v>27</v>
      </c>
      <c r="H790" s="2" t="s">
        <v>174</v>
      </c>
      <c r="I790" s="2" t="s">
        <v>175</v>
      </c>
      <c r="J790" s="2" t="s">
        <v>45</v>
      </c>
      <c r="K790" s="2" t="s">
        <v>76</v>
      </c>
      <c r="L790" s="2" t="s">
        <v>3637</v>
      </c>
      <c r="M790" s="2" t="s">
        <v>67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200</v>
      </c>
      <c r="U790" s="2" t="s">
        <v>125</v>
      </c>
      <c r="V790" s="2" t="str">
        <f t="shared" si="36"/>
        <v>ORD-2024-1078901 Aug 202402-08-2024CUST-3631Isha NairCorporateNorthUttar PradeshNoidaFurnitureChairsSmart Chairs 353Standard Class82487.640.117911.0111546.056364.96FailedReturned</v>
      </c>
      <c r="W790" s="2">
        <f t="shared" si="37"/>
        <v>1</v>
      </c>
      <c r="X790">
        <f t="shared" si="38"/>
        <v>1</v>
      </c>
    </row>
    <row r="791" spans="1:24">
      <c r="A791" s="2" t="s">
        <v>3638</v>
      </c>
      <c r="B791" s="2" t="s">
        <v>3639</v>
      </c>
      <c r="C791" s="2" t="s">
        <v>2324</v>
      </c>
      <c r="D791" s="2" t="s">
        <v>3640</v>
      </c>
      <c r="E791" s="2" t="s">
        <v>142</v>
      </c>
      <c r="F791" s="2" t="s">
        <v>115</v>
      </c>
      <c r="H791" s="2" t="s">
        <v>28</v>
      </c>
      <c r="I791" s="2" t="s">
        <v>135</v>
      </c>
      <c r="J791" s="2" t="s">
        <v>86</v>
      </c>
      <c r="K791" s="2" t="s">
        <v>94</v>
      </c>
      <c r="L791" s="2" t="s">
        <v>3641</v>
      </c>
      <c r="M791" s="2" t="s">
        <v>48</v>
      </c>
      <c r="N791" s="2">
        <v>4</v>
      </c>
      <c r="O791" s="2">
        <v>3537.48</v>
      </c>
      <c r="P791" s="2">
        <v>0</v>
      </c>
      <c r="Q791" s="2">
        <v>14149.92</v>
      </c>
      <c r="R791" s="2">
        <v>9466.51</v>
      </c>
      <c r="S791" s="2">
        <v>4683.41</v>
      </c>
      <c r="T791" s="2" t="s">
        <v>34</v>
      </c>
      <c r="U791" s="2" t="s">
        <v>35</v>
      </c>
      <c r="V791" s="2" t="str">
        <f t="shared" si="36"/>
        <v>ORD-2025-1079007 Mar 202508 Mar 2025CUST-1453Priya MenonHome OfficeRajasthanUdaipurTechnologyCopiersSmart Copiers 408Same Day43537.48014149.929466.514683.41PaidCompleted</v>
      </c>
      <c r="W791" s="2">
        <f t="shared" si="37"/>
        <v>1</v>
      </c>
      <c r="X791">
        <f t="shared" si="38"/>
        <v>1</v>
      </c>
    </row>
    <row r="792" spans="1:24">
      <c r="A792" s="2" t="s">
        <v>3642</v>
      </c>
      <c r="B792" s="2" t="s">
        <v>3643</v>
      </c>
      <c r="C792" s="2" t="s">
        <v>3644</v>
      </c>
      <c r="D792" s="2" t="s">
        <v>3645</v>
      </c>
      <c r="E792" s="2" t="s">
        <v>148</v>
      </c>
      <c r="F792" s="2" t="s">
        <v>108</v>
      </c>
      <c r="G792" s="2" t="s">
        <v>62</v>
      </c>
      <c r="H792" s="2" t="s">
        <v>100</v>
      </c>
      <c r="I792" s="2" t="s">
        <v>101</v>
      </c>
      <c r="J792" s="2" t="s">
        <v>30</v>
      </c>
      <c r="K792" s="2" t="s">
        <v>54</v>
      </c>
      <c r="L792" s="2" t="s">
        <v>3646</v>
      </c>
      <c r="M792" s="2" t="s">
        <v>67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34</v>
      </c>
      <c r="U792" s="2" t="s">
        <v>35</v>
      </c>
      <c r="V792" s="2" t="str">
        <f t="shared" si="36"/>
        <v>ORD-2024-1079131 May 20242024-06-02CUST-1951Rahul VermaCorporateSouthAndhra PradeshVijayawadaOffice SuppliesArtClassic Art 781Standard Class8667.590.24272.583328.92943.66PaidCompleted</v>
      </c>
      <c r="W792" s="2">
        <f t="shared" si="37"/>
        <v>1</v>
      </c>
      <c r="X792">
        <f t="shared" si="38"/>
        <v>1</v>
      </c>
    </row>
    <row r="793" spans="1:24">
      <c r="A793" s="2" t="s">
        <v>3647</v>
      </c>
      <c r="B793" s="2" t="s">
        <v>3013</v>
      </c>
      <c r="C793" s="2" t="s">
        <v>3648</v>
      </c>
      <c r="D793" s="2" t="s">
        <v>3649</v>
      </c>
      <c r="E793" s="2" t="s">
        <v>148</v>
      </c>
      <c r="F793" s="2" t="s">
        <v>115</v>
      </c>
      <c r="G793" s="2" t="s">
        <v>62</v>
      </c>
      <c r="H793" s="2" t="s">
        <v>229</v>
      </c>
      <c r="I793" s="2" t="s">
        <v>230</v>
      </c>
      <c r="J793" s="2" t="s">
        <v>45</v>
      </c>
      <c r="K793" s="2" t="s">
        <v>204</v>
      </c>
      <c r="L793" s="2" t="s">
        <v>3650</v>
      </c>
      <c r="M793" s="2" t="s">
        <v>48</v>
      </c>
      <c r="N793" s="2">
        <v>8</v>
      </c>
      <c r="O793" s="2">
        <v>1558.77</v>
      </c>
      <c r="P793" s="2">
        <v>0.25</v>
      </c>
      <c r="Q793" s="2">
        <v>9352.6200000000008</v>
      </c>
      <c r="R793" s="2">
        <v>5269.41</v>
      </c>
      <c r="S793" s="2">
        <v>4083.21</v>
      </c>
      <c r="T793" s="2" t="s">
        <v>34</v>
      </c>
      <c r="U793" s="2" t="s">
        <v>35</v>
      </c>
      <c r="V793" s="2" t="str">
        <f t="shared" si="36"/>
        <v>ORD-2024-1079202 Oct 20242024-10-06CUST-6300Rahul VermaHome OfficeSouthKarnatakaBengaluruFurnitureBookcasesEco Bookcases 144Same Day81558.770.259352.625269.414083.21PaidCompleted</v>
      </c>
      <c r="W793" s="2">
        <f t="shared" si="37"/>
        <v>1</v>
      </c>
      <c r="X793">
        <f t="shared" si="38"/>
        <v>1</v>
      </c>
    </row>
    <row r="794" spans="1:24">
      <c r="A794" s="2" t="s">
        <v>3651</v>
      </c>
      <c r="B794" s="2" t="s">
        <v>1230</v>
      </c>
      <c r="C794" s="2" t="s">
        <v>3652</v>
      </c>
      <c r="D794" s="2" t="s">
        <v>3653</v>
      </c>
      <c r="E794" s="2" t="s">
        <v>61</v>
      </c>
      <c r="F794" s="2" t="s">
        <v>41</v>
      </c>
      <c r="G794" s="2" t="s">
        <v>42</v>
      </c>
      <c r="H794" s="2" t="s">
        <v>216</v>
      </c>
      <c r="I794" s="2" t="s">
        <v>217</v>
      </c>
      <c r="J794" s="2" t="s">
        <v>45</v>
      </c>
      <c r="K794" s="2" t="s">
        <v>65</v>
      </c>
      <c r="L794" s="2" t="s">
        <v>3654</v>
      </c>
      <c r="M794" s="2" t="s">
        <v>33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34</v>
      </c>
      <c r="U794" s="2" t="s">
        <v>125</v>
      </c>
      <c r="V794" s="2" t="str">
        <f t="shared" si="36"/>
        <v>ORD-2025-107932025-06-0408 Jun 2025CUST-1417Arjun BoseSmall BusinessEastAssamGuwahatiFurnitureFurnishingsElite Furnishings 852Second Class13501.120.22800.91735.981064.92PaidReturned</v>
      </c>
      <c r="W794" s="2">
        <f t="shared" si="37"/>
        <v>1</v>
      </c>
      <c r="X794">
        <f t="shared" si="38"/>
        <v>1</v>
      </c>
    </row>
    <row r="795" spans="1:24">
      <c r="A795" s="2" t="s">
        <v>3655</v>
      </c>
      <c r="B795" s="2" t="s">
        <v>81</v>
      </c>
      <c r="C795" s="2" t="s">
        <v>3656</v>
      </c>
      <c r="D795" s="2" t="s">
        <v>3657</v>
      </c>
      <c r="E795" s="2" t="s">
        <v>83</v>
      </c>
      <c r="F795" s="2" t="s">
        <v>108</v>
      </c>
      <c r="G795" s="2" t="s">
        <v>27</v>
      </c>
      <c r="H795" s="2" t="s">
        <v>28</v>
      </c>
      <c r="I795" s="2" t="s">
        <v>29</v>
      </c>
      <c r="J795" s="2" t="s">
        <v>86</v>
      </c>
      <c r="K795" s="2" t="s">
        <v>94</v>
      </c>
      <c r="L795" s="2" t="s">
        <v>3658</v>
      </c>
      <c r="M795" s="2" t="s">
        <v>33</v>
      </c>
      <c r="N795" s="2">
        <v>5</v>
      </c>
      <c r="O795" s="2">
        <v>4302.32</v>
      </c>
      <c r="P795" s="2">
        <v>0</v>
      </c>
      <c r="Q795" s="2">
        <v>21511.599999999999</v>
      </c>
      <c r="R795" s="2">
        <v>15408.47</v>
      </c>
      <c r="S795" s="2">
        <v>6103.13</v>
      </c>
      <c r="T795" s="2" t="s">
        <v>34</v>
      </c>
      <c r="U795" s="2" t="s">
        <v>35</v>
      </c>
      <c r="V795" s="2" t="str">
        <f t="shared" si="36"/>
        <v>ORD-2024-1079428-05-202403 Jun 2024CUST-5421Vikram IyerCorporateNorthRajasthanJaipurTechnologyCopiersBasic Copiers 238Second Class54302.32021511.615408.476103.13PaidCompleted</v>
      </c>
      <c r="W795" s="2">
        <f t="shared" si="37"/>
        <v>1</v>
      </c>
      <c r="X795">
        <f t="shared" si="38"/>
        <v>1</v>
      </c>
    </row>
    <row r="796" spans="1:24">
      <c r="A796" s="2" t="s">
        <v>3659</v>
      </c>
      <c r="B796" s="2" t="s">
        <v>3660</v>
      </c>
      <c r="C796" s="2" t="s">
        <v>996</v>
      </c>
      <c r="D796" s="2" t="s">
        <v>3661</v>
      </c>
      <c r="E796" s="2" t="s">
        <v>168</v>
      </c>
      <c r="F796" s="2" t="s">
        <v>108</v>
      </c>
      <c r="G796" s="2" t="s">
        <v>42</v>
      </c>
      <c r="H796" s="2" t="s">
        <v>216</v>
      </c>
      <c r="I796" s="2" t="s">
        <v>217</v>
      </c>
      <c r="J796" s="2" t="s">
        <v>30</v>
      </c>
      <c r="K796" s="2" t="s">
        <v>31</v>
      </c>
      <c r="L796" s="2" t="s">
        <v>3662</v>
      </c>
      <c r="M796" s="2" t="s">
        <v>67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34</v>
      </c>
      <c r="U796" s="2" t="s">
        <v>35</v>
      </c>
      <c r="V796" s="2" t="str">
        <f t="shared" si="36"/>
        <v>ORD-2025-107952025-06-222025-06-24CUST-2829Sneha KapoorCorporateEastAssamGuwahatiOffice SuppliesPaperElite Paper 847Standard Class9951.550.157279.364870.392408.97PaidCompleted</v>
      </c>
      <c r="W796" s="2">
        <f t="shared" si="37"/>
        <v>1</v>
      </c>
      <c r="X796">
        <f t="shared" si="38"/>
        <v>1</v>
      </c>
    </row>
    <row r="797" spans="1:24">
      <c r="A797" s="2" t="s">
        <v>3663</v>
      </c>
      <c r="B797" s="2" t="s">
        <v>3664</v>
      </c>
      <c r="C797" s="2" t="s">
        <v>529</v>
      </c>
      <c r="D797" s="2" t="s">
        <v>3665</v>
      </c>
      <c r="E797" s="2" t="s">
        <v>210</v>
      </c>
      <c r="F797" s="2" t="s">
        <v>115</v>
      </c>
      <c r="G797" s="2" t="s">
        <v>42</v>
      </c>
      <c r="H797" s="2" t="s">
        <v>43</v>
      </c>
      <c r="I797" s="2" t="s">
        <v>44</v>
      </c>
      <c r="J797" s="2" t="s">
        <v>86</v>
      </c>
      <c r="K797" s="2" t="s">
        <v>94</v>
      </c>
      <c r="L797" s="2" t="s">
        <v>3666</v>
      </c>
      <c r="M797" s="2" t="s">
        <v>48</v>
      </c>
      <c r="N797" s="2">
        <v>9</v>
      </c>
      <c r="O797" s="2">
        <v>2894.66</v>
      </c>
      <c r="P797" s="2">
        <v>0</v>
      </c>
      <c r="Q797" s="2">
        <v>26051.94</v>
      </c>
      <c r="R797" s="2">
        <v>16883.59</v>
      </c>
      <c r="S797" s="2">
        <v>9168.35</v>
      </c>
      <c r="T797" s="2" t="s">
        <v>124</v>
      </c>
      <c r="U797" s="2" t="s">
        <v>78</v>
      </c>
      <c r="V797" s="2" t="str">
        <f t="shared" si="36"/>
        <v>ORD-2024-1079630-07-20242024-07-30CUST-6529Diya PatelHome OfficeEastOdishaBhubaneswarTechnologyCopiersPro Copiers 653Same Day92894.66026051.9416883.599168.35RefundedCancelled</v>
      </c>
      <c r="W797" s="2">
        <f t="shared" si="37"/>
        <v>1</v>
      </c>
      <c r="X797">
        <f t="shared" si="38"/>
        <v>1</v>
      </c>
    </row>
    <row r="798" spans="1:24">
      <c r="A798" s="2" t="s">
        <v>3667</v>
      </c>
      <c r="B798" s="2" t="s">
        <v>796</v>
      </c>
      <c r="C798" s="2" t="s">
        <v>3668</v>
      </c>
      <c r="D798" s="2" t="s">
        <v>3669</v>
      </c>
      <c r="E798" s="2" t="s">
        <v>180</v>
      </c>
      <c r="F798" s="2" t="s">
        <v>41</v>
      </c>
      <c r="G798" s="2" t="s">
        <v>62</v>
      </c>
      <c r="H798" s="2" t="s">
        <v>100</v>
      </c>
      <c r="I798" s="2" t="s">
        <v>101</v>
      </c>
      <c r="J798" s="2" t="s">
        <v>86</v>
      </c>
      <c r="K798" s="2" t="s">
        <v>382</v>
      </c>
      <c r="L798" s="2" t="s">
        <v>3670</v>
      </c>
      <c r="M798" s="2" t="s">
        <v>56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34</v>
      </c>
      <c r="U798" s="2" t="s">
        <v>35</v>
      </c>
      <c r="V798" s="2" t="str">
        <f t="shared" si="36"/>
        <v>ORD-2024-1079703/23/202430-03-2024CUST-3126Rohan MehtaSmall BusinessSouthAndhra PradeshVijayawadaTechnologyMachinesElite Machines 459First Class61894.440.159661.646303.773357.87PaidCompleted</v>
      </c>
      <c r="W798" s="2">
        <f t="shared" si="37"/>
        <v>1</v>
      </c>
      <c r="X798">
        <f t="shared" si="38"/>
        <v>1</v>
      </c>
    </row>
    <row r="799" spans="1:24">
      <c r="A799" s="2" t="s">
        <v>3671</v>
      </c>
      <c r="B799" s="2" t="s">
        <v>3672</v>
      </c>
      <c r="C799" s="2" t="s">
        <v>3583</v>
      </c>
      <c r="D799" s="2" t="s">
        <v>3673</v>
      </c>
      <c r="E799" s="2" t="s">
        <v>162</v>
      </c>
      <c r="F799" s="2" t="s">
        <v>26</v>
      </c>
      <c r="G799" s="2" t="s">
        <v>42</v>
      </c>
      <c r="H799" s="2" t="s">
        <v>43</v>
      </c>
      <c r="I799" s="2" t="s">
        <v>44</v>
      </c>
      <c r="J799" s="2" t="s">
        <v>30</v>
      </c>
      <c r="K799" s="2" t="s">
        <v>198</v>
      </c>
      <c r="L799" s="2" t="s">
        <v>3674</v>
      </c>
      <c r="M799" s="2" t="s">
        <v>56</v>
      </c>
      <c r="N799" s="2">
        <v>8</v>
      </c>
      <c r="O799" s="2">
        <v>1714.37</v>
      </c>
      <c r="P799" s="2">
        <v>0</v>
      </c>
      <c r="Q799" s="2">
        <v>13714.96</v>
      </c>
      <c r="R799" s="2">
        <v>10550.47</v>
      </c>
      <c r="S799" s="2">
        <v>3164.49</v>
      </c>
      <c r="T799" s="2" t="s">
        <v>200</v>
      </c>
      <c r="U799" s="2" t="s">
        <v>78</v>
      </c>
      <c r="V799" s="2" t="str">
        <f t="shared" si="36"/>
        <v>ORD-2024-1079818 Apr 202422-04-2024CUST-3991Aarav SharmaConsumerEastOdishaBhubaneswarOffice SuppliesBindersElite Binders 764First Class81714.37013714.9610550.473164.49FailedCancelled</v>
      </c>
      <c r="W799" s="2">
        <f t="shared" si="37"/>
        <v>1</v>
      </c>
      <c r="X799">
        <f t="shared" si="38"/>
        <v>1</v>
      </c>
    </row>
    <row r="800" spans="1:24">
      <c r="A800" s="2" t="s">
        <v>3675</v>
      </c>
      <c r="B800" s="2" t="s">
        <v>3676</v>
      </c>
      <c r="C800" s="2" t="s">
        <v>3677</v>
      </c>
      <c r="D800" s="2" t="s">
        <v>3678</v>
      </c>
      <c r="E800" s="2" t="s">
        <v>107</v>
      </c>
      <c r="F800" s="2" t="s">
        <v>108</v>
      </c>
      <c r="G800" s="2" t="s">
        <v>27</v>
      </c>
      <c r="H800" s="2" t="s">
        <v>506</v>
      </c>
      <c r="I800" s="2" t="s">
        <v>507</v>
      </c>
      <c r="J800" s="2" t="s">
        <v>45</v>
      </c>
      <c r="K800" s="2" t="s">
        <v>65</v>
      </c>
      <c r="L800" s="2" t="s">
        <v>3679</v>
      </c>
      <c r="M800" s="2" t="s">
        <v>67</v>
      </c>
      <c r="N800" s="2">
        <v>9</v>
      </c>
      <c r="O800" s="2">
        <v>1706.05</v>
      </c>
      <c r="P800" s="2">
        <v>0</v>
      </c>
      <c r="Q800" s="2">
        <v>15354.45</v>
      </c>
      <c r="R800" s="2">
        <v>9656.5</v>
      </c>
      <c r="S800" s="2">
        <v>5697.95</v>
      </c>
      <c r="T800" s="2" t="s">
        <v>34</v>
      </c>
      <c r="U800" s="2" t="s">
        <v>35</v>
      </c>
      <c r="V800" s="2" t="str">
        <f t="shared" si="36"/>
        <v>ORD-2025-107992025-07-1109-07-2025CUST-7553Aditi SenCorporateNorthDelhiNew DelhiFurnitureFurnishingsClassic Furnishings 348Standard Class91706.05015354.459656.55697.95PaidCompleted</v>
      </c>
      <c r="W800" s="2">
        <f t="shared" si="37"/>
        <v>1</v>
      </c>
      <c r="X800">
        <f t="shared" si="38"/>
        <v>1</v>
      </c>
    </row>
    <row r="801" spans="1:24">
      <c r="A801" s="2" t="s">
        <v>3680</v>
      </c>
      <c r="B801" s="2" t="s">
        <v>3366</v>
      </c>
      <c r="C801" s="2" t="s">
        <v>2543</v>
      </c>
      <c r="D801" s="2" t="s">
        <v>3681</v>
      </c>
      <c r="E801" s="2" t="s">
        <v>53</v>
      </c>
      <c r="F801" s="2" t="s">
        <v>115</v>
      </c>
      <c r="G801" s="2" t="s">
        <v>27</v>
      </c>
      <c r="H801" s="2" t="s">
        <v>323</v>
      </c>
      <c r="I801" s="2" t="s">
        <v>324</v>
      </c>
      <c r="J801" s="2" t="s">
        <v>86</v>
      </c>
      <c r="K801" s="2" t="s">
        <v>87</v>
      </c>
      <c r="L801" s="2" t="s">
        <v>3682</v>
      </c>
      <c r="N801" s="2">
        <v>5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34</v>
      </c>
      <c r="U801" s="2" t="s">
        <v>125</v>
      </c>
      <c r="V801" s="2" t="str">
        <f t="shared" si="36"/>
        <v>ORD-2024-1080010 Oct 20242024-10-17CUST-8527Isha NairHome OfficeNorthHaryanaGurugramTechnologyAccessoriesSmart Accessories 4875967.410.054595.23887.41707.79PaidReturned</v>
      </c>
      <c r="W801" s="2">
        <f t="shared" si="37"/>
        <v>1</v>
      </c>
      <c r="X801">
        <f t="shared" si="38"/>
        <v>1</v>
      </c>
    </row>
    <row r="802" spans="1:24">
      <c r="A802" s="2" t="s">
        <v>3683</v>
      </c>
      <c r="B802" s="2" t="s">
        <v>3684</v>
      </c>
      <c r="C802" s="2" t="s">
        <v>3685</v>
      </c>
      <c r="D802" s="2" t="s">
        <v>3686</v>
      </c>
      <c r="E802" s="2" t="s">
        <v>83</v>
      </c>
      <c r="F802" s="2" t="s">
        <v>41</v>
      </c>
      <c r="G802" s="2" t="s">
        <v>73</v>
      </c>
      <c r="H802" s="2" t="s">
        <v>74</v>
      </c>
      <c r="I802" s="2" t="s">
        <v>75</v>
      </c>
      <c r="J802" s="2" t="s">
        <v>30</v>
      </c>
      <c r="K802" s="2" t="s">
        <v>156</v>
      </c>
      <c r="L802" s="2" t="s">
        <v>3687</v>
      </c>
      <c r="M802" s="2" t="s">
        <v>33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34</v>
      </c>
      <c r="U802" s="2" t="s">
        <v>35</v>
      </c>
      <c r="V802" s="2" t="str">
        <f t="shared" si="36"/>
        <v>ORD-2024-1080101 Mar 20242024-03-07CUST-5015Vikram IyerSmall BusinessWestMaharashtraMumbaiOffice SuppliesStorageElite Storage 825Second Class64163.720.1521234.9716736.094498.88PaidCompleted</v>
      </c>
      <c r="W802" s="2">
        <f t="shared" si="37"/>
        <v>1</v>
      </c>
      <c r="X802">
        <f t="shared" si="38"/>
        <v>1</v>
      </c>
    </row>
    <row r="803" spans="1:24">
      <c r="A803" s="2" t="s">
        <v>3688</v>
      </c>
      <c r="B803" s="2" t="s">
        <v>3689</v>
      </c>
      <c r="C803" s="2" t="s">
        <v>309</v>
      </c>
      <c r="D803" s="2" t="s">
        <v>3690</v>
      </c>
      <c r="E803" s="2" t="s">
        <v>162</v>
      </c>
      <c r="F803" s="2" t="s">
        <v>115</v>
      </c>
      <c r="G803" s="2" t="s">
        <v>42</v>
      </c>
      <c r="H803" s="2" t="s">
        <v>43</v>
      </c>
      <c r="I803" s="2" t="s">
        <v>44</v>
      </c>
      <c r="J803" s="2" t="s">
        <v>86</v>
      </c>
      <c r="K803" s="2" t="s">
        <v>87</v>
      </c>
      <c r="L803" s="2" t="s">
        <v>3691</v>
      </c>
      <c r="M803" s="2" t="s">
        <v>33</v>
      </c>
      <c r="N803" s="2">
        <v>3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137</v>
      </c>
      <c r="U803" s="2" t="s">
        <v>78</v>
      </c>
      <c r="V803" s="2" t="str">
        <f t="shared" si="36"/>
        <v>ORD-2025-108022025-10-0815 Oct 2025CUST-3344Aarav SharmaHome OfficeEastOdishaBhubaneswarTechnologyAccessoriesPro Accessories 500Second Class33372.210.28093.36052.432040.87PendingCancelled</v>
      </c>
      <c r="W803" s="2">
        <f t="shared" si="37"/>
        <v>1</v>
      </c>
      <c r="X803">
        <f t="shared" si="38"/>
        <v>1</v>
      </c>
    </row>
    <row r="804" spans="1:24">
      <c r="A804" s="2" t="s">
        <v>3692</v>
      </c>
      <c r="B804" s="2" t="s">
        <v>3172</v>
      </c>
      <c r="C804" s="2" t="s">
        <v>3693</v>
      </c>
      <c r="D804" s="2" t="s">
        <v>3694</v>
      </c>
      <c r="E804" s="2" t="s">
        <v>180</v>
      </c>
      <c r="F804" s="2" t="s">
        <v>41</v>
      </c>
      <c r="G804" s="2" t="s">
        <v>42</v>
      </c>
      <c r="H804" s="2" t="s">
        <v>216</v>
      </c>
      <c r="I804" s="2" t="s">
        <v>217</v>
      </c>
      <c r="J804" s="2" t="s">
        <v>45</v>
      </c>
      <c r="K804" s="2" t="s">
        <v>65</v>
      </c>
      <c r="L804" s="2" t="s">
        <v>3695</v>
      </c>
      <c r="M804" s="2" t="s">
        <v>33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3696</v>
      </c>
      <c r="U804" s="2" t="s">
        <v>125</v>
      </c>
      <c r="V804" s="2" t="str">
        <f t="shared" si="36"/>
        <v>ORD-2025-1080316 Feb 20252025-02-16CUST-5866Rohan MehtaSmall BusinessEastAssamGuwahatiFurnitureFurnishingsPro Furnishings 909Second Class61441.9108651.465254.623396.84failedReturned</v>
      </c>
      <c r="W804" s="2">
        <f t="shared" si="37"/>
        <v>1</v>
      </c>
      <c r="X804">
        <f t="shared" si="38"/>
        <v>1</v>
      </c>
    </row>
    <row r="805" spans="1:24">
      <c r="A805" s="2" t="s">
        <v>3697</v>
      </c>
      <c r="B805" s="2" t="s">
        <v>3698</v>
      </c>
      <c r="C805" s="2" t="s">
        <v>733</v>
      </c>
      <c r="D805" s="2" t="s">
        <v>3699</v>
      </c>
      <c r="E805" s="2" t="s">
        <v>180</v>
      </c>
      <c r="F805" s="2" t="s">
        <v>26</v>
      </c>
      <c r="H805" s="2" t="s">
        <v>311</v>
      </c>
      <c r="I805" s="2" t="s">
        <v>312</v>
      </c>
      <c r="J805" s="2" t="s">
        <v>30</v>
      </c>
      <c r="K805" s="2" t="s">
        <v>109</v>
      </c>
      <c r="L805" s="2" t="s">
        <v>3700</v>
      </c>
      <c r="M805" s="2" t="s">
        <v>56</v>
      </c>
      <c r="N805" s="2">
        <v>1</v>
      </c>
      <c r="O805" s="2">
        <v>4306.6499999999996</v>
      </c>
      <c r="P805" s="2">
        <v>0</v>
      </c>
      <c r="Q805" s="2">
        <v>4306.6499999999996</v>
      </c>
      <c r="R805" s="2">
        <v>2568.8200000000002</v>
      </c>
      <c r="S805" s="2">
        <v>1737.83</v>
      </c>
      <c r="T805" s="2" t="s">
        <v>34</v>
      </c>
      <c r="U805" s="2" t="s">
        <v>35</v>
      </c>
      <c r="V805" s="2" t="str">
        <f t="shared" si="36"/>
        <v>ORD-2024-1080409 Dec 202413 Dec 2024CUST-7180Rohan MehtaConsumerJharkhandRanchiOffice SuppliesLabelsBasic Labels 359First Class14306.6504306.652568.821737.83PaidCompleted</v>
      </c>
      <c r="W805" s="2">
        <f t="shared" si="37"/>
        <v>1</v>
      </c>
      <c r="X805">
        <f t="shared" si="38"/>
        <v>1</v>
      </c>
    </row>
    <row r="806" spans="1:24">
      <c r="A806" s="2" t="s">
        <v>3701</v>
      </c>
      <c r="B806" s="2" t="s">
        <v>989</v>
      </c>
      <c r="C806" s="2" t="s">
        <v>2196</v>
      </c>
      <c r="D806" s="2" t="s">
        <v>3702</v>
      </c>
      <c r="E806" s="2" t="s">
        <v>148</v>
      </c>
      <c r="F806" s="2" t="s">
        <v>115</v>
      </c>
      <c r="G806" s="2" t="s">
        <v>62</v>
      </c>
      <c r="H806" s="2" t="s">
        <v>63</v>
      </c>
      <c r="I806" s="2" t="s">
        <v>64</v>
      </c>
      <c r="J806" s="2" t="s">
        <v>45</v>
      </c>
      <c r="K806" s="2" t="s">
        <v>65</v>
      </c>
      <c r="L806" s="2" t="s">
        <v>3703</v>
      </c>
      <c r="M806" s="2" t="s">
        <v>67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34</v>
      </c>
      <c r="U806" s="2" t="s">
        <v>35</v>
      </c>
      <c r="V806" s="2" t="str">
        <f t="shared" si="36"/>
        <v>ORD-2025-1080510-09-202518-09-2025CUST-8745Rahul VermaHome OfficeSouthTelanganaHyderabadFurnitureFurnishingsEco Furnishings 541Standard Class12050.620.051948.091507.08441.01PaidCompleted</v>
      </c>
      <c r="W806" s="2">
        <f t="shared" si="37"/>
        <v>1</v>
      </c>
      <c r="X806">
        <f t="shared" si="38"/>
        <v>1</v>
      </c>
    </row>
    <row r="807" spans="1:24">
      <c r="A807" s="2" t="s">
        <v>3704</v>
      </c>
      <c r="B807" s="2" t="s">
        <v>1316</v>
      </c>
      <c r="C807" s="2" t="s">
        <v>1063</v>
      </c>
      <c r="D807" s="2" t="s">
        <v>3520</v>
      </c>
      <c r="E807" s="2" t="s">
        <v>142</v>
      </c>
      <c r="F807" s="2" t="s">
        <v>115</v>
      </c>
      <c r="G807" s="2" t="s">
        <v>42</v>
      </c>
      <c r="H807" s="2" t="s">
        <v>216</v>
      </c>
      <c r="I807" s="2" t="s">
        <v>217</v>
      </c>
      <c r="J807" s="2" t="s">
        <v>30</v>
      </c>
      <c r="K807" s="2" t="s">
        <v>198</v>
      </c>
      <c r="L807" s="2" t="s">
        <v>3705</v>
      </c>
      <c r="M807" s="2" t="s">
        <v>33</v>
      </c>
      <c r="N807" s="2">
        <v>2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</v>
      </c>
      <c r="T807" s="2" t="s">
        <v>34</v>
      </c>
      <c r="U807" s="2" t="s">
        <v>35</v>
      </c>
      <c r="V807" s="2" t="str">
        <f t="shared" si="36"/>
        <v>ORD-2025-108062025-04-0607-04-2025CUST-2098Priya MenonHome OfficeEastAssamGuwahatiOffice SuppliesBindersClassic Binders 103Second Class22030.060.253045.092601.09444PaidCompleted</v>
      </c>
      <c r="W807" s="2">
        <f t="shared" si="37"/>
        <v>1</v>
      </c>
      <c r="X807">
        <f t="shared" si="38"/>
        <v>1</v>
      </c>
    </row>
    <row r="808" spans="1:24">
      <c r="A808" s="2" t="s">
        <v>3706</v>
      </c>
      <c r="B808" s="2" t="s">
        <v>3707</v>
      </c>
      <c r="C808" s="2" t="s">
        <v>3708</v>
      </c>
      <c r="D808" s="2" t="s">
        <v>3709</v>
      </c>
      <c r="E808" s="2" t="s">
        <v>53</v>
      </c>
      <c r="F808" s="2" t="s">
        <v>115</v>
      </c>
      <c r="G808" s="2" t="s">
        <v>27</v>
      </c>
      <c r="H808" s="2" t="s">
        <v>28</v>
      </c>
      <c r="I808" s="2" t="s">
        <v>29</v>
      </c>
      <c r="J808" s="2" t="s">
        <v>86</v>
      </c>
      <c r="K808" s="2" t="s">
        <v>94</v>
      </c>
      <c r="L808" s="2" t="s">
        <v>3710</v>
      </c>
      <c r="M808" s="2" t="s">
        <v>67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200</v>
      </c>
      <c r="U808" s="2" t="s">
        <v>78</v>
      </c>
      <c r="V808" s="2" t="str">
        <f t="shared" si="36"/>
        <v>ORD-2024-1080709-11-202415 Nov 2024CUST-3704Isha NairHome OfficeNorthRajasthanJaipurTechnologyCopiersMax Copiers 560Standard Class13665.970.22932.781900.351032.43FailedCancelled</v>
      </c>
      <c r="W808" s="2">
        <f t="shared" si="37"/>
        <v>1</v>
      </c>
      <c r="X808">
        <f t="shared" si="38"/>
        <v>1</v>
      </c>
    </row>
    <row r="809" spans="1:24">
      <c r="A809" s="2" t="s">
        <v>3711</v>
      </c>
      <c r="B809" s="2" t="s">
        <v>1276</v>
      </c>
      <c r="C809" s="2" t="s">
        <v>2270</v>
      </c>
      <c r="D809" s="2" t="s">
        <v>3712</v>
      </c>
      <c r="E809" s="2" t="s">
        <v>25</v>
      </c>
      <c r="F809" s="2" t="s">
        <v>41</v>
      </c>
      <c r="G809" s="2" t="s">
        <v>62</v>
      </c>
      <c r="H809" s="2" t="s">
        <v>63</v>
      </c>
      <c r="I809" s="2" t="s">
        <v>64</v>
      </c>
      <c r="J809" s="2" t="s">
        <v>30</v>
      </c>
      <c r="K809" s="2" t="s">
        <v>109</v>
      </c>
      <c r="L809" s="2" t="s">
        <v>3713</v>
      </c>
      <c r="M809" s="2" t="s">
        <v>3714</v>
      </c>
      <c r="N809" s="2">
        <v>2</v>
      </c>
      <c r="O809" s="2">
        <v>2432.98</v>
      </c>
      <c r="P809" s="2">
        <v>0.1</v>
      </c>
      <c r="Q809" s="2">
        <v>4379.3599999999997</v>
      </c>
      <c r="R809" s="2">
        <v>3723.93</v>
      </c>
      <c r="S809" s="2">
        <v>655.43</v>
      </c>
      <c r="T809" s="2" t="s">
        <v>34</v>
      </c>
      <c r="U809" s="2" t="s">
        <v>35</v>
      </c>
      <c r="V809" s="2" t="str">
        <f t="shared" si="36"/>
        <v>ORD-2025-1080807 Feb 20252025-02-08CUST-5884Karan MalhotraSmall BusinessSouthTelanganaHyderabadOffice SuppliesLabelsSmart Labels 436standard class22432.980.14379.363723.93655.43PaidCompleted</v>
      </c>
      <c r="W809" s="2">
        <f t="shared" si="37"/>
        <v>1</v>
      </c>
      <c r="X809">
        <f t="shared" si="38"/>
        <v>1</v>
      </c>
    </row>
    <row r="810" spans="1:24">
      <c r="A810" s="2" t="s">
        <v>3715</v>
      </c>
      <c r="B810" s="2" t="s">
        <v>3716</v>
      </c>
      <c r="C810" s="2" t="s">
        <v>2034</v>
      </c>
      <c r="D810" s="2" t="s">
        <v>3717</v>
      </c>
      <c r="E810" s="2" t="s">
        <v>162</v>
      </c>
      <c r="F810" s="2" t="s">
        <v>41</v>
      </c>
      <c r="G810" s="2" t="s">
        <v>62</v>
      </c>
      <c r="H810" s="2" t="s">
        <v>339</v>
      </c>
      <c r="I810" s="2" t="s">
        <v>340</v>
      </c>
      <c r="J810" s="2" t="s">
        <v>45</v>
      </c>
      <c r="K810" s="2" t="s">
        <v>65</v>
      </c>
      <c r="L810" s="2" t="s">
        <v>3718</v>
      </c>
      <c r="M810" s="2" t="s">
        <v>56</v>
      </c>
      <c r="N810" s="2">
        <v>7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34</v>
      </c>
      <c r="U810" s="2" t="s">
        <v>35</v>
      </c>
      <c r="V810" s="2" t="str">
        <f t="shared" si="36"/>
        <v>ORD-2025-108092025-08-312025-08-28CUST-7503Aarav SharmaSmall BusinessSouthTamil NaduChennaiFurnitureFurnishingsPro Furnishings 386First Class7977.280.25472.774477.33995.44PaidCompleted</v>
      </c>
      <c r="W810" s="2">
        <f t="shared" si="37"/>
        <v>1</v>
      </c>
      <c r="X810">
        <f t="shared" si="38"/>
        <v>1</v>
      </c>
    </row>
    <row r="811" spans="1:24">
      <c r="A811" s="2" t="s">
        <v>3719</v>
      </c>
      <c r="B811" s="2" t="s">
        <v>1516</v>
      </c>
      <c r="C811" s="2" t="s">
        <v>1516</v>
      </c>
      <c r="D811" s="2" t="s">
        <v>3720</v>
      </c>
      <c r="E811" s="2" t="s">
        <v>61</v>
      </c>
      <c r="F811" s="2" t="s">
        <v>41</v>
      </c>
      <c r="H811" s="2" t="s">
        <v>154</v>
      </c>
      <c r="I811" s="2" t="s">
        <v>155</v>
      </c>
      <c r="J811" s="2" t="s">
        <v>30</v>
      </c>
      <c r="K811" s="2" t="s">
        <v>198</v>
      </c>
      <c r="L811" s="2" t="s">
        <v>3721</v>
      </c>
      <c r="M811" s="2" t="s">
        <v>33</v>
      </c>
      <c r="N811" s="2">
        <v>6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34</v>
      </c>
      <c r="U811" s="2" t="s">
        <v>35</v>
      </c>
      <c r="V811" s="2" t="str">
        <f t="shared" si="36"/>
        <v>ORD-2025-1081025 Jun 202525 Jun 2025CUST-6973Arjun BoseSmall BusinessPunjabLudhianaOffice SuppliesBindersEco Binders 601Second Class61366.130.17377.15085.212291.89PaidCompleted</v>
      </c>
      <c r="W811" s="2">
        <f t="shared" si="37"/>
        <v>1</v>
      </c>
      <c r="X811">
        <f t="shared" si="38"/>
        <v>1</v>
      </c>
    </row>
    <row r="812" spans="1:24">
      <c r="A812" s="2" t="s">
        <v>3722</v>
      </c>
      <c r="B812" s="2" t="s">
        <v>3723</v>
      </c>
      <c r="C812" s="2" t="s">
        <v>3724</v>
      </c>
      <c r="D812" s="2" t="s">
        <v>2534</v>
      </c>
      <c r="E812" s="2" t="s">
        <v>366</v>
      </c>
      <c r="F812" s="2" t="s">
        <v>115</v>
      </c>
      <c r="G812" s="2" t="s">
        <v>73</v>
      </c>
      <c r="H812" s="2" t="s">
        <v>235</v>
      </c>
      <c r="I812" s="2" t="s">
        <v>236</v>
      </c>
      <c r="J812" s="2" t="s">
        <v>86</v>
      </c>
      <c r="K812" s="2" t="s">
        <v>94</v>
      </c>
      <c r="L812" s="2" t="s">
        <v>3725</v>
      </c>
      <c r="M812" s="2" t="s">
        <v>56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34</v>
      </c>
      <c r="U812" s="2" t="s">
        <v>35</v>
      </c>
      <c r="V812" s="2" t="str">
        <f t="shared" si="36"/>
        <v>ORD-2024-1081104/03/202408-04-2024CUST-4653Kabir SinghHome OfficeWestGujaratAhmedabadTechnologyCopiersPro Copiers 867First Class13151.850.252363.891471.51892.38PaidCompleted</v>
      </c>
      <c r="W812" s="2">
        <f t="shared" si="37"/>
        <v>1</v>
      </c>
      <c r="X812">
        <f t="shared" si="38"/>
        <v>1</v>
      </c>
    </row>
    <row r="813" spans="1:24">
      <c r="A813" s="2" t="s">
        <v>3726</v>
      </c>
      <c r="B813" s="2" t="s">
        <v>3727</v>
      </c>
      <c r="C813" s="2" t="s">
        <v>3728</v>
      </c>
      <c r="D813" s="2" t="s">
        <v>3729</v>
      </c>
      <c r="E813" s="2" t="s">
        <v>180</v>
      </c>
      <c r="F813" s="2" t="s">
        <v>115</v>
      </c>
      <c r="G813" s="2" t="s">
        <v>27</v>
      </c>
      <c r="H813" s="2" t="s">
        <v>323</v>
      </c>
      <c r="I813" s="2" t="s">
        <v>324</v>
      </c>
      <c r="J813" s="2" t="s">
        <v>86</v>
      </c>
      <c r="K813" s="2" t="s">
        <v>87</v>
      </c>
      <c r="L813" s="2" t="s">
        <v>3730</v>
      </c>
      <c r="M813" s="2" t="s">
        <v>56</v>
      </c>
      <c r="N813" s="2">
        <v>2</v>
      </c>
      <c r="O813" s="2">
        <v>1610.75</v>
      </c>
      <c r="P813" s="2">
        <v>0.2</v>
      </c>
      <c r="Q813" s="2">
        <v>2577.1999999999998</v>
      </c>
      <c r="R813" s="2">
        <v>1475.87</v>
      </c>
      <c r="S813" s="2">
        <v>1101.33</v>
      </c>
      <c r="T813" s="2" t="s">
        <v>34</v>
      </c>
      <c r="U813" s="2" t="s">
        <v>35</v>
      </c>
      <c r="V813" s="2" t="str">
        <f t="shared" si="36"/>
        <v>ORD-2024-1081212 Dec 202419 Dec 2024CUST-3303Rohan MehtaHome OfficeNorthHaryanaGurugramTechnologyAccessoriesEco Accessories 122First Class21610.750.22577.21475.871101.33PaidCompleted</v>
      </c>
      <c r="W813" s="2">
        <f t="shared" si="37"/>
        <v>1</v>
      </c>
      <c r="X813">
        <f t="shared" si="38"/>
        <v>1</v>
      </c>
    </row>
    <row r="814" spans="1:24">
      <c r="A814" s="2" t="s">
        <v>3731</v>
      </c>
      <c r="B814" s="2" t="s">
        <v>810</v>
      </c>
      <c r="C814" s="2" t="s">
        <v>3732</v>
      </c>
      <c r="D814" s="2" t="s">
        <v>3733</v>
      </c>
      <c r="E814" s="2" t="s">
        <v>168</v>
      </c>
      <c r="F814" s="2" t="s">
        <v>41</v>
      </c>
      <c r="G814" s="2" t="s">
        <v>42</v>
      </c>
      <c r="H814" s="2" t="s">
        <v>311</v>
      </c>
      <c r="I814" s="2" t="s">
        <v>312</v>
      </c>
      <c r="J814" s="2" t="s">
        <v>45</v>
      </c>
      <c r="K814" s="2" t="s">
        <v>46</v>
      </c>
      <c r="L814" s="2" t="s">
        <v>3734</v>
      </c>
      <c r="M814" s="2" t="s">
        <v>56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34</v>
      </c>
      <c r="U814" s="2" t="s">
        <v>35</v>
      </c>
      <c r="V814" s="2" t="str">
        <f t="shared" si="36"/>
        <v>ORD-2024-108132024-06-1520-06-2024CUST-5754Sneha KapoorSmall BusinessEastJharkhandRanchiFurnitureTablesBasic Tables 127First Class82228.47017827.7614122.133705.63PaidCompleted</v>
      </c>
      <c r="W814" s="2">
        <f t="shared" si="37"/>
        <v>1</v>
      </c>
      <c r="X814">
        <f t="shared" si="38"/>
        <v>1</v>
      </c>
    </row>
    <row r="815" spans="1:24">
      <c r="A815" s="2" t="s">
        <v>3735</v>
      </c>
      <c r="B815" s="2" t="s">
        <v>3736</v>
      </c>
      <c r="C815" s="2" t="s">
        <v>3737</v>
      </c>
      <c r="D815" s="2" t="s">
        <v>3738</v>
      </c>
      <c r="E815" s="2" t="s">
        <v>180</v>
      </c>
      <c r="F815" s="2" t="s">
        <v>26</v>
      </c>
      <c r="G815" s="2" t="s">
        <v>42</v>
      </c>
      <c r="H815" s="2" t="s">
        <v>43</v>
      </c>
      <c r="I815" s="2" t="s">
        <v>44</v>
      </c>
      <c r="J815" s="2" t="s">
        <v>45</v>
      </c>
      <c r="K815" s="2" t="s">
        <v>204</v>
      </c>
      <c r="L815" s="2" t="s">
        <v>1717</v>
      </c>
      <c r="M815" s="2" t="s">
        <v>67</v>
      </c>
      <c r="N815" s="2">
        <v>2</v>
      </c>
      <c r="O815" s="2">
        <v>1337.67</v>
      </c>
      <c r="P815" s="2">
        <v>0</v>
      </c>
      <c r="Q815" s="2">
        <v>2675.34</v>
      </c>
      <c r="R815" s="2">
        <v>1595.87</v>
      </c>
      <c r="S815" s="2">
        <v>1079.47</v>
      </c>
      <c r="T815" s="2" t="s">
        <v>34</v>
      </c>
      <c r="U815" s="2" t="s">
        <v>35</v>
      </c>
      <c r="V815" s="2" t="str">
        <f t="shared" si="36"/>
        <v>ORD-2025-1081404/06/202510 Apr 2025CUST-7848Rohan MehtaConsumerEastOdishaBhubaneswarFurnitureBookcasesElite Bookcases 988Standard Class21337.6702675.341595.871079.47PaidCompleted</v>
      </c>
      <c r="W815" s="2">
        <f t="shared" si="37"/>
        <v>1</v>
      </c>
      <c r="X815">
        <f t="shared" si="38"/>
        <v>1</v>
      </c>
    </row>
    <row r="816" spans="1:24">
      <c r="A816" s="2" t="s">
        <v>3739</v>
      </c>
      <c r="B816" s="2" t="s">
        <v>1371</v>
      </c>
      <c r="C816" s="2" t="s">
        <v>583</v>
      </c>
      <c r="D816" s="2" t="s">
        <v>3740</v>
      </c>
      <c r="E816" s="2" t="s">
        <v>61</v>
      </c>
      <c r="F816" s="2" t="s">
        <v>26</v>
      </c>
      <c r="G816" s="2" t="s">
        <v>73</v>
      </c>
      <c r="H816" s="2" t="s">
        <v>84</v>
      </c>
      <c r="I816" s="2" t="s">
        <v>85</v>
      </c>
      <c r="J816" s="2" t="s">
        <v>30</v>
      </c>
      <c r="K816" s="2" t="s">
        <v>109</v>
      </c>
      <c r="L816" s="2" t="s">
        <v>3741</v>
      </c>
      <c r="M816" s="2" t="s">
        <v>56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34</v>
      </c>
      <c r="U816" s="2" t="s">
        <v>35</v>
      </c>
      <c r="V816" s="2" t="str">
        <f t="shared" si="36"/>
        <v>ORD-2025-1081506 Aug 20252025-08-11CUST-9048Arjun BoseConsumerWestMadhya PradeshIndoreOffice SuppliesLabelsSmart Labels 126First Class22375.940.253563.912639.7924.21PaidCompleted</v>
      </c>
      <c r="W816" s="2">
        <f t="shared" si="37"/>
        <v>1</v>
      </c>
      <c r="X816">
        <f t="shared" si="38"/>
        <v>1</v>
      </c>
    </row>
    <row r="817" spans="1:24">
      <c r="A817" s="2" t="s">
        <v>3742</v>
      </c>
      <c r="B817" s="2" t="s">
        <v>2442</v>
      </c>
      <c r="C817" s="2" t="s">
        <v>3743</v>
      </c>
      <c r="D817" s="2" t="s">
        <v>3744</v>
      </c>
      <c r="E817" s="2" t="s">
        <v>210</v>
      </c>
      <c r="F817" s="2" t="s">
        <v>26</v>
      </c>
      <c r="G817" s="2" t="s">
        <v>42</v>
      </c>
      <c r="H817" s="2" t="s">
        <v>43</v>
      </c>
      <c r="I817" s="2" t="s">
        <v>44</v>
      </c>
      <c r="J817" s="2" t="s">
        <v>86</v>
      </c>
      <c r="K817" s="2" t="s">
        <v>382</v>
      </c>
      <c r="L817" s="2" t="s">
        <v>3745</v>
      </c>
      <c r="M817" s="2" t="s">
        <v>67</v>
      </c>
      <c r="N817" s="2">
        <v>7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137</v>
      </c>
      <c r="U817" s="2" t="s">
        <v>78</v>
      </c>
      <c r="V817" s="2" t="str">
        <f t="shared" si="36"/>
        <v>ORD-2024-1081604/01/20242024-04-08CUST-2951Diya PatelConsumerEastOdishaBhubaneswarTechnologyMachinesMax Machines 569Standard Class7715.810.154259.073130.321128.75PendingCancelled</v>
      </c>
      <c r="W817" s="2">
        <f t="shared" si="37"/>
        <v>1</v>
      </c>
      <c r="X817">
        <f t="shared" si="38"/>
        <v>1</v>
      </c>
    </row>
    <row r="818" spans="1:24">
      <c r="A818" s="2" t="s">
        <v>3746</v>
      </c>
      <c r="B818" s="2" t="s">
        <v>3747</v>
      </c>
      <c r="C818" s="2" t="s">
        <v>3748</v>
      </c>
      <c r="D818" s="2" t="s">
        <v>3749</v>
      </c>
      <c r="E818" s="2" t="s">
        <v>148</v>
      </c>
      <c r="F818" s="2" t="s">
        <v>41</v>
      </c>
      <c r="G818" s="2" t="s">
        <v>42</v>
      </c>
      <c r="H818" s="2" t="s">
        <v>311</v>
      </c>
      <c r="I818" s="2" t="s">
        <v>312</v>
      </c>
      <c r="J818" s="2" t="s">
        <v>45</v>
      </c>
      <c r="K818" s="2" t="s">
        <v>65</v>
      </c>
      <c r="L818" s="2" t="s">
        <v>3750</v>
      </c>
      <c r="M818" s="2" t="s">
        <v>56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34</v>
      </c>
      <c r="U818" s="2" t="s">
        <v>35</v>
      </c>
      <c r="V818" s="2" t="str">
        <f t="shared" si="36"/>
        <v>ORD-2024-1081711/27/20242024-11-30CUST-3072Rahul VermaSmall BusinessEastJharkhandRanchiFurnitureFurnishingsBasic Furnishings 306First Class1874.30.1786.87498.5288.37PaidCompleted</v>
      </c>
      <c r="W818" s="2">
        <f t="shared" si="37"/>
        <v>1</v>
      </c>
      <c r="X818">
        <f t="shared" si="38"/>
        <v>1</v>
      </c>
    </row>
    <row r="819" spans="1:24">
      <c r="A819" s="2" t="s">
        <v>3751</v>
      </c>
      <c r="B819" s="2" t="s">
        <v>3752</v>
      </c>
      <c r="C819" s="2" t="s">
        <v>3753</v>
      </c>
      <c r="D819" s="2" t="s">
        <v>3754</v>
      </c>
      <c r="E819" s="2" t="s">
        <v>168</v>
      </c>
      <c r="F819" s="2" t="s">
        <v>26</v>
      </c>
      <c r="G819" s="2" t="s">
        <v>42</v>
      </c>
      <c r="H819" s="2" t="s">
        <v>186</v>
      </c>
      <c r="I819" s="2" t="s">
        <v>187</v>
      </c>
      <c r="J819" s="2" t="s">
        <v>30</v>
      </c>
      <c r="K819" s="2" t="s">
        <v>198</v>
      </c>
      <c r="L819" s="2" t="s">
        <v>3755</v>
      </c>
      <c r="M819" s="2" t="s">
        <v>67</v>
      </c>
      <c r="N819" s="2">
        <v>6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34</v>
      </c>
      <c r="U819" s="2" t="s">
        <v>35</v>
      </c>
      <c r="V819" s="2" t="str">
        <f t="shared" si="36"/>
        <v>ORD-2025-1081805 Apr 202504/05/2025CUST-2221Sneha KapoorConsumerEastBiharPatnaOffice SuppliesBindersClassic Binders 873Standard Class61829.690.258233.64713.793519.81PaidCompleted</v>
      </c>
      <c r="W819" s="2">
        <f t="shared" si="37"/>
        <v>1</v>
      </c>
      <c r="X819">
        <f t="shared" si="38"/>
        <v>1</v>
      </c>
    </row>
    <row r="820" spans="1:24">
      <c r="A820" s="2" t="s">
        <v>3756</v>
      </c>
      <c r="B820" s="2" t="s">
        <v>3757</v>
      </c>
      <c r="C820" s="2" t="s">
        <v>3238</v>
      </c>
      <c r="D820" s="2" t="s">
        <v>3758</v>
      </c>
      <c r="E820" s="2" t="s">
        <v>142</v>
      </c>
      <c r="F820" s="2" t="s">
        <v>41</v>
      </c>
      <c r="G820" s="2" t="s">
        <v>73</v>
      </c>
      <c r="H820" s="2" t="s">
        <v>74</v>
      </c>
      <c r="I820" s="2" t="s">
        <v>75</v>
      </c>
      <c r="J820" s="2" t="s">
        <v>30</v>
      </c>
      <c r="K820" s="2" t="s">
        <v>109</v>
      </c>
      <c r="L820" s="2" t="s">
        <v>3759</v>
      </c>
      <c r="M820" s="2" t="s">
        <v>56</v>
      </c>
      <c r="N820" s="2">
        <v>8</v>
      </c>
      <c r="O820" s="2">
        <v>1981.04</v>
      </c>
      <c r="P820" s="2">
        <v>-0.14000000000000001</v>
      </c>
      <c r="Q820" s="2">
        <v>12678.66</v>
      </c>
      <c r="R820" s="2">
        <v>10088.65</v>
      </c>
      <c r="S820" s="2">
        <v>2590.0100000000002</v>
      </c>
      <c r="T820" s="2" t="s">
        <v>34</v>
      </c>
      <c r="U820" s="2" t="s">
        <v>35</v>
      </c>
      <c r="V820" s="2" t="str">
        <f t="shared" si="36"/>
        <v>ORD-2024-1081929 Sep 202405-10-2024CUST-3943Priya MenonSmall BusinessWestMaharashtraMumbaiOffice SuppliesLabelsPro Labels 611First Class81981.04-0.1412678.6610088.652590.01PaidCompleted</v>
      </c>
      <c r="W820" s="2">
        <f t="shared" si="37"/>
        <v>1</v>
      </c>
      <c r="X820">
        <f t="shared" si="38"/>
        <v>1</v>
      </c>
    </row>
    <row r="821" spans="1:24">
      <c r="A821" s="2" t="s">
        <v>3760</v>
      </c>
      <c r="B821" s="2" t="s">
        <v>1594</v>
      </c>
      <c r="C821" s="2" t="s">
        <v>3761</v>
      </c>
      <c r="D821" s="2" t="s">
        <v>3762</v>
      </c>
      <c r="E821" s="2" t="s">
        <v>25</v>
      </c>
      <c r="F821" s="2" t="s">
        <v>115</v>
      </c>
      <c r="G821" s="2" t="s">
        <v>62</v>
      </c>
      <c r="H821" s="2" t="s">
        <v>242</v>
      </c>
      <c r="I821" s="2" t="s">
        <v>243</v>
      </c>
      <c r="J821" s="2" t="s">
        <v>86</v>
      </c>
      <c r="K821" s="2" t="s">
        <v>3763</v>
      </c>
      <c r="L821" s="2" t="s">
        <v>3764</v>
      </c>
      <c r="M821" s="2" t="s">
        <v>67</v>
      </c>
      <c r="N821" s="2">
        <v>8</v>
      </c>
      <c r="O821" s="2">
        <v>4246.01</v>
      </c>
      <c r="P821" s="2">
        <v>0</v>
      </c>
      <c r="Q821" s="2">
        <v>33968.080000000002</v>
      </c>
      <c r="R821" s="2">
        <v>26902.44</v>
      </c>
      <c r="S821" s="2">
        <v>7065.64</v>
      </c>
      <c r="T821" s="2" t="s">
        <v>200</v>
      </c>
      <c r="U821" s="2" t="s">
        <v>78</v>
      </c>
      <c r="V821" s="2" t="str">
        <f t="shared" si="36"/>
        <v>ORD-2024-1082007/31/202431-07-2024CUST-7510Karan MalhotraHome OfficeSouthKeralaKochiTechnologyMACHINESPrime Machines 524Standard Class84246.01033968.0826902.447065.64FailedCancelled</v>
      </c>
      <c r="W821" s="2">
        <f t="shared" si="37"/>
        <v>1</v>
      </c>
      <c r="X821">
        <f t="shared" si="38"/>
        <v>1</v>
      </c>
    </row>
    <row r="822" spans="1:24">
      <c r="A822" s="2" t="s">
        <v>3765</v>
      </c>
      <c r="B822" s="2" t="s">
        <v>3766</v>
      </c>
      <c r="C822" s="2" t="s">
        <v>3767</v>
      </c>
      <c r="D822" s="2" t="s">
        <v>3768</v>
      </c>
      <c r="E822" s="2" t="s">
        <v>72</v>
      </c>
      <c r="F822" s="2" t="s">
        <v>115</v>
      </c>
      <c r="G822" s="2" t="s">
        <v>27</v>
      </c>
      <c r="H822" s="2" t="s">
        <v>174</v>
      </c>
      <c r="I822" s="2" t="s">
        <v>175</v>
      </c>
      <c r="J822" s="2" t="s">
        <v>45</v>
      </c>
      <c r="K822" s="2" t="s">
        <v>204</v>
      </c>
      <c r="L822" s="2" t="s">
        <v>3769</v>
      </c>
      <c r="M822" s="2" t="s">
        <v>67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34</v>
      </c>
      <c r="U822" s="2" t="s">
        <v>35</v>
      </c>
      <c r="V822" s="2" t="str">
        <f t="shared" si="36"/>
        <v>ORD-2025-1082106-02-202510-02-2025CUST-2041Ananya RaoHome OfficeNorthUttar PradeshNoidaFurnitureBookcasesClassic Bookcases 882Standard Class2319.570.2511.31436.4374.88PaidCompleted</v>
      </c>
      <c r="W822" s="2">
        <f t="shared" si="37"/>
        <v>1</v>
      </c>
      <c r="X822">
        <f t="shared" si="38"/>
        <v>1</v>
      </c>
    </row>
    <row r="823" spans="1:24">
      <c r="A823" s="2" t="s">
        <v>3770</v>
      </c>
      <c r="B823" s="2" t="s">
        <v>3771</v>
      </c>
      <c r="C823" s="2" t="s">
        <v>3772</v>
      </c>
      <c r="D823" s="2" t="s">
        <v>3773</v>
      </c>
      <c r="E823" s="2" t="s">
        <v>162</v>
      </c>
      <c r="F823" s="2" t="s">
        <v>108</v>
      </c>
      <c r="G823" s="2" t="s">
        <v>62</v>
      </c>
      <c r="H823" s="2" t="s">
        <v>229</v>
      </c>
      <c r="I823" s="2" t="s">
        <v>230</v>
      </c>
      <c r="J823" s="2" t="s">
        <v>86</v>
      </c>
      <c r="K823" s="2" t="s">
        <v>87</v>
      </c>
      <c r="L823" s="2" t="s">
        <v>3774</v>
      </c>
      <c r="M823" s="2" t="s">
        <v>56</v>
      </c>
      <c r="N823" s="2">
        <v>7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34</v>
      </c>
      <c r="U823" s="2" t="s">
        <v>35</v>
      </c>
      <c r="V823" s="2" t="str">
        <f t="shared" si="36"/>
        <v>ORD-2024-108222024-07-0306-07-2024CUST-4466Aarav SharmaCorporateSouthKarnatakaBengaluruTechnologyAccessoriesClassic Accessories 471First Class71942.490.210877.949110.141767.8PaidCompleted</v>
      </c>
      <c r="W823" s="2">
        <f t="shared" si="37"/>
        <v>1</v>
      </c>
      <c r="X823">
        <f t="shared" si="38"/>
        <v>1</v>
      </c>
    </row>
    <row r="824" spans="1:24">
      <c r="A824" s="2" t="s">
        <v>3775</v>
      </c>
      <c r="B824" s="2" t="s">
        <v>3776</v>
      </c>
      <c r="C824" s="2" t="s">
        <v>3777</v>
      </c>
      <c r="D824" s="2" t="s">
        <v>3778</v>
      </c>
      <c r="E824" s="2" t="s">
        <v>40</v>
      </c>
      <c r="F824" s="2" t="s">
        <v>108</v>
      </c>
      <c r="G824" s="2" t="s">
        <v>42</v>
      </c>
      <c r="H824" s="2" t="s">
        <v>216</v>
      </c>
      <c r="I824" s="2" t="s">
        <v>217</v>
      </c>
      <c r="J824" s="2" t="s">
        <v>45</v>
      </c>
      <c r="K824" s="2" t="s">
        <v>65</v>
      </c>
      <c r="L824" s="2" t="s">
        <v>3779</v>
      </c>
      <c r="M824" s="2" t="s">
        <v>33</v>
      </c>
      <c r="N824" s="2">
        <v>4</v>
      </c>
      <c r="O824" s="2">
        <v>3202.04</v>
      </c>
      <c r="P824" s="2">
        <v>0.2</v>
      </c>
      <c r="Q824" s="2">
        <v>10246.530000000001</v>
      </c>
      <c r="R824" s="2">
        <v>8634.42</v>
      </c>
      <c r="S824" s="2">
        <v>1612.11</v>
      </c>
      <c r="T824" s="2" t="s">
        <v>137</v>
      </c>
      <c r="U824" s="2" t="s">
        <v>125</v>
      </c>
      <c r="V824" s="2" t="str">
        <f t="shared" si="36"/>
        <v>ORD-2024-1082310/12/202408 Oct 2024CUST-3188Mira DasCorporateEastAssamGuwahatiFurnitureFurnishingsSmart Furnishings 175Second Class43202.040.210246.538634.421612.11PendingReturned</v>
      </c>
      <c r="W824" s="2">
        <f t="shared" si="37"/>
        <v>1</v>
      </c>
      <c r="X824">
        <f t="shared" si="38"/>
        <v>1</v>
      </c>
    </row>
    <row r="825" spans="1:24">
      <c r="A825" s="2" t="s">
        <v>3780</v>
      </c>
      <c r="B825" s="2" t="s">
        <v>3781</v>
      </c>
      <c r="C825" s="2" t="s">
        <v>2178</v>
      </c>
      <c r="D825" s="2" t="s">
        <v>3782</v>
      </c>
      <c r="E825" s="2" t="s">
        <v>40</v>
      </c>
      <c r="F825" s="2" t="s">
        <v>115</v>
      </c>
      <c r="G825" s="2" t="s">
        <v>73</v>
      </c>
      <c r="H825" s="2" t="s">
        <v>249</v>
      </c>
      <c r="I825" s="2" t="s">
        <v>250</v>
      </c>
      <c r="J825" s="2" t="s">
        <v>30</v>
      </c>
      <c r="K825" s="2" t="s">
        <v>31</v>
      </c>
      <c r="L825" s="2" t="s">
        <v>3783</v>
      </c>
      <c r="M825" s="2" t="s">
        <v>48</v>
      </c>
      <c r="N825" s="2">
        <v>3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34</v>
      </c>
      <c r="U825" s="2" t="s">
        <v>35</v>
      </c>
      <c r="V825" s="2" t="str">
        <f t="shared" si="36"/>
        <v>ORD-2025-108242025-01-0612 Jan 2025CUST-6638Mira DasHome OfficeWestGoaPanajiOffice SuppliesPaperBasic Paper 899Same Day3668.330.151704.24957.55746.69PaidCompleted</v>
      </c>
      <c r="W825" s="2">
        <f t="shared" si="37"/>
        <v>1</v>
      </c>
      <c r="X825">
        <f t="shared" si="38"/>
        <v>1</v>
      </c>
    </row>
    <row r="826" spans="1:24">
      <c r="A826" s="2" t="s">
        <v>3784</v>
      </c>
      <c r="B826" s="2" t="s">
        <v>3785</v>
      </c>
      <c r="C826" s="2" t="s">
        <v>2115</v>
      </c>
      <c r="D826" s="2" t="s">
        <v>3786</v>
      </c>
      <c r="E826" s="2" t="s">
        <v>142</v>
      </c>
      <c r="F826" s="2" t="s">
        <v>26</v>
      </c>
      <c r="G826" s="2" t="s">
        <v>73</v>
      </c>
      <c r="H826" s="2" t="s">
        <v>249</v>
      </c>
      <c r="I826" s="2" t="s">
        <v>250</v>
      </c>
      <c r="J826" s="2" t="s">
        <v>30</v>
      </c>
      <c r="K826" s="2" t="s">
        <v>31</v>
      </c>
      <c r="L826" s="2" t="s">
        <v>3787</v>
      </c>
      <c r="M826" s="2" t="s">
        <v>56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34</v>
      </c>
      <c r="U826" s="2" t="s">
        <v>35</v>
      </c>
      <c r="V826" s="2" t="str">
        <f t="shared" si="36"/>
        <v>ORD-2025-1082521-03-202522 Mar 2025CUST-3540Priya MenonConsumerWestGoaPanajiOffice SuppliesPaperPro Paper 267First Class84436.740.0533719.2228924.434794.79PaidCompleted</v>
      </c>
      <c r="W826" s="2">
        <f t="shared" si="37"/>
        <v>1</v>
      </c>
      <c r="X826">
        <f t="shared" si="38"/>
        <v>1</v>
      </c>
    </row>
    <row r="827" spans="1:24">
      <c r="A827" s="2" t="s">
        <v>3788</v>
      </c>
      <c r="B827" s="2" t="s">
        <v>3789</v>
      </c>
      <c r="C827" s="2" t="s">
        <v>3790</v>
      </c>
      <c r="D827" s="2" t="s">
        <v>3791</v>
      </c>
      <c r="E827" s="2" t="s">
        <v>83</v>
      </c>
      <c r="F827" s="2" t="s">
        <v>41</v>
      </c>
      <c r="G827" s="2" t="s">
        <v>27</v>
      </c>
      <c r="H827" s="2" t="s">
        <v>174</v>
      </c>
      <c r="I827" s="2" t="s">
        <v>175</v>
      </c>
      <c r="J827" s="2" t="s">
        <v>86</v>
      </c>
      <c r="K827" s="2" t="s">
        <v>382</v>
      </c>
      <c r="L827" s="2" t="s">
        <v>3792</v>
      </c>
      <c r="M827" s="2" t="s">
        <v>56</v>
      </c>
      <c r="N827" s="2">
        <v>1</v>
      </c>
      <c r="O827" s="2">
        <v>2720.17</v>
      </c>
      <c r="P827" s="2">
        <v>0</v>
      </c>
      <c r="Q827" s="2">
        <v>2720.17</v>
      </c>
      <c r="R827" s="2">
        <v>1834.23</v>
      </c>
      <c r="S827" s="2">
        <v>885.94</v>
      </c>
      <c r="T827" s="2" t="s">
        <v>34</v>
      </c>
      <c r="U827" s="2" t="s">
        <v>35</v>
      </c>
      <c r="V827" s="2" t="str">
        <f t="shared" si="36"/>
        <v>ORD-2025-1082616 Apr 202517-04-2025CUST-3351Vikram IyerSmall BusinessNorthUttar PradeshNoidaTechnologyMachinesBasic Machines 832First Class12720.1702720.171834.23885.94PaidCompleted</v>
      </c>
      <c r="W827" s="2">
        <f t="shared" si="37"/>
        <v>1</v>
      </c>
      <c r="X827">
        <f t="shared" si="38"/>
        <v>1</v>
      </c>
    </row>
    <row r="828" spans="1:24">
      <c r="A828" s="2" t="s">
        <v>3793</v>
      </c>
      <c r="B828" s="2" t="s">
        <v>3103</v>
      </c>
      <c r="C828" s="2" t="s">
        <v>3794</v>
      </c>
      <c r="D828" s="2" t="s">
        <v>3795</v>
      </c>
      <c r="E828" s="2" t="s">
        <v>107</v>
      </c>
      <c r="F828" s="2" t="s">
        <v>26</v>
      </c>
      <c r="G828" s="2" t="s">
        <v>73</v>
      </c>
      <c r="H828" s="2" t="s">
        <v>28</v>
      </c>
      <c r="I828" s="2" t="s">
        <v>135</v>
      </c>
      <c r="J828" s="2" t="s">
        <v>86</v>
      </c>
      <c r="K828" s="2" t="s">
        <v>87</v>
      </c>
      <c r="L828" s="2" t="s">
        <v>3796</v>
      </c>
      <c r="M828" s="2" t="s">
        <v>67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34</v>
      </c>
      <c r="U828" s="2" t="s">
        <v>35</v>
      </c>
      <c r="V828" s="2" t="str">
        <f t="shared" si="36"/>
        <v>ORD-2025-108272025-08-1014 Aug 2025CUST-4375Aditi SenConsumerWestRajasthanUdaipurTechnologyAccessoriesElite Accessories 790Standard Class52190.140.258213.025569.32643.72PaidCompleted</v>
      </c>
      <c r="W828" s="2">
        <f t="shared" si="37"/>
        <v>1</v>
      </c>
      <c r="X828">
        <f t="shared" si="38"/>
        <v>1</v>
      </c>
    </row>
    <row r="829" spans="1:24">
      <c r="A829" s="2" t="s">
        <v>3797</v>
      </c>
      <c r="B829" s="2" t="s">
        <v>3798</v>
      </c>
      <c r="C829" s="2" t="s">
        <v>1750</v>
      </c>
      <c r="D829" s="2" t="s">
        <v>3799</v>
      </c>
      <c r="E829" s="2" t="s">
        <v>142</v>
      </c>
      <c r="F829" s="2" t="s">
        <v>115</v>
      </c>
      <c r="G829" s="2" t="s">
        <v>62</v>
      </c>
      <c r="H829" s="2" t="s">
        <v>339</v>
      </c>
      <c r="I829" s="2" t="s">
        <v>340</v>
      </c>
      <c r="J829" s="2" t="s">
        <v>30</v>
      </c>
      <c r="K829" s="2" t="s">
        <v>31</v>
      </c>
      <c r="L829" s="2" t="s">
        <v>3800</v>
      </c>
      <c r="M829" s="2" t="s">
        <v>48</v>
      </c>
      <c r="N829" s="2">
        <v>1</v>
      </c>
      <c r="O829" s="2">
        <v>844.89</v>
      </c>
      <c r="P829" s="2">
        <v>0.25</v>
      </c>
      <c r="Q829" s="2">
        <v>633.66999999999996</v>
      </c>
      <c r="R829" s="2">
        <v>520.47</v>
      </c>
      <c r="S829" s="2">
        <v>113.2</v>
      </c>
      <c r="T829" s="2" t="s">
        <v>34</v>
      </c>
      <c r="U829" s="2" t="s">
        <v>78</v>
      </c>
      <c r="V829" s="2" t="str">
        <f t="shared" si="36"/>
        <v>ORD-2024-1082824 Nov 202401-12-2024CUST-5125Priya MenonHome OfficeSouthTamil NaduChennaiOffice SuppliesPaperBasic Paper 707Same Day1844.890.25633.67520.47113.2PaidCancelled</v>
      </c>
      <c r="W829" s="2">
        <f t="shared" si="37"/>
        <v>1</v>
      </c>
      <c r="X829">
        <f t="shared" si="38"/>
        <v>1</v>
      </c>
    </row>
    <row r="830" spans="1:24">
      <c r="A830" s="2" t="s">
        <v>3801</v>
      </c>
      <c r="B830" s="2" t="s">
        <v>3802</v>
      </c>
      <c r="C830" s="2" t="s">
        <v>3803</v>
      </c>
      <c r="D830" s="2" t="s">
        <v>3804</v>
      </c>
      <c r="E830" s="2" t="s">
        <v>25</v>
      </c>
      <c r="F830" s="2" t="s">
        <v>108</v>
      </c>
      <c r="G830" s="2" t="s">
        <v>42</v>
      </c>
      <c r="H830" s="2" t="s">
        <v>43</v>
      </c>
      <c r="I830" s="2" t="s">
        <v>44</v>
      </c>
      <c r="J830" s="2" t="s">
        <v>45</v>
      </c>
      <c r="K830" s="2" t="s">
        <v>76</v>
      </c>
      <c r="L830" s="2" t="s">
        <v>3805</v>
      </c>
      <c r="M830" s="2" t="s">
        <v>33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200</v>
      </c>
      <c r="U830" s="2" t="s">
        <v>78</v>
      </c>
      <c r="V830" s="2" t="str">
        <f t="shared" si="36"/>
        <v>ORD-2025-1082910/10/202511-10-2025CUST-6010Karan MalhotraCorporateEastOdishaBhubaneswarFurnitureChairsElite Chairs 979Second Class73791.960.0525216.5314216.9410999.59FailedCancelled</v>
      </c>
      <c r="W830" s="2">
        <f t="shared" si="37"/>
        <v>1</v>
      </c>
      <c r="X830">
        <f t="shared" si="38"/>
        <v>1</v>
      </c>
    </row>
    <row r="831" spans="1:24">
      <c r="A831" s="2" t="s">
        <v>3806</v>
      </c>
      <c r="B831" s="2" t="s">
        <v>3807</v>
      </c>
      <c r="C831" s="2" t="s">
        <v>1474</v>
      </c>
      <c r="D831" s="2" t="s">
        <v>3808</v>
      </c>
      <c r="E831" s="2" t="s">
        <v>107</v>
      </c>
      <c r="F831" s="2" t="s">
        <v>41</v>
      </c>
      <c r="G831" s="2" t="s">
        <v>73</v>
      </c>
      <c r="H831" s="2" t="s">
        <v>249</v>
      </c>
      <c r="I831" s="2" t="s">
        <v>250</v>
      </c>
      <c r="J831" s="2" t="s">
        <v>45</v>
      </c>
      <c r="K831" s="2" t="s">
        <v>65</v>
      </c>
      <c r="L831" s="2" t="s">
        <v>3809</v>
      </c>
      <c r="M831" s="2" t="s">
        <v>33</v>
      </c>
      <c r="N831" s="2">
        <v>7</v>
      </c>
      <c r="O831" s="2">
        <v>1035.1400000000001</v>
      </c>
      <c r="P831" s="2">
        <v>0.1</v>
      </c>
      <c r="Q831" s="2">
        <v>6521.38</v>
      </c>
      <c r="R831" s="2">
        <v>4511.1000000000004</v>
      </c>
      <c r="S831" s="2">
        <v>2010.28</v>
      </c>
      <c r="T831" s="2" t="s">
        <v>34</v>
      </c>
      <c r="U831" s="2" t="s">
        <v>35</v>
      </c>
      <c r="V831" s="2" t="str">
        <f t="shared" si="36"/>
        <v>ORD-2024-1083002/26/202428-02-2024CUST-9036Aditi SenSmall BusinessWestGoaPanajiFurnitureFurnishingsPro Furnishings 192Second Class71035.140.16521.384511.12010.28PaidCompleted</v>
      </c>
      <c r="W831" s="2">
        <f t="shared" si="37"/>
        <v>1</v>
      </c>
      <c r="X831">
        <f t="shared" si="38"/>
        <v>1</v>
      </c>
    </row>
    <row r="832" spans="1:24">
      <c r="A832" s="2" t="s">
        <v>3810</v>
      </c>
      <c r="B832" s="2" t="s">
        <v>2908</v>
      </c>
      <c r="C832" s="2" t="s">
        <v>720</v>
      </c>
      <c r="D832" s="2" t="s">
        <v>3811</v>
      </c>
      <c r="E832" s="2" t="s">
        <v>107</v>
      </c>
      <c r="F832" s="2" t="s">
        <v>41</v>
      </c>
      <c r="H832" s="2" t="s">
        <v>339</v>
      </c>
      <c r="I832" s="2" t="s">
        <v>340</v>
      </c>
      <c r="J832" s="2" t="s">
        <v>86</v>
      </c>
      <c r="K832" s="2" t="s">
        <v>382</v>
      </c>
      <c r="L832" s="2" t="s">
        <v>3812</v>
      </c>
      <c r="M832" s="2" t="s">
        <v>56</v>
      </c>
      <c r="N832" s="2">
        <v>6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34</v>
      </c>
      <c r="U832" s="2" t="s">
        <v>35</v>
      </c>
      <c r="V832" s="2" t="str">
        <f t="shared" si="36"/>
        <v>ORD-2025-1083115 Jul 202518-07-2025CUST-7929Aditi SenSmall BusinessTamil NaduChennaiTechnologyMachinesSmart Machines 951First Class62382.880.112867.5510068.942798.61PaidCompleted</v>
      </c>
      <c r="W832" s="2">
        <f t="shared" si="37"/>
        <v>1</v>
      </c>
      <c r="X832">
        <f t="shared" si="38"/>
        <v>1</v>
      </c>
    </row>
    <row r="833" spans="1:24">
      <c r="A833" s="2" t="s">
        <v>3813</v>
      </c>
      <c r="B833" s="2" t="s">
        <v>469</v>
      </c>
      <c r="C833" s="2" t="s">
        <v>3255</v>
      </c>
      <c r="D833" s="2" t="s">
        <v>3814</v>
      </c>
      <c r="E833" s="2" t="s">
        <v>210</v>
      </c>
      <c r="F833" s="2" t="s">
        <v>115</v>
      </c>
      <c r="H833" s="2" t="s">
        <v>323</v>
      </c>
      <c r="I833" s="2" t="s">
        <v>324</v>
      </c>
      <c r="J833" s="2" t="s">
        <v>45</v>
      </c>
      <c r="K833" s="2" t="s">
        <v>76</v>
      </c>
      <c r="L833" s="2" t="s">
        <v>3815</v>
      </c>
      <c r="M833" s="2" t="s">
        <v>56</v>
      </c>
      <c r="N833" s="2">
        <v>9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200</v>
      </c>
      <c r="U833" s="2" t="s">
        <v>125</v>
      </c>
      <c r="V833" s="2" t="str">
        <f t="shared" si="36"/>
        <v>ORD-2025-1083204/03/202503-04-2025CUST-1106Diya PatelHome OfficeHaryanaGurugramFurnitureChairsSmart Chairs 794First Class93462.70.1526489.6515818.4610671.19FailedReturned</v>
      </c>
      <c r="W833" s="2">
        <f t="shared" si="37"/>
        <v>1</v>
      </c>
      <c r="X833">
        <f t="shared" si="38"/>
        <v>1</v>
      </c>
    </row>
    <row r="834" spans="1:24">
      <c r="A834" s="2" t="s">
        <v>3816</v>
      </c>
      <c r="B834" s="2" t="s">
        <v>3817</v>
      </c>
      <c r="C834" s="2" t="s">
        <v>3818</v>
      </c>
      <c r="D834" s="2" t="s">
        <v>3819</v>
      </c>
      <c r="E834" s="2" t="s">
        <v>366</v>
      </c>
      <c r="F834" s="2" t="s">
        <v>41</v>
      </c>
      <c r="G834" s="2" t="s">
        <v>62</v>
      </c>
      <c r="H834" s="2" t="s">
        <v>100</v>
      </c>
      <c r="I834" s="2" t="s">
        <v>101</v>
      </c>
      <c r="J834" s="2" t="s">
        <v>86</v>
      </c>
      <c r="K834" s="2" t="s">
        <v>223</v>
      </c>
      <c r="L834" s="2" t="s">
        <v>3820</v>
      </c>
      <c r="M834" s="2" t="s">
        <v>33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34</v>
      </c>
      <c r="U834" s="2" t="s">
        <v>35</v>
      </c>
      <c r="V834" s="2" t="str">
        <f t="shared" si="36"/>
        <v>ORD-2025-1083326 May 202528-05-2025CUST-9557Kabir SinghSmall BusinessSouthAndhra PradeshVijayawadaTechnologyPhonesMax Phones 919Second Class94302.020.0536782.2725902.8110879.46PaidCompleted</v>
      </c>
      <c r="W834" s="2">
        <f t="shared" si="37"/>
        <v>1</v>
      </c>
      <c r="X834">
        <f t="shared" si="38"/>
        <v>1</v>
      </c>
    </row>
    <row r="835" spans="1:24">
      <c r="A835" s="2" t="s">
        <v>3821</v>
      </c>
      <c r="B835" s="2" t="s">
        <v>3822</v>
      </c>
      <c r="C835" s="2" t="s">
        <v>3823</v>
      </c>
      <c r="D835" s="2" t="s">
        <v>3824</v>
      </c>
      <c r="E835" s="2" t="s">
        <v>148</v>
      </c>
      <c r="F835" s="2" t="s">
        <v>115</v>
      </c>
      <c r="G835" s="2" t="s">
        <v>42</v>
      </c>
      <c r="H835" s="2" t="s">
        <v>121</v>
      </c>
      <c r="I835" s="2" t="s">
        <v>122</v>
      </c>
      <c r="J835" s="2" t="s">
        <v>45</v>
      </c>
      <c r="K835" s="2" t="s">
        <v>204</v>
      </c>
      <c r="L835" s="2" t="s">
        <v>3825</v>
      </c>
      <c r="M835" s="2" t="s">
        <v>56</v>
      </c>
      <c r="N835" s="2">
        <v>6</v>
      </c>
      <c r="O835" s="2">
        <v>3949.4</v>
      </c>
      <c r="P835" s="2">
        <v>0</v>
      </c>
      <c r="Q835" s="2">
        <v>23696.400000000001</v>
      </c>
      <c r="R835" s="2">
        <v>18109.77</v>
      </c>
      <c r="S835" s="2">
        <v>5586.63</v>
      </c>
      <c r="T835" s="2" t="s">
        <v>34</v>
      </c>
      <c r="U835" s="2" t="s">
        <v>35</v>
      </c>
      <c r="V835" s="2" t="str">
        <f t="shared" ref="V835:V898" si="39">_xlfn.CONCAT(A835:U835)</f>
        <v>ORD-2024-108342024-06-0406/04/2024CUST-2689Rahul VermaHome OfficeEastWest BengalKolkataFurnitureBookcasesBasic Bookcases 499First Class63949.4023696.418109.775586.63PaidCompleted</v>
      </c>
      <c r="W835" s="2">
        <f t="shared" ref="W835:W898" si="40">COUNTIF($V$2:$V$933,V835)</f>
        <v>1</v>
      </c>
      <c r="X835">
        <f t="shared" ref="X835:X898" si="41">COUNTIF($A$2:$A$933,A835)</f>
        <v>1</v>
      </c>
    </row>
    <row r="836" spans="1:24">
      <c r="A836" s="2" t="s">
        <v>3826</v>
      </c>
      <c r="B836" s="2" t="s">
        <v>233</v>
      </c>
      <c r="C836" s="2" t="s">
        <v>3827</v>
      </c>
      <c r="D836" s="2" t="s">
        <v>3828</v>
      </c>
      <c r="E836" s="2" t="s">
        <v>162</v>
      </c>
      <c r="F836" s="2" t="s">
        <v>115</v>
      </c>
      <c r="G836" s="2" t="s">
        <v>62</v>
      </c>
      <c r="H836" s="2" t="s">
        <v>63</v>
      </c>
      <c r="I836" s="2" t="s">
        <v>64</v>
      </c>
      <c r="J836" s="2" t="s">
        <v>30</v>
      </c>
      <c r="K836" s="2" t="s">
        <v>54</v>
      </c>
      <c r="L836" s="2" t="s">
        <v>3829</v>
      </c>
      <c r="M836" s="2" t="s">
        <v>56</v>
      </c>
      <c r="N836" s="2">
        <v>6</v>
      </c>
      <c r="O836" s="2">
        <v>674.61</v>
      </c>
      <c r="P836" s="2">
        <v>0</v>
      </c>
      <c r="Q836" s="2">
        <v>4047.66</v>
      </c>
      <c r="R836" s="2">
        <v>3078.93</v>
      </c>
      <c r="S836" s="2">
        <v>1279.79</v>
      </c>
      <c r="T836" s="2" t="s">
        <v>34</v>
      </c>
      <c r="U836" s="2" t="s">
        <v>35</v>
      </c>
      <c r="V836" s="2" t="str">
        <f t="shared" si="39"/>
        <v>ORD-2024-1083518-10-20242024-10-22CUST-2879Aarav SharmaHome OfficeSouthTelanganaHyderabadOffice SuppliesArtBasic Art 143First Class6674.6104047.663078.931279.79PaidCompleted</v>
      </c>
      <c r="W836" s="2">
        <f t="shared" si="40"/>
        <v>1</v>
      </c>
      <c r="X836">
        <f t="shared" si="41"/>
        <v>1</v>
      </c>
    </row>
    <row r="837" spans="1:24">
      <c r="A837" s="2" t="s">
        <v>3830</v>
      </c>
      <c r="B837" s="2" t="s">
        <v>2750</v>
      </c>
      <c r="C837" s="2" t="s">
        <v>955</v>
      </c>
      <c r="D837" s="2" t="s">
        <v>3831</v>
      </c>
      <c r="E837" s="2" t="s">
        <v>142</v>
      </c>
      <c r="F837" s="2" t="s">
        <v>41</v>
      </c>
      <c r="G837" s="2" t="s">
        <v>42</v>
      </c>
      <c r="H837" s="2" t="s">
        <v>216</v>
      </c>
      <c r="I837" s="2" t="s">
        <v>217</v>
      </c>
      <c r="J837" s="2" t="s">
        <v>86</v>
      </c>
      <c r="K837" s="2" t="s">
        <v>223</v>
      </c>
      <c r="L837" s="2" t="s">
        <v>3832</v>
      </c>
      <c r="M837" s="2" t="s">
        <v>33</v>
      </c>
      <c r="N837" s="2">
        <v>7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34</v>
      </c>
      <c r="U837" s="2" t="s">
        <v>35</v>
      </c>
      <c r="V837" s="2" t="str">
        <f t="shared" si="39"/>
        <v>ORD-2025-1083609/26/202504-10-2025CUST-5150Priya MenonSmall BusinessEastAssamGuwahatiTechnologyPhonesPrime Phones 338Second Class71509.590.0510038.775673.14365.67PaidCompleted</v>
      </c>
      <c r="W837" s="2">
        <f t="shared" si="40"/>
        <v>1</v>
      </c>
      <c r="X837">
        <f t="shared" si="41"/>
        <v>1</v>
      </c>
    </row>
    <row r="838" spans="1:24">
      <c r="A838" s="2" t="s">
        <v>3833</v>
      </c>
      <c r="B838" s="2" t="s">
        <v>2462</v>
      </c>
      <c r="C838" s="2" t="s">
        <v>3834</v>
      </c>
      <c r="D838" s="2" t="s">
        <v>3835</v>
      </c>
      <c r="E838" s="2" t="s">
        <v>53</v>
      </c>
      <c r="F838" s="2" t="s">
        <v>41</v>
      </c>
      <c r="G838" s="2" t="s">
        <v>27</v>
      </c>
      <c r="H838" s="2" t="s">
        <v>28</v>
      </c>
      <c r="I838" s="2" t="s">
        <v>29</v>
      </c>
      <c r="J838" s="2" t="s">
        <v>30</v>
      </c>
      <c r="K838" s="2" t="s">
        <v>109</v>
      </c>
      <c r="L838" s="2" t="s">
        <v>3836</v>
      </c>
      <c r="M838" s="2" t="s">
        <v>33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34</v>
      </c>
      <c r="U838" s="2" t="s">
        <v>35</v>
      </c>
      <c r="V838" s="2" t="str">
        <f t="shared" si="39"/>
        <v>ORD-2024-108372024-12-152024-12-18CUST-9776Isha NairSmall BusinessNorthRajasthanJaipurOffice SuppliesLabelsSmart Labels 814Second Class2537.1101074.22850.86223.36PaidCompleted</v>
      </c>
      <c r="W838" s="2">
        <f t="shared" si="40"/>
        <v>1</v>
      </c>
      <c r="X838">
        <f t="shared" si="41"/>
        <v>1</v>
      </c>
    </row>
    <row r="839" spans="1:24">
      <c r="A839" s="2" t="s">
        <v>3837</v>
      </c>
      <c r="B839" s="2" t="s">
        <v>498</v>
      </c>
      <c r="C839" s="2" t="s">
        <v>3838</v>
      </c>
      <c r="D839" s="2" t="s">
        <v>3839</v>
      </c>
      <c r="E839" s="2" t="s">
        <v>25</v>
      </c>
      <c r="F839" s="2" t="s">
        <v>115</v>
      </c>
      <c r="G839" s="2" t="s">
        <v>73</v>
      </c>
      <c r="H839" s="2" t="s">
        <v>74</v>
      </c>
      <c r="I839" s="2" t="s">
        <v>75</v>
      </c>
      <c r="J839" s="2" t="s">
        <v>30</v>
      </c>
      <c r="K839" s="2" t="s">
        <v>31</v>
      </c>
      <c r="L839" s="2" t="s">
        <v>3840</v>
      </c>
      <c r="M839" s="2" t="s">
        <v>56</v>
      </c>
      <c r="N839" s="2">
        <v>3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34</v>
      </c>
      <c r="U839" s="2" t="s">
        <v>35</v>
      </c>
      <c r="V839" s="2" t="str">
        <f t="shared" si="39"/>
        <v>ORD-2025-108382025-09-2709/28/2025CUST-2551Karan MalhotraHome OfficeWestMaharashtraMumbaiOffice SuppliesPaperPrime Paper 812First Class34177.630.259399.676540.372859.3PaidCompleted</v>
      </c>
      <c r="W839" s="2">
        <f t="shared" si="40"/>
        <v>1</v>
      </c>
      <c r="X839">
        <f t="shared" si="41"/>
        <v>1</v>
      </c>
    </row>
    <row r="840" spans="1:24">
      <c r="A840" s="2" t="s">
        <v>3841</v>
      </c>
      <c r="B840" s="2" t="s">
        <v>469</v>
      </c>
      <c r="C840" s="2" t="s">
        <v>3842</v>
      </c>
      <c r="D840" s="2" t="s">
        <v>3843</v>
      </c>
      <c r="E840" s="2" t="s">
        <v>72</v>
      </c>
      <c r="F840" s="2" t="s">
        <v>41</v>
      </c>
      <c r="G840" s="2" t="s">
        <v>73</v>
      </c>
      <c r="H840" s="2" t="s">
        <v>249</v>
      </c>
      <c r="I840" s="2" t="s">
        <v>250</v>
      </c>
      <c r="J840" s="2" t="s">
        <v>30</v>
      </c>
      <c r="K840" s="2" t="s">
        <v>31</v>
      </c>
      <c r="L840" s="2" t="s">
        <v>3844</v>
      </c>
      <c r="M840" s="2" t="s">
        <v>48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34</v>
      </c>
      <c r="U840" s="2" t="s">
        <v>125</v>
      </c>
      <c r="V840" s="2" t="str">
        <f t="shared" si="39"/>
        <v>ORD-2025-1083904/03/202507 Apr 2025CUST-4708Ananya RaoSmall BusinessWestGoaPanajiOffice SuppliesPaperPro Paper 355Same Day11470.5701470.57834.02636.55PaidReturned</v>
      </c>
      <c r="W840" s="2">
        <f t="shared" si="40"/>
        <v>1</v>
      </c>
      <c r="X840">
        <f t="shared" si="41"/>
        <v>1</v>
      </c>
    </row>
    <row r="841" spans="1:24">
      <c r="A841" s="2" t="s">
        <v>3845</v>
      </c>
      <c r="B841" s="2" t="s">
        <v>3846</v>
      </c>
      <c r="C841" s="2" t="s">
        <v>3847</v>
      </c>
      <c r="D841" s="2" t="s">
        <v>3848</v>
      </c>
      <c r="E841" s="2" t="s">
        <v>180</v>
      </c>
      <c r="F841" s="2" t="s">
        <v>115</v>
      </c>
      <c r="G841" s="2" t="s">
        <v>42</v>
      </c>
      <c r="H841" s="2" t="s">
        <v>43</v>
      </c>
      <c r="I841" s="2" t="s">
        <v>44</v>
      </c>
      <c r="J841" s="2" t="s">
        <v>86</v>
      </c>
      <c r="K841" s="2" t="s">
        <v>223</v>
      </c>
      <c r="L841" s="2" t="s">
        <v>3849</v>
      </c>
      <c r="M841" s="2" t="s">
        <v>67</v>
      </c>
      <c r="N841" s="2">
        <v>8</v>
      </c>
      <c r="O841" s="2">
        <v>531.42999999999995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34</v>
      </c>
      <c r="U841" s="2" t="s">
        <v>35</v>
      </c>
      <c r="V841" s="2" t="str">
        <f t="shared" si="39"/>
        <v>ORD-2024-1084009/20/202422-09-2024CUST-8206Rohan MehtaHome OfficeEastOdishaBhubaneswarTechnologyPhonesBasic Phones 398Standard Class8531.430.13826.32194.121632.18PaidCompleted</v>
      </c>
      <c r="W841" s="2">
        <f t="shared" si="40"/>
        <v>1</v>
      </c>
      <c r="X841">
        <f t="shared" si="41"/>
        <v>1</v>
      </c>
    </row>
    <row r="842" spans="1:24">
      <c r="A842" s="2" t="s">
        <v>3850</v>
      </c>
      <c r="B842" s="2" t="s">
        <v>1898</v>
      </c>
      <c r="C842" s="2" t="s">
        <v>2197</v>
      </c>
      <c r="D842" s="2" t="s">
        <v>3851</v>
      </c>
      <c r="E842" s="2" t="s">
        <v>93</v>
      </c>
      <c r="F842" s="2" t="s">
        <v>115</v>
      </c>
      <c r="G842" s="2" t="s">
        <v>27</v>
      </c>
      <c r="H842" s="2" t="s">
        <v>506</v>
      </c>
      <c r="I842" s="2" t="s">
        <v>507</v>
      </c>
      <c r="J842" s="2" t="s">
        <v>45</v>
      </c>
      <c r="K842" s="2" t="s">
        <v>76</v>
      </c>
      <c r="L842" s="2" t="s">
        <v>3852</v>
      </c>
      <c r="M842" s="2" t="s">
        <v>48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34</v>
      </c>
      <c r="U842" s="2" t="s">
        <v>35</v>
      </c>
      <c r="V842" s="2" t="str">
        <f t="shared" si="39"/>
        <v>ORD-2025-108412025-09-1919-09-2025CUST-1297Neha GuptaHome OfficeNorthDelhiNew DelhiFurnitureChairsClassic Chairs 204Same Day41584.1106336.444680.681655.76PaidCompleted</v>
      </c>
      <c r="W842" s="2">
        <f t="shared" si="40"/>
        <v>1</v>
      </c>
      <c r="X842">
        <f t="shared" si="41"/>
        <v>1</v>
      </c>
    </row>
    <row r="843" spans="1:24">
      <c r="A843" s="2" t="s">
        <v>3853</v>
      </c>
      <c r="B843" s="2" t="s">
        <v>3854</v>
      </c>
      <c r="C843" s="2" t="s">
        <v>3855</v>
      </c>
      <c r="D843" s="2" t="s">
        <v>3856</v>
      </c>
      <c r="E843" s="2" t="s">
        <v>72</v>
      </c>
      <c r="F843" s="2" t="s">
        <v>41</v>
      </c>
      <c r="G843" s="2" t="s">
        <v>42</v>
      </c>
      <c r="H843" s="2" t="s">
        <v>186</v>
      </c>
      <c r="I843" s="2" t="s">
        <v>187</v>
      </c>
      <c r="J843" s="2" t="s">
        <v>30</v>
      </c>
      <c r="K843" s="2" t="s">
        <v>54</v>
      </c>
      <c r="L843" s="2" t="s">
        <v>3857</v>
      </c>
      <c r="M843" s="2" t="s">
        <v>67</v>
      </c>
      <c r="N843" s="2">
        <v>9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34</v>
      </c>
      <c r="U843" s="2" t="s">
        <v>35</v>
      </c>
      <c r="V843" s="2" t="str">
        <f t="shared" si="39"/>
        <v>ORD-2025-108422025-02-0612 Feb 2025CUST-7558Ananya RaoSmall BusinessEastBiharPatnaOffice SuppliesArtMax Art 339Standard Class93237.160.2521850.8316600.135250.7PaidCompleted</v>
      </c>
      <c r="W843" s="2">
        <f t="shared" si="40"/>
        <v>1</v>
      </c>
      <c r="X843">
        <f t="shared" si="41"/>
        <v>1</v>
      </c>
    </row>
    <row r="844" spans="1:24">
      <c r="A844" s="2" t="s">
        <v>3858</v>
      </c>
      <c r="B844" s="2" t="s">
        <v>3859</v>
      </c>
      <c r="C844" s="2" t="s">
        <v>3860</v>
      </c>
      <c r="D844" s="2" t="s">
        <v>3861</v>
      </c>
      <c r="E844" s="2" t="s">
        <v>3862</v>
      </c>
      <c r="F844" s="2" t="s">
        <v>26</v>
      </c>
      <c r="G844" s="2" t="s">
        <v>27</v>
      </c>
      <c r="H844" s="2" t="s">
        <v>323</v>
      </c>
      <c r="I844" s="2" t="s">
        <v>324</v>
      </c>
      <c r="J844" s="2" t="s">
        <v>86</v>
      </c>
      <c r="K844" s="2" t="s">
        <v>382</v>
      </c>
      <c r="L844" s="2" t="s">
        <v>3863</v>
      </c>
      <c r="M844" s="2" t="s">
        <v>56</v>
      </c>
      <c r="N844" s="2">
        <v>4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34</v>
      </c>
      <c r="U844" s="2" t="s">
        <v>125</v>
      </c>
      <c r="V844" s="2" t="str">
        <f t="shared" si="39"/>
        <v>ORD-2024-1084331-03-202403/30/2024CUST-1798kabir singhConsumerNorthHaryanaGurugramTechnologyMachinesSmart Machines 581First Class42192.080.157453.075133.782319.29PaidReturned</v>
      </c>
      <c r="W844" s="2">
        <f t="shared" si="40"/>
        <v>1</v>
      </c>
      <c r="X844">
        <f t="shared" si="41"/>
        <v>1</v>
      </c>
    </row>
    <row r="845" spans="1:24">
      <c r="A845" s="2" t="s">
        <v>3864</v>
      </c>
      <c r="B845" s="2" t="s">
        <v>2700</v>
      </c>
      <c r="C845" s="2" t="s">
        <v>3865</v>
      </c>
      <c r="D845" s="2" t="s">
        <v>3866</v>
      </c>
      <c r="E845" s="2" t="s">
        <v>142</v>
      </c>
      <c r="F845" s="2" t="s">
        <v>41</v>
      </c>
      <c r="G845" s="2" t="s">
        <v>27</v>
      </c>
      <c r="H845" s="2" t="s">
        <v>174</v>
      </c>
      <c r="I845" s="2" t="s">
        <v>175</v>
      </c>
      <c r="J845" s="2" t="s">
        <v>86</v>
      </c>
      <c r="K845" s="2" t="s">
        <v>223</v>
      </c>
      <c r="L845" s="2" t="s">
        <v>3867</v>
      </c>
      <c r="M845" s="2" t="s">
        <v>56</v>
      </c>
      <c r="N845" s="2">
        <v>9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34</v>
      </c>
      <c r="U845" s="2" t="s">
        <v>35</v>
      </c>
      <c r="V845" s="2" t="str">
        <f t="shared" si="39"/>
        <v>ORD-2025-1084418 Jul 202525 Jul 2025CUST-7333Priya MenonSmall BusinessNorthUttar PradeshNoidaTechnologyPhonesPrime Phones 482First Class93989.52-0.0235905.6823916.111989.58PaidCompleted</v>
      </c>
      <c r="W845" s="2">
        <f t="shared" si="40"/>
        <v>1</v>
      </c>
      <c r="X845">
        <f t="shared" si="41"/>
        <v>1</v>
      </c>
    </row>
    <row r="846" spans="1:24">
      <c r="A846" s="2" t="s">
        <v>3868</v>
      </c>
      <c r="B846" s="2" t="s">
        <v>3869</v>
      </c>
      <c r="C846" s="2" t="s">
        <v>3870</v>
      </c>
      <c r="D846" s="2" t="s">
        <v>3871</v>
      </c>
      <c r="E846" s="2" t="s">
        <v>107</v>
      </c>
      <c r="F846" s="2" t="s">
        <v>115</v>
      </c>
      <c r="G846" s="2" t="s">
        <v>73</v>
      </c>
      <c r="H846" s="2" t="s">
        <v>249</v>
      </c>
      <c r="I846" s="2" t="s">
        <v>250</v>
      </c>
      <c r="J846" s="2" t="s">
        <v>30</v>
      </c>
      <c r="K846" s="2" t="s">
        <v>54</v>
      </c>
      <c r="L846" s="2" t="s">
        <v>3872</v>
      </c>
      <c r="M846" s="2" t="s">
        <v>56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34</v>
      </c>
      <c r="U846" s="2" t="s">
        <v>35</v>
      </c>
      <c r="V846" s="2" t="str">
        <f t="shared" si="39"/>
        <v>ORD-2025-1084520-01-202525-01-2025CUST-2086Aditi SenHome OfficeWestGoaPanajiOffice SuppliesArtPro Art 588First Class13515.1503515.152216.341298.81PaidCompleted</v>
      </c>
      <c r="W846" s="2">
        <f t="shared" si="40"/>
        <v>1</v>
      </c>
      <c r="X846">
        <f t="shared" si="41"/>
        <v>1</v>
      </c>
    </row>
    <row r="847" spans="1:24">
      <c r="A847" s="2" t="s">
        <v>3873</v>
      </c>
      <c r="B847" s="2" t="s">
        <v>2772</v>
      </c>
      <c r="C847" s="2" t="s">
        <v>3874</v>
      </c>
      <c r="D847" s="2" t="s">
        <v>893</v>
      </c>
      <c r="E847" s="2" t="s">
        <v>25</v>
      </c>
      <c r="F847" s="2" t="s">
        <v>26</v>
      </c>
      <c r="G847" s="2" t="s">
        <v>42</v>
      </c>
      <c r="H847" s="2" t="s">
        <v>43</v>
      </c>
      <c r="I847" s="2" t="s">
        <v>44</v>
      </c>
      <c r="J847" s="2" t="s">
        <v>45</v>
      </c>
      <c r="K847" s="2" t="s">
        <v>46</v>
      </c>
      <c r="L847" s="2" t="s">
        <v>3875</v>
      </c>
      <c r="M847" s="2" t="s">
        <v>56</v>
      </c>
      <c r="N847" s="2">
        <v>9</v>
      </c>
      <c r="O847" s="2">
        <v>3616.23</v>
      </c>
      <c r="P847" s="2">
        <v>0.25</v>
      </c>
      <c r="Q847" s="2">
        <v>24409.55</v>
      </c>
      <c r="R847" s="2">
        <v>17157.580000000002</v>
      </c>
      <c r="S847" s="2">
        <v>7251.97</v>
      </c>
      <c r="T847" s="2" t="s">
        <v>137</v>
      </c>
      <c r="U847" s="2" t="s">
        <v>125</v>
      </c>
      <c r="V847" s="2" t="str">
        <f t="shared" si="39"/>
        <v>ORD-2024-1084623-02-202427 Feb 2024CUST-2367Karan MalhotraConsumerEastOdishaBhubaneswarFurnitureTablesEco Tables 792First Class93616.230.2524409.5517157.587251.97PendingReturned</v>
      </c>
      <c r="W847" s="2">
        <f t="shared" si="40"/>
        <v>1</v>
      </c>
      <c r="X847">
        <f t="shared" si="41"/>
        <v>1</v>
      </c>
    </row>
    <row r="848" spans="1:24">
      <c r="A848" s="2" t="s">
        <v>3876</v>
      </c>
      <c r="B848" s="2" t="s">
        <v>3877</v>
      </c>
      <c r="C848" s="2" t="s">
        <v>3878</v>
      </c>
      <c r="D848" s="2" t="s">
        <v>3879</v>
      </c>
      <c r="E848" s="2" t="s">
        <v>142</v>
      </c>
      <c r="F848" s="2" t="s">
        <v>41</v>
      </c>
      <c r="G848" s="2" t="s">
        <v>73</v>
      </c>
      <c r="H848" s="2" t="s">
        <v>235</v>
      </c>
      <c r="I848" s="2" t="s">
        <v>236</v>
      </c>
      <c r="J848" s="2" t="s">
        <v>45</v>
      </c>
      <c r="K848" s="2" t="s">
        <v>204</v>
      </c>
      <c r="L848" s="2" t="s">
        <v>3880</v>
      </c>
      <c r="M848" s="2" t="s">
        <v>67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137</v>
      </c>
      <c r="U848" s="2" t="s">
        <v>125</v>
      </c>
      <c r="V848" s="2" t="str">
        <f t="shared" si="39"/>
        <v>ORD-2024-108472024-04-142024-04-22CUST-6522Priya MenonSmall BusinessWestGujaratAhmedabadFurnitureBookcasesPrime Bookcases 177Standard Class23977.5207955.045580.682374.36PendingReturned</v>
      </c>
      <c r="W848" s="2">
        <f t="shared" si="40"/>
        <v>1</v>
      </c>
      <c r="X848">
        <f t="shared" si="41"/>
        <v>1</v>
      </c>
    </row>
    <row r="849" spans="1:25">
      <c r="A849" s="2" t="s">
        <v>3881</v>
      </c>
      <c r="B849" s="2" t="s">
        <v>3882</v>
      </c>
      <c r="C849" s="2" t="s">
        <v>3883</v>
      </c>
      <c r="D849" s="2" t="s">
        <v>3884</v>
      </c>
      <c r="E849" s="2" t="s">
        <v>210</v>
      </c>
      <c r="F849" s="2" t="s">
        <v>115</v>
      </c>
      <c r="G849" s="2" t="s">
        <v>42</v>
      </c>
      <c r="H849" s="2" t="s">
        <v>43</v>
      </c>
      <c r="I849" s="2" t="s">
        <v>44</v>
      </c>
      <c r="J849" s="2" t="s">
        <v>45</v>
      </c>
      <c r="K849" s="2" t="s">
        <v>46</v>
      </c>
      <c r="L849" s="2" t="s">
        <v>3885</v>
      </c>
      <c r="M849" s="2" t="s">
        <v>33</v>
      </c>
      <c r="N849" s="2">
        <v>2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34</v>
      </c>
      <c r="U849" s="2" t="s">
        <v>35</v>
      </c>
      <c r="V849" s="2" t="str">
        <f t="shared" si="39"/>
        <v>ORD-2025-108482025-05-2005/22/2025CUST-8329Diya PatelHome OfficeEastOdishaBhubaneswarFurnitureTablesPro Tables 828Second Class2210.080.2336.13242.1993.94PaidCompleted</v>
      </c>
      <c r="W849" s="2">
        <f t="shared" si="40"/>
        <v>1</v>
      </c>
      <c r="X849">
        <f t="shared" si="41"/>
        <v>1</v>
      </c>
    </row>
    <row r="850" spans="1:25">
      <c r="A850" s="2" t="s">
        <v>3886</v>
      </c>
      <c r="B850" s="2" t="s">
        <v>3145</v>
      </c>
      <c r="C850" s="2" t="s">
        <v>3887</v>
      </c>
      <c r="D850" s="2" t="s">
        <v>3888</v>
      </c>
      <c r="E850" s="2" t="s">
        <v>148</v>
      </c>
      <c r="F850" s="2" t="s">
        <v>115</v>
      </c>
      <c r="G850" s="2" t="s">
        <v>62</v>
      </c>
      <c r="H850" s="2" t="s">
        <v>339</v>
      </c>
      <c r="I850" s="2" t="s">
        <v>340</v>
      </c>
      <c r="J850" s="2" t="s">
        <v>45</v>
      </c>
      <c r="K850" s="2" t="s">
        <v>65</v>
      </c>
      <c r="L850" s="2" t="s">
        <v>3889</v>
      </c>
      <c r="M850" s="2" t="s">
        <v>33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34</v>
      </c>
      <c r="U850" s="2" t="s">
        <v>35</v>
      </c>
      <c r="V850" s="2" t="str">
        <f t="shared" si="39"/>
        <v>ORD-2025-1084927-05-202529 May 2025CUST-4426Rahul VermaHome OfficeSouthTamil NaduChennaiFurnitureFurnishingsElite Furnishings 480Second Class11744.350.251308.261083.56224.7PaidCompleted</v>
      </c>
      <c r="W850" s="2">
        <f t="shared" si="40"/>
        <v>1</v>
      </c>
      <c r="X850">
        <f t="shared" si="41"/>
        <v>1</v>
      </c>
    </row>
    <row r="851" spans="1:25">
      <c r="A851" s="2" t="s">
        <v>3890</v>
      </c>
      <c r="B851" s="2" t="s">
        <v>3891</v>
      </c>
      <c r="C851" s="2" t="s">
        <v>1071</v>
      </c>
      <c r="D851" s="2" t="s">
        <v>3892</v>
      </c>
      <c r="E851" s="2" t="s">
        <v>53</v>
      </c>
      <c r="F851" s="2" t="s">
        <v>115</v>
      </c>
      <c r="G851" s="2" t="s">
        <v>73</v>
      </c>
      <c r="H851" s="2" t="s">
        <v>235</v>
      </c>
      <c r="I851" s="2" t="s">
        <v>236</v>
      </c>
      <c r="J851" s="2" t="s">
        <v>45</v>
      </c>
      <c r="K851" s="2" t="s">
        <v>204</v>
      </c>
      <c r="L851" s="2" t="s">
        <v>3893</v>
      </c>
      <c r="M851" s="2" t="s">
        <v>67</v>
      </c>
      <c r="N851" s="2">
        <v>3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34</v>
      </c>
      <c r="U851" s="2" t="s">
        <v>35</v>
      </c>
      <c r="V851" s="2" t="str">
        <f t="shared" si="39"/>
        <v>ORD-2024-108502024-03-0612-03-2024CUST-3360Isha NairHome OfficeWestGujaratAhmedabadFurnitureBookcasesPrime Bookcases 755Standard Class3679.630.21631.11898.73396.58PaidCompleted</v>
      </c>
      <c r="W851" s="2">
        <f t="shared" si="40"/>
        <v>2</v>
      </c>
      <c r="X851">
        <f t="shared" si="41"/>
        <v>2</v>
      </c>
      <c r="Y851" s="2" t="s">
        <v>4096</v>
      </c>
    </row>
    <row r="852" spans="1:25">
      <c r="A852" s="2" t="s">
        <v>3894</v>
      </c>
      <c r="B852" s="2" t="s">
        <v>2104</v>
      </c>
      <c r="C852" s="2" t="s">
        <v>3771</v>
      </c>
      <c r="D852" s="2" t="s">
        <v>3895</v>
      </c>
      <c r="E852" s="2" t="s">
        <v>142</v>
      </c>
      <c r="F852" s="2" t="s">
        <v>115</v>
      </c>
      <c r="G852" s="2" t="s">
        <v>42</v>
      </c>
      <c r="H852" s="2" t="s">
        <v>121</v>
      </c>
      <c r="I852" s="2" t="s">
        <v>122</v>
      </c>
      <c r="J852" s="2" t="s">
        <v>30</v>
      </c>
      <c r="K852" s="2" t="s">
        <v>31</v>
      </c>
      <c r="L852" s="2" t="s">
        <v>3896</v>
      </c>
      <c r="M852" s="2" t="s">
        <v>56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34</v>
      </c>
      <c r="U852" s="2" t="s">
        <v>35</v>
      </c>
      <c r="V852" s="2" t="str">
        <f t="shared" si="39"/>
        <v>ORD-2024-1085130-06-20242024-07-03CUST-2623Priya MenonHome OfficeEastWest BengalKolkataOffice SuppliesPaperPrime Paper 317First Class61211.0107266.066216.891049.17PaidCompleted</v>
      </c>
      <c r="W852" s="2">
        <f t="shared" si="40"/>
        <v>1</v>
      </c>
      <c r="X852">
        <f t="shared" si="41"/>
        <v>1</v>
      </c>
    </row>
    <row r="853" spans="1:25">
      <c r="A853" s="2" t="s">
        <v>3897</v>
      </c>
      <c r="B853" s="2" t="s">
        <v>806</v>
      </c>
      <c r="C853" s="2" t="s">
        <v>3154</v>
      </c>
      <c r="D853" s="2" t="s">
        <v>3898</v>
      </c>
      <c r="E853" s="2" t="s">
        <v>25</v>
      </c>
      <c r="F853" s="2" t="s">
        <v>41</v>
      </c>
      <c r="G853" s="2" t="s">
        <v>73</v>
      </c>
      <c r="H853" s="2" t="s">
        <v>235</v>
      </c>
      <c r="I853" s="2" t="s">
        <v>236</v>
      </c>
      <c r="J853" s="2" t="s">
        <v>86</v>
      </c>
      <c r="K853" s="2" t="s">
        <v>87</v>
      </c>
      <c r="L853" s="2" t="s">
        <v>3899</v>
      </c>
      <c r="M853" s="2" t="s">
        <v>56</v>
      </c>
      <c r="N853" s="2">
        <v>2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34</v>
      </c>
      <c r="U853" s="2" t="s">
        <v>35</v>
      </c>
      <c r="V853" s="2" t="str">
        <f t="shared" si="39"/>
        <v>ORD-2024-108522024-03-2601 Apr 2024CUST-3175Karan MalhotraSmall BusinessWestGujaratAhmedabadTechnologyAccessoriesClassic Accessories 933First Class21161.30.21858.081590.75267.33PaidCompleted</v>
      </c>
      <c r="W853" s="2">
        <f t="shared" si="40"/>
        <v>1</v>
      </c>
      <c r="X853">
        <f t="shared" si="41"/>
        <v>1</v>
      </c>
    </row>
    <row r="854" spans="1:25">
      <c r="A854" s="2" t="s">
        <v>3900</v>
      </c>
      <c r="B854" s="2" t="s">
        <v>3901</v>
      </c>
      <c r="C854" s="2" t="s">
        <v>3724</v>
      </c>
      <c r="D854" s="2" t="s">
        <v>3902</v>
      </c>
      <c r="E854" s="2" t="s">
        <v>72</v>
      </c>
      <c r="F854" s="2" t="s">
        <v>26</v>
      </c>
      <c r="G854" s="2" t="s">
        <v>42</v>
      </c>
      <c r="H854" s="2" t="s">
        <v>216</v>
      </c>
      <c r="I854" s="2" t="s">
        <v>217</v>
      </c>
      <c r="J854" s="2" t="s">
        <v>45</v>
      </c>
      <c r="K854" s="2" t="s">
        <v>46</v>
      </c>
      <c r="L854" s="2" t="s">
        <v>3903</v>
      </c>
      <c r="M854" s="2" t="s">
        <v>33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137</v>
      </c>
      <c r="U854" s="2" t="s">
        <v>78</v>
      </c>
      <c r="V854" s="2" t="str">
        <f t="shared" si="39"/>
        <v>ORD-2024-1085301-04-202408-04-2024CUST-9630Ananya RaoConsumerEastAssamGuwahatiFurnitureTablesSmart Tables 513Second Class74205.350.1525021.8315544.449477.39PendingCancelled</v>
      </c>
      <c r="W854" s="2">
        <f t="shared" si="40"/>
        <v>1</v>
      </c>
      <c r="X854">
        <f t="shared" si="41"/>
        <v>1</v>
      </c>
    </row>
    <row r="855" spans="1:25">
      <c r="A855" s="2" t="s">
        <v>3904</v>
      </c>
      <c r="B855" s="2" t="s">
        <v>3905</v>
      </c>
      <c r="C855" s="2" t="s">
        <v>3883</v>
      </c>
      <c r="D855" s="2" t="s">
        <v>3906</v>
      </c>
      <c r="E855" s="2" t="s">
        <v>61</v>
      </c>
      <c r="F855" s="2" t="s">
        <v>108</v>
      </c>
      <c r="G855" s="2" t="s">
        <v>62</v>
      </c>
      <c r="H855" s="2" t="s">
        <v>339</v>
      </c>
      <c r="I855" s="2" t="s">
        <v>340</v>
      </c>
      <c r="J855" s="2" t="s">
        <v>86</v>
      </c>
      <c r="K855" s="2" t="s">
        <v>87</v>
      </c>
      <c r="L855" s="2" t="s">
        <v>3907</v>
      </c>
      <c r="M855" s="2" t="s">
        <v>48</v>
      </c>
      <c r="N855" s="2">
        <v>8</v>
      </c>
      <c r="O855" s="2">
        <v>579.79999999999995</v>
      </c>
      <c r="P855" s="2">
        <v>0.2</v>
      </c>
      <c r="Q855" s="2">
        <v>3710.72</v>
      </c>
      <c r="R855" s="2">
        <v>3115.29</v>
      </c>
      <c r="S855" s="2">
        <v>595.42999999999995</v>
      </c>
      <c r="T855" s="2" t="s">
        <v>34</v>
      </c>
      <c r="U855" s="2" t="s">
        <v>35</v>
      </c>
      <c r="V855" s="2" t="str">
        <f t="shared" si="39"/>
        <v>ORD-2025-108542025-05-1605/22/2025CUST-8274Arjun BoseCorporateSouthTamil NaduChennaiTechnologyAccessoriesElite Accessories 708Same Day8579.80.23710.723115.29595.43PaidCompleted</v>
      </c>
      <c r="W855" s="2">
        <f t="shared" si="40"/>
        <v>1</v>
      </c>
      <c r="X855">
        <f t="shared" si="41"/>
        <v>1</v>
      </c>
    </row>
    <row r="856" spans="1:25">
      <c r="A856" s="2" t="s">
        <v>3908</v>
      </c>
      <c r="B856" s="2" t="s">
        <v>3909</v>
      </c>
      <c r="C856" s="2" t="s">
        <v>3910</v>
      </c>
      <c r="D856" s="2" t="s">
        <v>3911</v>
      </c>
      <c r="E856" s="2" t="s">
        <v>142</v>
      </c>
      <c r="F856" s="2" t="s">
        <v>26</v>
      </c>
      <c r="G856" s="2" t="s">
        <v>62</v>
      </c>
      <c r="H856" s="2" t="s">
        <v>229</v>
      </c>
      <c r="I856" s="2" t="s">
        <v>230</v>
      </c>
      <c r="J856" s="2" t="s">
        <v>45</v>
      </c>
      <c r="K856" s="2" t="s">
        <v>204</v>
      </c>
      <c r="L856" s="2" t="s">
        <v>3912</v>
      </c>
      <c r="M856" s="2" t="s">
        <v>33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34</v>
      </c>
      <c r="U856" s="2" t="s">
        <v>35</v>
      </c>
      <c r="V856" s="2" t="str">
        <f t="shared" si="39"/>
        <v>ORD-2025-1085503/25/202504/02/2025CUST-2514Priya MenonConsumerSouthKarnatakaBengaluruFurnitureBookcasesMax Bookcases 381Second Class42233.640.058487.835245.723242.11PaidCompleted</v>
      </c>
      <c r="W856" s="2">
        <f t="shared" si="40"/>
        <v>1</v>
      </c>
      <c r="X856">
        <f t="shared" si="41"/>
        <v>1</v>
      </c>
    </row>
    <row r="857" spans="1:25">
      <c r="A857" s="2" t="s">
        <v>3913</v>
      </c>
      <c r="B857" s="2" t="s">
        <v>738</v>
      </c>
      <c r="C857" s="2" t="s">
        <v>3914</v>
      </c>
      <c r="D857" s="2" t="s">
        <v>1716</v>
      </c>
      <c r="E857" s="2" t="s">
        <v>148</v>
      </c>
      <c r="F857" s="2" t="s">
        <v>26</v>
      </c>
      <c r="G857" s="2" t="s">
        <v>27</v>
      </c>
      <c r="H857" s="2" t="s">
        <v>28</v>
      </c>
      <c r="I857" s="2" t="s">
        <v>29</v>
      </c>
      <c r="J857" s="2" t="s">
        <v>30</v>
      </c>
      <c r="K857" s="2" t="s">
        <v>3915</v>
      </c>
      <c r="L857" s="2" t="s">
        <v>3916</v>
      </c>
      <c r="M857" s="2" t="s">
        <v>33</v>
      </c>
      <c r="N857" s="2">
        <v>2</v>
      </c>
      <c r="O857" s="2">
        <v>2073.5300000000002</v>
      </c>
      <c r="P857" s="2">
        <v>0.25</v>
      </c>
      <c r="Q857" s="2">
        <v>3110.3</v>
      </c>
      <c r="R857" s="2">
        <v>2101.0300000000002</v>
      </c>
      <c r="S857" s="2">
        <v>1009.27</v>
      </c>
      <c r="T857" s="2" t="s">
        <v>34</v>
      </c>
      <c r="U857" s="2" t="s">
        <v>35</v>
      </c>
      <c r="V857" s="2" t="str">
        <f t="shared" si="39"/>
        <v>ORD-2024-1085625-07-202402 Aug 2024CUST-2752Rahul VermaConsumerNorthRajasthanJaipurOffice SuppliesLABELSClassic Labels 215Second Class22073.530.253110.32101.031009.27PaidCompleted</v>
      </c>
      <c r="W857" s="2">
        <f t="shared" si="40"/>
        <v>1</v>
      </c>
      <c r="X857">
        <f t="shared" si="41"/>
        <v>1</v>
      </c>
    </row>
    <row r="858" spans="1:25">
      <c r="A858" s="2" t="s">
        <v>3917</v>
      </c>
      <c r="B858" s="2" t="s">
        <v>3918</v>
      </c>
      <c r="C858" s="2" t="s">
        <v>690</v>
      </c>
      <c r="D858" s="2" t="s">
        <v>1979</v>
      </c>
      <c r="E858" s="2" t="s">
        <v>180</v>
      </c>
      <c r="F858" s="2" t="s">
        <v>115</v>
      </c>
      <c r="G858" s="2" t="s">
        <v>62</v>
      </c>
      <c r="H858" s="2" t="s">
        <v>339</v>
      </c>
      <c r="I858" s="2" t="s">
        <v>340</v>
      </c>
      <c r="J858" s="2" t="s">
        <v>30</v>
      </c>
      <c r="K858" s="2" t="s">
        <v>156</v>
      </c>
      <c r="L858" s="2" t="s">
        <v>3919</v>
      </c>
      <c r="M858" s="2" t="s">
        <v>67</v>
      </c>
      <c r="N858" s="2">
        <v>4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200</v>
      </c>
      <c r="U858" s="2" t="s">
        <v>78</v>
      </c>
      <c r="V858" s="2" t="str">
        <f t="shared" si="39"/>
        <v>ORD-2024-108572024-06-1219 Jun 2024CUST-5647Rohan MehtaHome OfficeSouthTamil NaduChennaiOffice SuppliesStorageClassic Storage 918Standard Class4395.1-0.161185.3966.55218.75FailedCancelled</v>
      </c>
      <c r="W858" s="2">
        <f t="shared" si="40"/>
        <v>1</v>
      </c>
      <c r="X858">
        <f t="shared" si="41"/>
        <v>1</v>
      </c>
    </row>
    <row r="859" spans="1:25">
      <c r="A859" s="2" t="s">
        <v>3920</v>
      </c>
      <c r="B859" s="2" t="s">
        <v>3921</v>
      </c>
      <c r="C859" s="2" t="s">
        <v>3922</v>
      </c>
      <c r="D859" s="2" t="s">
        <v>3235</v>
      </c>
      <c r="E859" s="2" t="s">
        <v>168</v>
      </c>
      <c r="F859" s="2" t="s">
        <v>115</v>
      </c>
      <c r="G859" s="2" t="s">
        <v>62</v>
      </c>
      <c r="H859" s="2" t="s">
        <v>242</v>
      </c>
      <c r="I859" s="2" t="s">
        <v>243</v>
      </c>
      <c r="J859" s="2" t="s">
        <v>30</v>
      </c>
      <c r="K859" s="2" t="s">
        <v>156</v>
      </c>
      <c r="L859" s="2" t="s">
        <v>3923</v>
      </c>
      <c r="M859" s="2" t="s">
        <v>56</v>
      </c>
      <c r="N859" s="2">
        <v>6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34</v>
      </c>
      <c r="U859" s="2" t="s">
        <v>35</v>
      </c>
      <c r="V859" s="2" t="str">
        <f t="shared" si="39"/>
        <v>ORD-2024-1085804 Jun 202404-06-2024CUST-8575Sneha KapoorHome OfficeSouthKeralaKochiOffice SuppliesStorageMax Storage 223First Class62708.970.2512190.3610176.992013.37PaidCompleted</v>
      </c>
      <c r="W859" s="2">
        <f t="shared" si="40"/>
        <v>1</v>
      </c>
      <c r="X859">
        <f t="shared" si="41"/>
        <v>1</v>
      </c>
    </row>
    <row r="860" spans="1:25">
      <c r="A860" s="2" t="s">
        <v>3924</v>
      </c>
      <c r="B860" s="2" t="s">
        <v>1225</v>
      </c>
      <c r="C860" s="2" t="s">
        <v>1294</v>
      </c>
      <c r="D860" s="2" t="s">
        <v>3925</v>
      </c>
      <c r="E860" s="2" t="s">
        <v>61</v>
      </c>
      <c r="F860" s="2" t="s">
        <v>26</v>
      </c>
      <c r="G860" s="2" t="s">
        <v>42</v>
      </c>
      <c r="H860" s="2" t="s">
        <v>43</v>
      </c>
      <c r="I860" s="2" t="s">
        <v>44</v>
      </c>
      <c r="J860" s="2" t="s">
        <v>86</v>
      </c>
      <c r="K860" s="2" t="s">
        <v>87</v>
      </c>
      <c r="L860" s="2" t="s">
        <v>3926</v>
      </c>
      <c r="M860" s="2" t="s">
        <v>33</v>
      </c>
      <c r="N860" s="2">
        <v>4</v>
      </c>
      <c r="O860" s="2">
        <v>2904.86</v>
      </c>
      <c r="P860" s="2">
        <v>0</v>
      </c>
      <c r="Q860" s="2">
        <v>11619.44</v>
      </c>
      <c r="R860" s="2">
        <v>7184.32</v>
      </c>
      <c r="S860" s="2">
        <v>4494.6400000000003</v>
      </c>
      <c r="T860" s="2" t="s">
        <v>34</v>
      </c>
      <c r="U860" s="2" t="s">
        <v>35</v>
      </c>
      <c r="V860" s="2" t="str">
        <f t="shared" si="39"/>
        <v>ORD-2024-1085905/02/202409 May 2024CUST-9576Arjun BoseConsumerEastOdishaBhubaneswarTechnologyAccessoriesBasic Accessories 602Second Class42904.86011619.447184.324494.64PaidCompleted</v>
      </c>
      <c r="W860" s="2">
        <f t="shared" si="40"/>
        <v>1</v>
      </c>
      <c r="X860">
        <f t="shared" si="41"/>
        <v>1</v>
      </c>
    </row>
    <row r="861" spans="1:25">
      <c r="A861" s="2" t="s">
        <v>3927</v>
      </c>
      <c r="B861" s="2" t="s">
        <v>3505</v>
      </c>
      <c r="C861" s="2" t="s">
        <v>3928</v>
      </c>
      <c r="D861" s="2" t="s">
        <v>3929</v>
      </c>
      <c r="E861" s="2" t="s">
        <v>107</v>
      </c>
      <c r="F861" s="2" t="s">
        <v>108</v>
      </c>
      <c r="G861" s="2" t="s">
        <v>62</v>
      </c>
      <c r="H861" s="2" t="s">
        <v>339</v>
      </c>
      <c r="I861" s="2" t="s">
        <v>340</v>
      </c>
      <c r="J861" s="2" t="s">
        <v>86</v>
      </c>
      <c r="K861" s="2" t="s">
        <v>223</v>
      </c>
      <c r="L861" s="2" t="s">
        <v>3930</v>
      </c>
      <c r="M861" s="2" t="s">
        <v>67</v>
      </c>
      <c r="N861" s="2">
        <v>6</v>
      </c>
      <c r="O861" s="2">
        <v>4399.2</v>
      </c>
      <c r="P861" s="2">
        <v>0.05</v>
      </c>
      <c r="Q861" s="2">
        <v>25075.439999999999</v>
      </c>
      <c r="R861" s="2">
        <v>16282.74</v>
      </c>
      <c r="S861" s="2">
        <v>8792.7000000000007</v>
      </c>
      <c r="T861" s="2" t="s">
        <v>34</v>
      </c>
      <c r="U861" s="2" t="s">
        <v>35</v>
      </c>
      <c r="V861" s="2" t="str">
        <f t="shared" si="39"/>
        <v>ORD-2024-1086010/27/20242024-11-01CUST-2395Aditi SenCorporateSouthTamil NaduChennaiTechnologyPhonesElite Phones 394Standard Class64399.20.0525075.4416282.748792.7PaidCompleted</v>
      </c>
      <c r="W861" s="2">
        <f t="shared" si="40"/>
        <v>1</v>
      </c>
      <c r="X861">
        <f t="shared" si="41"/>
        <v>1</v>
      </c>
    </row>
    <row r="862" spans="1:25">
      <c r="A862" s="2" t="s">
        <v>3931</v>
      </c>
      <c r="B862" s="2" t="s">
        <v>743</v>
      </c>
      <c r="C862" s="2" t="s">
        <v>3932</v>
      </c>
      <c r="D862" s="2" t="s">
        <v>3933</v>
      </c>
      <c r="E862" s="2" t="s">
        <v>83</v>
      </c>
      <c r="F862" s="2" t="s">
        <v>115</v>
      </c>
      <c r="G862" s="2" t="s">
        <v>27</v>
      </c>
      <c r="H862" s="2" t="s">
        <v>174</v>
      </c>
      <c r="I862" s="2" t="s">
        <v>175</v>
      </c>
      <c r="J862" s="2" t="s">
        <v>30</v>
      </c>
      <c r="K862" s="2" t="s">
        <v>156</v>
      </c>
      <c r="L862" s="2" t="s">
        <v>3934</v>
      </c>
      <c r="M862" s="2" t="s">
        <v>33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34</v>
      </c>
      <c r="U862" s="2" t="s">
        <v>35</v>
      </c>
      <c r="V862" s="2" t="str">
        <f t="shared" si="39"/>
        <v>ORD-2024-1086102 Feb 202404 Feb 2024CUST-8941Vikram IyerHome OfficeNorthUttar PradeshNoidaOffice SuppliesStorageClassic Storage 194Second Class14397.320.054177.452299.51877.95PaidCompleted</v>
      </c>
      <c r="W862" s="2">
        <f t="shared" si="40"/>
        <v>1</v>
      </c>
      <c r="X862">
        <f t="shared" si="41"/>
        <v>1</v>
      </c>
    </row>
    <row r="863" spans="1:25">
      <c r="A863" s="2" t="s">
        <v>3935</v>
      </c>
      <c r="B863" s="2" t="s">
        <v>3936</v>
      </c>
      <c r="C863" s="2" t="s">
        <v>3937</v>
      </c>
      <c r="D863" s="2" t="s">
        <v>3938</v>
      </c>
      <c r="E863" s="2" t="s">
        <v>142</v>
      </c>
      <c r="F863" s="2" t="s">
        <v>115</v>
      </c>
      <c r="G863" s="2" t="s">
        <v>27</v>
      </c>
      <c r="H863" s="2" t="s">
        <v>506</v>
      </c>
      <c r="I863" s="2" t="s">
        <v>507</v>
      </c>
      <c r="J863" s="2" t="s">
        <v>45</v>
      </c>
      <c r="K863" s="2" t="s">
        <v>65</v>
      </c>
      <c r="L863" s="2" t="s">
        <v>3939</v>
      </c>
      <c r="M863" s="2" t="s">
        <v>48</v>
      </c>
      <c r="N863" s="2">
        <v>4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4666.7700000000004</v>
      </c>
      <c r="T863" s="2" t="s">
        <v>34</v>
      </c>
      <c r="U863" s="2" t="s">
        <v>35</v>
      </c>
      <c r="V863" s="2" t="str">
        <f t="shared" si="39"/>
        <v>ORD-2025-108622025-03-082025-03-09CUST-9448Priya MenonHome OfficeNorthDelhiNew DelhiFurnitureFurnishingsSmart Furnishings 892Same Day43405.680.210898.186231.414666.77PaidCompleted</v>
      </c>
      <c r="W863" s="2">
        <f t="shared" si="40"/>
        <v>1</v>
      </c>
      <c r="X863">
        <f t="shared" si="41"/>
        <v>1</v>
      </c>
    </row>
    <row r="864" spans="1:25">
      <c r="A864" s="2" t="s">
        <v>3940</v>
      </c>
      <c r="B864" s="2" t="s">
        <v>3315</v>
      </c>
      <c r="C864" s="2" t="s">
        <v>3941</v>
      </c>
      <c r="D864" s="2" t="s">
        <v>3942</v>
      </c>
      <c r="E864" s="2" t="s">
        <v>142</v>
      </c>
      <c r="F864" s="2" t="s">
        <v>41</v>
      </c>
      <c r="G864" s="2" t="s">
        <v>42</v>
      </c>
      <c r="H864" s="2" t="s">
        <v>311</v>
      </c>
      <c r="I864" s="2" t="s">
        <v>312</v>
      </c>
      <c r="J864" s="2" t="s">
        <v>30</v>
      </c>
      <c r="K864" s="2" t="s">
        <v>198</v>
      </c>
      <c r="L864" s="2" t="s">
        <v>3943</v>
      </c>
      <c r="M864" s="2" t="s">
        <v>56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34</v>
      </c>
      <c r="U864" s="2" t="s">
        <v>78</v>
      </c>
      <c r="V864" s="2" t="str">
        <f t="shared" si="39"/>
        <v>ORD-2025-108632025-03-2631-03-2025CUST-8354Priya MenonSmall BusinessEastJharkhandRanchiOffice SuppliesBindersPro Binders 488First Class51395.1406975.74797.882177.82PaidCancelled</v>
      </c>
      <c r="W864" s="2">
        <f t="shared" si="40"/>
        <v>1</v>
      </c>
      <c r="X864">
        <f t="shared" si="41"/>
        <v>1</v>
      </c>
    </row>
    <row r="865" spans="1:24">
      <c r="A865" s="2" t="s">
        <v>3944</v>
      </c>
      <c r="B865" s="2" t="s">
        <v>3945</v>
      </c>
      <c r="C865" s="2" t="s">
        <v>2732</v>
      </c>
      <c r="D865" s="2" t="s">
        <v>3946</v>
      </c>
      <c r="E865" s="2" t="s">
        <v>162</v>
      </c>
      <c r="F865" s="2" t="s">
        <v>115</v>
      </c>
      <c r="G865" s="2" t="s">
        <v>73</v>
      </c>
      <c r="H865" s="2" t="s">
        <v>84</v>
      </c>
      <c r="I865" s="2" t="s">
        <v>85</v>
      </c>
      <c r="J865" s="2" t="s">
        <v>45</v>
      </c>
      <c r="K865" s="2" t="s">
        <v>65</v>
      </c>
      <c r="L865" s="2" t="s">
        <v>3947</v>
      </c>
      <c r="M865" s="2" t="s">
        <v>48</v>
      </c>
      <c r="N865" s="2">
        <v>3</v>
      </c>
      <c r="O865" s="2">
        <v>2937.23</v>
      </c>
      <c r="P865" s="2">
        <v>0</v>
      </c>
      <c r="Q865" s="2">
        <v>8811.69</v>
      </c>
      <c r="R865" s="2">
        <v>6765.91</v>
      </c>
      <c r="S865" s="2">
        <v>2045.78</v>
      </c>
      <c r="T865" s="2" t="s">
        <v>34</v>
      </c>
      <c r="U865" s="2" t="s">
        <v>35</v>
      </c>
      <c r="V865" s="2" t="str">
        <f t="shared" si="39"/>
        <v>ORD-2025-1086409/06/202509/08/2025CUST-2200Aarav SharmaHome OfficeWestMadhya PradeshIndoreFurnitureFurnishingsPrime Furnishings 679Same Day32937.2308811.696765.912045.78PaidCompleted</v>
      </c>
      <c r="W865" s="2">
        <f t="shared" si="40"/>
        <v>1</v>
      </c>
      <c r="X865">
        <f t="shared" si="41"/>
        <v>1</v>
      </c>
    </row>
    <row r="866" spans="1:24">
      <c r="A866" s="2" t="s">
        <v>3948</v>
      </c>
      <c r="B866" s="2" t="s">
        <v>3949</v>
      </c>
      <c r="C866" s="2" t="s">
        <v>572</v>
      </c>
      <c r="D866" s="2" t="s">
        <v>3950</v>
      </c>
      <c r="E866" s="2" t="s">
        <v>83</v>
      </c>
      <c r="F866" s="2" t="s">
        <v>26</v>
      </c>
      <c r="G866" s="2" t="s">
        <v>62</v>
      </c>
      <c r="H866" s="2" t="s">
        <v>339</v>
      </c>
      <c r="I866" s="2" t="s">
        <v>340</v>
      </c>
      <c r="J866" s="2" t="s">
        <v>86</v>
      </c>
      <c r="K866" s="2" t="s">
        <v>223</v>
      </c>
      <c r="L866" s="2" t="s">
        <v>3951</v>
      </c>
      <c r="M866" s="2" t="s">
        <v>56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34</v>
      </c>
      <c r="U866" s="2" t="s">
        <v>35</v>
      </c>
      <c r="V866" s="2" t="str">
        <f t="shared" si="39"/>
        <v>ORD-2025-1086502 Sep 202505-09-2025CUST-1178Vikram IyerConsumerSouthTamil NaduChennaiTechnologyPhonesSmart Phones 158First Class53406.87017034.3514631.362402.99PaidCompleted</v>
      </c>
      <c r="W866" s="2">
        <f t="shared" si="40"/>
        <v>1</v>
      </c>
      <c r="X866">
        <f t="shared" si="41"/>
        <v>1</v>
      </c>
    </row>
    <row r="867" spans="1:24">
      <c r="A867" s="2" t="s">
        <v>3952</v>
      </c>
      <c r="B867" s="2" t="s">
        <v>3766</v>
      </c>
      <c r="C867" s="2" t="s">
        <v>1920</v>
      </c>
      <c r="D867" s="2" t="s">
        <v>3953</v>
      </c>
      <c r="E867" s="2" t="s">
        <v>366</v>
      </c>
      <c r="F867" s="2" t="s">
        <v>26</v>
      </c>
      <c r="G867" s="2" t="s">
        <v>73</v>
      </c>
      <c r="H867" s="2" t="s">
        <v>74</v>
      </c>
      <c r="I867" s="2" t="s">
        <v>75</v>
      </c>
      <c r="J867" s="2" t="s">
        <v>30</v>
      </c>
      <c r="K867" s="2" t="s">
        <v>109</v>
      </c>
      <c r="L867" s="2" t="s">
        <v>3954</v>
      </c>
      <c r="M867" s="2" t="s">
        <v>33</v>
      </c>
      <c r="N867" s="2">
        <v>2</v>
      </c>
      <c r="O867" s="2">
        <v>3992.04</v>
      </c>
      <c r="P867" s="2">
        <v>0</v>
      </c>
      <c r="Q867" s="2">
        <v>7984.08</v>
      </c>
      <c r="R867" s="2">
        <v>5658.05</v>
      </c>
      <c r="S867" s="2">
        <v>2326.0300000000002</v>
      </c>
      <c r="T867" s="2" t="s">
        <v>34</v>
      </c>
      <c r="U867" s="2" t="s">
        <v>35</v>
      </c>
      <c r="V867" s="2" t="str">
        <f t="shared" si="39"/>
        <v>ORD-2025-1086606-02-202514-02-2025CUST-8099Kabir SinghConsumerWestMaharashtraMumbaiOffice SuppliesLabelsClassic Labels 218Second Class23992.0407984.085658.052326.03PaidCompleted</v>
      </c>
      <c r="W867" s="2">
        <f t="shared" si="40"/>
        <v>1</v>
      </c>
      <c r="X867">
        <f t="shared" si="41"/>
        <v>1</v>
      </c>
    </row>
    <row r="868" spans="1:24">
      <c r="A868" s="2" t="s">
        <v>3955</v>
      </c>
      <c r="B868" s="2" t="s">
        <v>1186</v>
      </c>
      <c r="C868" s="2" t="s">
        <v>3956</v>
      </c>
      <c r="D868" s="2" t="s">
        <v>3957</v>
      </c>
      <c r="E868" s="2" t="s">
        <v>142</v>
      </c>
      <c r="F868" s="2" t="s">
        <v>26</v>
      </c>
      <c r="G868" s="2" t="s">
        <v>42</v>
      </c>
      <c r="H868" s="2" t="s">
        <v>186</v>
      </c>
      <c r="I868" s="2" t="s">
        <v>187</v>
      </c>
      <c r="J868" s="2" t="s">
        <v>45</v>
      </c>
      <c r="K868" s="2" t="s">
        <v>204</v>
      </c>
      <c r="L868" s="2" t="s">
        <v>3958</v>
      </c>
      <c r="M868" s="2" t="s">
        <v>56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137</v>
      </c>
      <c r="U868" s="2" t="s">
        <v>78</v>
      </c>
      <c r="V868" s="2" t="str">
        <f t="shared" si="39"/>
        <v>ORD-2025-1086702/26/20252025-03-06CUST-7596Priya MenonConsumerEastBiharPatnaFurnitureBookcasesSmart Bookcases 552First Class93043.370.221912.2616367.785544.48PendingCancelled</v>
      </c>
      <c r="W868" s="2">
        <f t="shared" si="40"/>
        <v>1</v>
      </c>
      <c r="X868">
        <f t="shared" si="41"/>
        <v>1</v>
      </c>
    </row>
    <row r="869" spans="1:24">
      <c r="A869" s="2" t="s">
        <v>3959</v>
      </c>
      <c r="B869" s="2" t="s">
        <v>3960</v>
      </c>
      <c r="C869" s="2" t="s">
        <v>3961</v>
      </c>
      <c r="D869" s="2" t="s">
        <v>3962</v>
      </c>
      <c r="E869" s="2" t="s">
        <v>148</v>
      </c>
      <c r="F869" s="2" t="s">
        <v>115</v>
      </c>
      <c r="G869" s="2" t="s">
        <v>62</v>
      </c>
      <c r="H869" s="2" t="s">
        <v>100</v>
      </c>
      <c r="I869" s="2" t="s">
        <v>101</v>
      </c>
      <c r="J869" s="2" t="s">
        <v>86</v>
      </c>
      <c r="K869" s="2" t="s">
        <v>87</v>
      </c>
      <c r="L869" s="2" t="s">
        <v>3963</v>
      </c>
      <c r="M869" s="2" t="s">
        <v>48</v>
      </c>
      <c r="N869" s="2">
        <v>6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200</v>
      </c>
      <c r="U869" s="2" t="s">
        <v>78</v>
      </c>
      <c r="V869" s="2" t="str">
        <f t="shared" si="39"/>
        <v>ORD-2024-1086821 Nov 202422 Nov 2024CUST-2328Rahul VermaHome OfficeSouthAndhra PradeshVijayawadaTechnologyAccessoriesEco Accessories 389Same Day61043.490.254695.73871.69824.01FailedCancelled</v>
      </c>
      <c r="W869" s="2">
        <f t="shared" si="40"/>
        <v>1</v>
      </c>
      <c r="X869">
        <f t="shared" si="41"/>
        <v>1</v>
      </c>
    </row>
    <row r="870" spans="1:24">
      <c r="A870" s="2" t="s">
        <v>3964</v>
      </c>
      <c r="B870" s="2" t="s">
        <v>814</v>
      </c>
      <c r="C870" s="2" t="s">
        <v>2143</v>
      </c>
      <c r="D870" s="2" t="s">
        <v>3965</v>
      </c>
      <c r="E870" s="2" t="s">
        <v>83</v>
      </c>
      <c r="F870" s="2" t="s">
        <v>115</v>
      </c>
      <c r="G870" s="2" t="s">
        <v>62</v>
      </c>
      <c r="H870" s="2" t="s">
        <v>229</v>
      </c>
      <c r="I870" s="2" t="s">
        <v>230</v>
      </c>
      <c r="J870" s="2" t="s">
        <v>30</v>
      </c>
      <c r="K870" s="2" t="s">
        <v>156</v>
      </c>
      <c r="L870" s="2" t="s">
        <v>3966</v>
      </c>
      <c r="M870" s="2" t="s">
        <v>48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34</v>
      </c>
      <c r="U870" s="2" t="s">
        <v>35</v>
      </c>
      <c r="V870" s="2" t="str">
        <f t="shared" si="39"/>
        <v>ORD-2025-1086911-04-20252025-04-15CUST-8483Vikram IyerHome OfficeSouthKarnatakaBengaluruOffice SuppliesStorageElite Storage 187Same Day9224.940.051923.241093.66829.58PaidCompleted</v>
      </c>
      <c r="W870" s="2">
        <f t="shared" si="40"/>
        <v>1</v>
      </c>
      <c r="X870">
        <f t="shared" si="41"/>
        <v>1</v>
      </c>
    </row>
    <row r="871" spans="1:24">
      <c r="A871" s="2" t="s">
        <v>3967</v>
      </c>
      <c r="B871" s="2" t="s">
        <v>3968</v>
      </c>
      <c r="C871" s="2" t="s">
        <v>787</v>
      </c>
      <c r="D871" s="2" t="s">
        <v>3969</v>
      </c>
      <c r="E871" s="2" t="s">
        <v>180</v>
      </c>
      <c r="F871" s="2" t="s">
        <v>115</v>
      </c>
      <c r="H871" s="2" t="s">
        <v>506</v>
      </c>
      <c r="I871" s="2" t="s">
        <v>507</v>
      </c>
      <c r="J871" s="2" t="s">
        <v>45</v>
      </c>
      <c r="K871" s="2" t="s">
        <v>76</v>
      </c>
      <c r="L871" s="2" t="s">
        <v>1752</v>
      </c>
      <c r="M871" s="2" t="s">
        <v>48</v>
      </c>
      <c r="N871" s="2">
        <v>6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34</v>
      </c>
      <c r="U871" s="2" t="s">
        <v>35</v>
      </c>
      <c r="V871" s="2" t="str">
        <f t="shared" si="39"/>
        <v>ORD-2025-1087003/06/202507-03-2025CUST-2388Rohan MehtaHome OfficeDelhiNew DelhiFurnitureChairsMax Chairs 487Same Day6796.650.14301.912374.41927.51PaidCompleted</v>
      </c>
      <c r="W871" s="2">
        <f t="shared" si="40"/>
        <v>1</v>
      </c>
      <c r="X871">
        <f t="shared" si="41"/>
        <v>1</v>
      </c>
    </row>
    <row r="872" spans="1:24">
      <c r="A872" s="2" t="s">
        <v>3970</v>
      </c>
      <c r="B872" s="2" t="s">
        <v>3971</v>
      </c>
      <c r="C872" s="2" t="s">
        <v>3972</v>
      </c>
      <c r="D872" s="2" t="s">
        <v>3973</v>
      </c>
      <c r="E872" s="2" t="s">
        <v>83</v>
      </c>
      <c r="F872" s="2" t="s">
        <v>108</v>
      </c>
      <c r="G872" s="2" t="s">
        <v>73</v>
      </c>
      <c r="H872" s="2" t="s">
        <v>249</v>
      </c>
      <c r="I872" s="2" t="s">
        <v>250</v>
      </c>
      <c r="J872" s="2" t="s">
        <v>45</v>
      </c>
      <c r="K872" s="2" t="s">
        <v>46</v>
      </c>
      <c r="L872" s="2" t="s">
        <v>3974</v>
      </c>
      <c r="M872" s="2" t="s">
        <v>67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34</v>
      </c>
      <c r="U872" s="2" t="s">
        <v>78</v>
      </c>
      <c r="V872" s="2" t="str">
        <f t="shared" si="39"/>
        <v>ORD-2025-1087106 Jun 202507 Jun 2025CUST-7054Vikram IyerCorporateWestGoaPanajiFurnitureTablesMax Tables 281Standard Class92932.920.1522436.8417454.674982.17PaidCancelled</v>
      </c>
      <c r="W872" s="2">
        <f t="shared" si="40"/>
        <v>1</v>
      </c>
      <c r="X872">
        <f t="shared" si="41"/>
        <v>1</v>
      </c>
    </row>
    <row r="873" spans="1:24">
      <c r="A873" s="2" t="s">
        <v>3975</v>
      </c>
      <c r="B873" s="2" t="s">
        <v>3976</v>
      </c>
      <c r="C873" s="2" t="s">
        <v>2830</v>
      </c>
      <c r="D873" s="2" t="s">
        <v>3795</v>
      </c>
      <c r="E873" s="2" t="s">
        <v>93</v>
      </c>
      <c r="F873" s="2" t="s">
        <v>41</v>
      </c>
      <c r="G873" s="2" t="s">
        <v>62</v>
      </c>
      <c r="H873" s="2" t="s">
        <v>63</v>
      </c>
      <c r="I873" s="2" t="s">
        <v>64</v>
      </c>
      <c r="J873" s="2" t="s">
        <v>86</v>
      </c>
      <c r="K873" s="2" t="s">
        <v>87</v>
      </c>
      <c r="L873" s="2" t="s">
        <v>3977</v>
      </c>
      <c r="M873" s="2" t="s">
        <v>56</v>
      </c>
      <c r="N873" s="2">
        <v>9</v>
      </c>
      <c r="O873" s="2">
        <v>2186.23</v>
      </c>
      <c r="P873" s="2">
        <v>0</v>
      </c>
      <c r="Q873" s="2">
        <v>19676.07</v>
      </c>
      <c r="R873" s="2">
        <v>12458.62</v>
      </c>
      <c r="S873" s="2">
        <v>7217.45</v>
      </c>
      <c r="T873" s="2" t="s">
        <v>124</v>
      </c>
      <c r="U873" s="2" t="s">
        <v>78</v>
      </c>
      <c r="V873" s="2" t="str">
        <f t="shared" si="39"/>
        <v>ORD-2024-1087202/20/20242024-02-22CUST-4375Neha GuptaSmall BusinessSouthTelanganaHyderabadTechnologyAccessoriesPro Accessories 325First Class92186.23019676.0712458.627217.45RefundedCancelled</v>
      </c>
      <c r="W873" s="2">
        <f t="shared" si="40"/>
        <v>1</v>
      </c>
      <c r="X873">
        <f t="shared" si="41"/>
        <v>1</v>
      </c>
    </row>
    <row r="874" spans="1:24">
      <c r="A874" s="2" t="s">
        <v>3978</v>
      </c>
      <c r="B874" s="2" t="s">
        <v>3506</v>
      </c>
      <c r="C874" s="2" t="s">
        <v>3979</v>
      </c>
      <c r="D874" s="2" t="s">
        <v>2962</v>
      </c>
      <c r="E874" s="2" t="s">
        <v>25</v>
      </c>
      <c r="F874" s="2" t="s">
        <v>108</v>
      </c>
      <c r="G874" s="2" t="s">
        <v>42</v>
      </c>
      <c r="H874" s="2" t="s">
        <v>121</v>
      </c>
      <c r="I874" s="2" t="s">
        <v>122</v>
      </c>
      <c r="J874" s="2" t="s">
        <v>45</v>
      </c>
      <c r="K874" s="2" t="s">
        <v>65</v>
      </c>
      <c r="L874" s="2" t="s">
        <v>3980</v>
      </c>
      <c r="M874" s="2" t="s">
        <v>67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34</v>
      </c>
      <c r="U874" s="2" t="s">
        <v>35</v>
      </c>
      <c r="V874" s="2" t="str">
        <f t="shared" si="39"/>
        <v>ORD-2024-1087311/01/202402 Nov 2024CUST-6262Karan MalhotraCorporateEastWest BengalKolkataFurnitureFurnishingsPrime Furnishings 178Standard Class52212.020.28848.085691.563156.52PaidCompleted</v>
      </c>
      <c r="W874" s="2">
        <f t="shared" si="40"/>
        <v>1</v>
      </c>
      <c r="X874">
        <f t="shared" si="41"/>
        <v>1</v>
      </c>
    </row>
    <row r="875" spans="1:24">
      <c r="A875" s="2" t="s">
        <v>3981</v>
      </c>
      <c r="B875" s="2" t="s">
        <v>3982</v>
      </c>
      <c r="C875" s="2" t="s">
        <v>3983</v>
      </c>
      <c r="D875" s="2" t="s">
        <v>3984</v>
      </c>
      <c r="E875" s="2" t="s">
        <v>107</v>
      </c>
      <c r="F875" s="2" t="s">
        <v>115</v>
      </c>
      <c r="G875" s="2" t="s">
        <v>73</v>
      </c>
      <c r="H875" s="2" t="s">
        <v>235</v>
      </c>
      <c r="I875" s="2" t="s">
        <v>236</v>
      </c>
      <c r="J875" s="2" t="s">
        <v>30</v>
      </c>
      <c r="K875" s="2" t="s">
        <v>156</v>
      </c>
      <c r="L875" s="2" t="s">
        <v>3985</v>
      </c>
      <c r="M875" s="2" t="s">
        <v>33</v>
      </c>
      <c r="N875" s="2">
        <v>8</v>
      </c>
      <c r="O875" s="2">
        <v>623.30999999999995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34</v>
      </c>
      <c r="U875" s="2" t="s">
        <v>35</v>
      </c>
      <c r="V875" s="2" t="str">
        <f t="shared" si="39"/>
        <v>ORD-2025-1087401 Feb 202508-02-2025CUST-8160Aditi SenHome OfficeWestGujaratAhmedabadOffice SuppliesStorageElite Storage 144Second Class8623.310.14487.832633.781854.05PaidCompleted</v>
      </c>
      <c r="W875" s="2">
        <f t="shared" si="40"/>
        <v>1</v>
      </c>
      <c r="X875">
        <f t="shared" si="41"/>
        <v>1</v>
      </c>
    </row>
    <row r="876" spans="1:24">
      <c r="A876" s="2" t="s">
        <v>3986</v>
      </c>
      <c r="B876" s="2" t="s">
        <v>2908</v>
      </c>
      <c r="C876" s="2" t="s">
        <v>1511</v>
      </c>
      <c r="D876" s="2" t="s">
        <v>3987</v>
      </c>
      <c r="E876" s="2" t="s">
        <v>83</v>
      </c>
      <c r="F876" s="2" t="s">
        <v>41</v>
      </c>
      <c r="G876" s="2" t="s">
        <v>73</v>
      </c>
      <c r="H876" s="2" t="s">
        <v>74</v>
      </c>
      <c r="I876" s="2" t="s">
        <v>75</v>
      </c>
      <c r="J876" s="2" t="s">
        <v>30</v>
      </c>
      <c r="K876" s="2" t="s">
        <v>31</v>
      </c>
      <c r="L876" s="2" t="s">
        <v>3988</v>
      </c>
      <c r="M876" s="2" t="s">
        <v>67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34</v>
      </c>
      <c r="U876" s="2" t="s">
        <v>35</v>
      </c>
      <c r="V876" s="2" t="str">
        <f t="shared" si="39"/>
        <v>ORD-2025-1087515 Jul 202516 Jul 2025CUST-8770Vikram IyerSmall BusinessWestMaharashtraMumbaiOffice SuppliesPaperElite Paper 309Standard Class83924.880.0529829.0920710.189118.91PaidCompleted</v>
      </c>
      <c r="W876" s="2">
        <f t="shared" si="40"/>
        <v>1</v>
      </c>
      <c r="X876">
        <f t="shared" si="41"/>
        <v>1</v>
      </c>
    </row>
    <row r="877" spans="1:24">
      <c r="A877" s="2" t="s">
        <v>3989</v>
      </c>
      <c r="B877" s="2" t="s">
        <v>3990</v>
      </c>
      <c r="C877" s="2" t="s">
        <v>3991</v>
      </c>
      <c r="D877" s="2" t="s">
        <v>3992</v>
      </c>
      <c r="E877" s="2" t="s">
        <v>40</v>
      </c>
      <c r="F877" s="2" t="s">
        <v>108</v>
      </c>
      <c r="G877" s="2" t="s">
        <v>73</v>
      </c>
      <c r="H877" s="2" t="s">
        <v>74</v>
      </c>
      <c r="I877" s="2" t="s">
        <v>75</v>
      </c>
      <c r="J877" s="2" t="s">
        <v>86</v>
      </c>
      <c r="K877" s="2" t="s">
        <v>94</v>
      </c>
      <c r="L877" s="2" t="s">
        <v>3993</v>
      </c>
      <c r="M877" s="2" t="s">
        <v>56</v>
      </c>
      <c r="N877" s="2">
        <v>7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34</v>
      </c>
      <c r="U877" s="2" t="s">
        <v>35</v>
      </c>
      <c r="V877" s="2" t="str">
        <f t="shared" si="39"/>
        <v>ORD-2024-1087610 Aug 202408/11/2024CUST-6928Mira DasCorporateWestMaharashtraMumbaiTechnologyCopiersElite Copiers 752First Class73852.620.221574.6714672.836901.84PaidCompleted</v>
      </c>
      <c r="W877" s="2">
        <f t="shared" si="40"/>
        <v>1</v>
      </c>
      <c r="X877">
        <f t="shared" si="41"/>
        <v>1</v>
      </c>
    </row>
    <row r="878" spans="1:24">
      <c r="A878" s="2" t="s">
        <v>3994</v>
      </c>
      <c r="B878" s="2" t="s">
        <v>3995</v>
      </c>
      <c r="C878" s="2" t="s">
        <v>3996</v>
      </c>
      <c r="D878" s="2" t="s">
        <v>3997</v>
      </c>
      <c r="E878" s="2" t="s">
        <v>142</v>
      </c>
      <c r="F878" s="2" t="s">
        <v>26</v>
      </c>
      <c r="G878" s="2" t="s">
        <v>73</v>
      </c>
      <c r="H878" s="2" t="s">
        <v>28</v>
      </c>
      <c r="I878" s="2" t="s">
        <v>135</v>
      </c>
      <c r="J878" s="2" t="s">
        <v>45</v>
      </c>
      <c r="K878" s="2" t="s">
        <v>76</v>
      </c>
      <c r="L878" s="2" t="s">
        <v>1291</v>
      </c>
      <c r="M878" s="2" t="s">
        <v>56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34</v>
      </c>
      <c r="U878" s="2" t="s">
        <v>35</v>
      </c>
      <c r="V878" s="2" t="str">
        <f t="shared" si="39"/>
        <v>ORD-2024-1087711/18/202420-11-2024CUST-9044Priya MenonConsumerWestRajasthanUdaipurFurnitureChairsPro Chairs 316First Class63790.22022741.3216388.576352.75PaidCompleted</v>
      </c>
      <c r="W878" s="2">
        <f t="shared" si="40"/>
        <v>1</v>
      </c>
      <c r="X878">
        <f t="shared" si="41"/>
        <v>1</v>
      </c>
    </row>
    <row r="879" spans="1:24">
      <c r="A879" s="2" t="s">
        <v>3998</v>
      </c>
      <c r="B879" s="2" t="s">
        <v>3999</v>
      </c>
      <c r="C879" s="2" t="s">
        <v>2767</v>
      </c>
      <c r="D879" s="2" t="s">
        <v>4000</v>
      </c>
      <c r="E879" s="2" t="s">
        <v>162</v>
      </c>
      <c r="F879" s="2" t="s">
        <v>26</v>
      </c>
      <c r="G879" s="2" t="s">
        <v>73</v>
      </c>
      <c r="H879" s="2" t="s">
        <v>28</v>
      </c>
      <c r="I879" s="2" t="s">
        <v>135</v>
      </c>
      <c r="J879" s="2" t="s">
        <v>30</v>
      </c>
      <c r="K879" s="2" t="s">
        <v>156</v>
      </c>
      <c r="L879" s="2" t="s">
        <v>4001</v>
      </c>
      <c r="M879" s="2" t="s">
        <v>33</v>
      </c>
      <c r="N879" s="2">
        <v>6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34</v>
      </c>
      <c r="U879" s="2" t="s">
        <v>35</v>
      </c>
      <c r="V879" s="2" t="str">
        <f t="shared" si="39"/>
        <v>ORD-2025-1087826-08-20252025-09-03CUST-7146Aarav SharmaConsumerWestRajasthanUdaipurOffice SuppliesStorageMax Storage 438Second Class6674.360.13641.542690.37951.17PaidCompleted</v>
      </c>
      <c r="W879" s="2">
        <f t="shared" si="40"/>
        <v>1</v>
      </c>
      <c r="X879">
        <f t="shared" si="41"/>
        <v>1</v>
      </c>
    </row>
    <row r="880" spans="1:24">
      <c r="A880" s="2" t="s">
        <v>4002</v>
      </c>
      <c r="B880" s="2" t="s">
        <v>2038</v>
      </c>
      <c r="C880" s="2" t="s">
        <v>2038</v>
      </c>
      <c r="D880" s="2" t="s">
        <v>4003</v>
      </c>
      <c r="E880" s="2" t="s">
        <v>25</v>
      </c>
      <c r="F880" s="2" t="s">
        <v>108</v>
      </c>
      <c r="G880" s="2" t="s">
        <v>42</v>
      </c>
      <c r="H880" s="2" t="s">
        <v>121</v>
      </c>
      <c r="I880" s="2" t="s">
        <v>122</v>
      </c>
      <c r="J880" s="2" t="s">
        <v>30</v>
      </c>
      <c r="K880" s="2" t="s">
        <v>31</v>
      </c>
      <c r="L880" s="2" t="s">
        <v>4004</v>
      </c>
      <c r="M880" s="2" t="s">
        <v>56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34</v>
      </c>
      <c r="U880" s="2" t="s">
        <v>35</v>
      </c>
      <c r="V880" s="2" t="str">
        <f t="shared" si="39"/>
        <v>ORD-2024-108792024-01-222024-01-22CUST-8534Karan MalhotraCorporateEastWest BengalKolkataOffice SuppliesPaperBasic Paper 904First Class81557.210.0511834.89322.362512.44PaidCompleted</v>
      </c>
      <c r="W880" s="2">
        <f t="shared" si="40"/>
        <v>1</v>
      </c>
      <c r="X880">
        <f t="shared" si="41"/>
        <v>1</v>
      </c>
    </row>
    <row r="881" spans="1:24">
      <c r="A881" s="2" t="s">
        <v>4005</v>
      </c>
      <c r="B881" s="2" t="s">
        <v>4006</v>
      </c>
      <c r="C881" s="2" t="s">
        <v>435</v>
      </c>
      <c r="D881" s="2" t="s">
        <v>4007</v>
      </c>
      <c r="E881" s="2" t="s">
        <v>72</v>
      </c>
      <c r="F881" s="2" t="s">
        <v>115</v>
      </c>
      <c r="G881" s="2" t="s">
        <v>27</v>
      </c>
      <c r="H881" s="2" t="s">
        <v>174</v>
      </c>
      <c r="I881" s="2" t="s">
        <v>175</v>
      </c>
      <c r="J881" s="2" t="s">
        <v>30</v>
      </c>
      <c r="K881" s="2" t="s">
        <v>54</v>
      </c>
      <c r="L881" s="2" t="s">
        <v>4008</v>
      </c>
      <c r="M881" s="2" t="s">
        <v>67</v>
      </c>
      <c r="N881" s="2">
        <v>6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34</v>
      </c>
      <c r="U881" s="2" t="s">
        <v>35</v>
      </c>
      <c r="V881" s="2" t="str">
        <f t="shared" si="39"/>
        <v>ORD-2025-108802025-08-2708/28/2025CUST-4486Ananya RaoHome OfficeNorthUttar PradeshNoidaOffice SuppliesArtSmart Art 990Standard Class61182.030.156028.354433.631594.72PaidCompleted</v>
      </c>
      <c r="W881" s="2">
        <f t="shared" si="40"/>
        <v>1</v>
      </c>
      <c r="X881">
        <f t="shared" si="41"/>
        <v>1</v>
      </c>
    </row>
    <row r="882" spans="1:24">
      <c r="A882" s="2" t="s">
        <v>4009</v>
      </c>
      <c r="B882" s="2" t="s">
        <v>4010</v>
      </c>
      <c r="C882" s="2" t="s">
        <v>1123</v>
      </c>
      <c r="D882" s="2" t="s">
        <v>4011</v>
      </c>
      <c r="E882" s="2" t="s">
        <v>162</v>
      </c>
      <c r="F882" s="2" t="s">
        <v>41</v>
      </c>
      <c r="H882" s="2" t="s">
        <v>154</v>
      </c>
      <c r="I882" s="2" t="s">
        <v>155</v>
      </c>
      <c r="J882" s="2" t="s">
        <v>45</v>
      </c>
      <c r="K882" s="2" t="s">
        <v>76</v>
      </c>
      <c r="L882" s="2" t="s">
        <v>4012</v>
      </c>
      <c r="M882" s="2" t="s">
        <v>56</v>
      </c>
      <c r="N882" s="2">
        <v>5</v>
      </c>
      <c r="O882" s="2">
        <v>3234.77</v>
      </c>
      <c r="P882" s="2">
        <v>0</v>
      </c>
      <c r="Q882" s="2">
        <v>16173.85</v>
      </c>
      <c r="R882" s="2">
        <v>13636.34</v>
      </c>
      <c r="S882" s="2">
        <v>2537.5100000000002</v>
      </c>
      <c r="T882" s="2" t="s">
        <v>34</v>
      </c>
      <c r="U882" s="2" t="s">
        <v>35</v>
      </c>
      <c r="V882" s="2" t="str">
        <f t="shared" si="39"/>
        <v>ORD-2024-1088108-03-202403/15/2024CUST-5287Aarav SharmaSmall BusinessPunjabLudhianaFurnitureChairsBasic Chairs 327First Class53234.77016173.8513636.342537.51PaidCompleted</v>
      </c>
      <c r="W882" s="2">
        <f t="shared" si="40"/>
        <v>1</v>
      </c>
      <c r="X882">
        <f t="shared" si="41"/>
        <v>1</v>
      </c>
    </row>
    <row r="883" spans="1:24">
      <c r="A883" s="2" t="s">
        <v>4013</v>
      </c>
      <c r="B883" s="2" t="s">
        <v>2538</v>
      </c>
      <c r="C883" s="2" t="s">
        <v>4014</v>
      </c>
      <c r="D883" s="2" t="s">
        <v>4015</v>
      </c>
      <c r="E883" s="2" t="s">
        <v>72</v>
      </c>
      <c r="F883" s="2" t="s">
        <v>41</v>
      </c>
      <c r="G883" s="2" t="s">
        <v>62</v>
      </c>
      <c r="H883" s="2" t="s">
        <v>100</v>
      </c>
      <c r="I883" s="2" t="s">
        <v>101</v>
      </c>
      <c r="J883" s="2" t="s">
        <v>86</v>
      </c>
      <c r="K883" s="2" t="s">
        <v>94</v>
      </c>
      <c r="L883" s="2" t="s">
        <v>4016</v>
      </c>
      <c r="M883" s="2" t="s">
        <v>33</v>
      </c>
      <c r="N883" s="2">
        <v>9</v>
      </c>
      <c r="O883" s="2">
        <v>3726.75</v>
      </c>
      <c r="P883" s="2">
        <v>0.25</v>
      </c>
      <c r="Q883" s="2">
        <v>25155.56</v>
      </c>
      <c r="R883" s="2">
        <v>17592.689999999999</v>
      </c>
      <c r="S883" s="2">
        <v>7562.87</v>
      </c>
      <c r="T883" s="2" t="s">
        <v>34</v>
      </c>
      <c r="U883" s="2" t="s">
        <v>35</v>
      </c>
      <c r="V883" s="2" t="str">
        <f t="shared" si="39"/>
        <v>ORD-2024-1088201 Dec 202405-12-2024CUST-3445Ananya RaoSmall BusinessSouthAndhra PradeshVijayawadaTechnologyCopiersEco Copiers 987Second Class93726.750.2525155.5617592.697562.87PaidCompleted</v>
      </c>
      <c r="W883" s="2">
        <f t="shared" si="40"/>
        <v>1</v>
      </c>
      <c r="X883">
        <f t="shared" si="41"/>
        <v>1</v>
      </c>
    </row>
    <row r="884" spans="1:24">
      <c r="A884" s="2" t="s">
        <v>4017</v>
      </c>
      <c r="B884" s="2" t="s">
        <v>4018</v>
      </c>
      <c r="C884" s="2" t="s">
        <v>1335</v>
      </c>
      <c r="D884" s="2" t="s">
        <v>4019</v>
      </c>
      <c r="E884" s="2" t="s">
        <v>168</v>
      </c>
      <c r="F884" s="2" t="s">
        <v>108</v>
      </c>
      <c r="G884" s="2" t="s">
        <v>42</v>
      </c>
      <c r="H884" s="2" t="s">
        <v>186</v>
      </c>
      <c r="I884" s="2" t="s">
        <v>187</v>
      </c>
      <c r="J884" s="2" t="s">
        <v>86</v>
      </c>
      <c r="K884" s="2" t="s">
        <v>87</v>
      </c>
      <c r="L884" s="2" t="s">
        <v>4020</v>
      </c>
      <c r="M884" s="2" t="s">
        <v>67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137</v>
      </c>
      <c r="U884" s="2" t="s">
        <v>125</v>
      </c>
      <c r="V884" s="2" t="str">
        <f t="shared" si="39"/>
        <v>ORD-2025-1088302 Feb 202502/10/2025CUST-4983Sneha KapoorCorporateEastBiharPatnaTechnologyAccessoriesBasic Accessories 607Standard Class41912.4507649.84894.532755.27PendingReturned</v>
      </c>
      <c r="W884" s="2">
        <f t="shared" si="40"/>
        <v>1</v>
      </c>
      <c r="X884">
        <f t="shared" si="41"/>
        <v>1</v>
      </c>
    </row>
    <row r="885" spans="1:24">
      <c r="A885" s="2" t="s">
        <v>4021</v>
      </c>
      <c r="B885" s="2" t="s">
        <v>4022</v>
      </c>
      <c r="C885" s="2" t="s">
        <v>4023</v>
      </c>
      <c r="D885" s="2" t="s">
        <v>4024</v>
      </c>
      <c r="E885" s="2" t="s">
        <v>162</v>
      </c>
      <c r="F885" s="2" t="s">
        <v>41</v>
      </c>
      <c r="G885" s="2" t="s">
        <v>73</v>
      </c>
      <c r="H885" s="2" t="s">
        <v>249</v>
      </c>
      <c r="I885" s="2" t="s">
        <v>250</v>
      </c>
      <c r="J885" s="2" t="s">
        <v>30</v>
      </c>
      <c r="K885" s="2" t="s">
        <v>156</v>
      </c>
      <c r="L885" s="2" t="s">
        <v>4025</v>
      </c>
      <c r="M885" s="2" t="s">
        <v>48</v>
      </c>
      <c r="N885" s="2">
        <v>1</v>
      </c>
      <c r="O885" s="2">
        <v>1620.87</v>
      </c>
      <c r="P885" s="2">
        <v>0</v>
      </c>
      <c r="Q885" s="2">
        <v>1620.87</v>
      </c>
      <c r="R885" s="2">
        <v>1103.6099999999999</v>
      </c>
      <c r="S885" s="2">
        <v>517.26</v>
      </c>
      <c r="T885" s="2" t="s">
        <v>34</v>
      </c>
      <c r="U885" s="2" t="s">
        <v>35</v>
      </c>
      <c r="V885" s="2" t="str">
        <f t="shared" si="39"/>
        <v>ORD-2025-1088428 Apr 202505/01/2025CUST-2597Aarav SharmaSmall BusinessWestGoaPanajiOffice SuppliesStorageClassic Storage 211Same Day11620.8701620.871103.61517.26PaidCompleted</v>
      </c>
      <c r="W885" s="2">
        <f t="shared" si="40"/>
        <v>1</v>
      </c>
      <c r="X885">
        <f t="shared" si="41"/>
        <v>1</v>
      </c>
    </row>
    <row r="886" spans="1:24">
      <c r="A886" s="2" t="s">
        <v>4026</v>
      </c>
      <c r="B886" s="2" t="s">
        <v>4027</v>
      </c>
      <c r="C886" s="2" t="s">
        <v>4028</v>
      </c>
      <c r="D886" s="2" t="s">
        <v>4029</v>
      </c>
      <c r="E886" s="2" t="s">
        <v>93</v>
      </c>
      <c r="F886" s="2" t="s">
        <v>115</v>
      </c>
      <c r="G886" s="2" t="s">
        <v>62</v>
      </c>
      <c r="H886" s="2" t="s">
        <v>229</v>
      </c>
      <c r="I886" s="2" t="s">
        <v>230</v>
      </c>
      <c r="J886" s="2" t="s">
        <v>30</v>
      </c>
      <c r="K886" s="2" t="s">
        <v>156</v>
      </c>
      <c r="L886" s="2" t="s">
        <v>4030</v>
      </c>
      <c r="M886" s="2" t="s">
        <v>48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34</v>
      </c>
      <c r="U886" s="2" t="s">
        <v>35</v>
      </c>
      <c r="V886" s="2" t="str">
        <f t="shared" si="39"/>
        <v>ORD-2025-1088518-01-20252025-01-25CUST-7505Neha GuptaHome OfficeSouthKarnatakaBengaluruOffice SuppliesStorageEco Storage 783Same Day22098.540.153567.522411.81155.72PaidCompleted</v>
      </c>
      <c r="W886" s="2">
        <f t="shared" si="40"/>
        <v>1</v>
      </c>
      <c r="X886">
        <f t="shared" si="41"/>
        <v>1</v>
      </c>
    </row>
    <row r="887" spans="1:24">
      <c r="A887" s="2" t="s">
        <v>4031</v>
      </c>
      <c r="B887" s="2" t="s">
        <v>4032</v>
      </c>
      <c r="C887" s="2" t="s">
        <v>4032</v>
      </c>
      <c r="D887" s="2" t="s">
        <v>4033</v>
      </c>
      <c r="E887" s="2" t="s">
        <v>210</v>
      </c>
      <c r="F887" s="2" t="s">
        <v>26</v>
      </c>
      <c r="G887" s="2" t="s">
        <v>27</v>
      </c>
      <c r="H887" s="2" t="s">
        <v>28</v>
      </c>
      <c r="I887" s="2" t="s">
        <v>29</v>
      </c>
      <c r="J887" s="2" t="s">
        <v>45</v>
      </c>
      <c r="K887" s="2" t="s">
        <v>46</v>
      </c>
      <c r="L887" s="2" t="s">
        <v>4034</v>
      </c>
      <c r="M887" s="2" t="s">
        <v>67</v>
      </c>
      <c r="N887" s="2">
        <v>1</v>
      </c>
      <c r="O887" s="2">
        <v>2167.08</v>
      </c>
      <c r="P887" s="2">
        <v>0.25</v>
      </c>
      <c r="Q887" s="2">
        <v>1625.31</v>
      </c>
      <c r="R887" s="2">
        <v>1157.8900000000001</v>
      </c>
      <c r="S887" s="2">
        <v>467.42</v>
      </c>
      <c r="T887" s="2" t="s">
        <v>34</v>
      </c>
      <c r="U887" s="2" t="s">
        <v>35</v>
      </c>
      <c r="V887" s="2" t="str">
        <f t="shared" si="39"/>
        <v>ORD-2024-108862024-01-052024-01-05CUST-3446Diya PatelConsumerNorthRajasthanJaipurFurnitureTablesPro Tables 866Standard Class12167.080.251625.311157.89467.42PaidCompleted</v>
      </c>
      <c r="W887" s="2">
        <f t="shared" si="40"/>
        <v>1</v>
      </c>
      <c r="X887">
        <f t="shared" si="41"/>
        <v>1</v>
      </c>
    </row>
    <row r="888" spans="1:24">
      <c r="A888" s="2" t="s">
        <v>4035</v>
      </c>
      <c r="B888" s="2" t="s">
        <v>4036</v>
      </c>
      <c r="C888" s="2" t="s">
        <v>4037</v>
      </c>
      <c r="D888" s="2" t="s">
        <v>4038</v>
      </c>
      <c r="E888" s="2" t="s">
        <v>61</v>
      </c>
      <c r="F888" s="2" t="s">
        <v>115</v>
      </c>
      <c r="G888" s="2" t="s">
        <v>62</v>
      </c>
      <c r="H888" s="2" t="s">
        <v>339</v>
      </c>
      <c r="I888" s="2" t="s">
        <v>340</v>
      </c>
      <c r="J888" s="2" t="s">
        <v>86</v>
      </c>
      <c r="K888" s="2" t="s">
        <v>87</v>
      </c>
      <c r="L888" s="2" t="s">
        <v>4039</v>
      </c>
      <c r="M888" s="2" t="s">
        <v>56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34</v>
      </c>
      <c r="U888" s="2" t="s">
        <v>78</v>
      </c>
      <c r="V888" s="2" t="str">
        <f t="shared" si="39"/>
        <v>ORD-2025-1088726-04-202503-05-2025CUST-3549Arjun BoseHome OfficeSouthTamil NaduChennaiTechnologyAccessoriesMax Accessories 541First Class73989.90.1523739.917716.526023.38PaidCancelled</v>
      </c>
      <c r="W888" s="2">
        <f t="shared" si="40"/>
        <v>1</v>
      </c>
      <c r="X888">
        <f t="shared" si="41"/>
        <v>1</v>
      </c>
    </row>
    <row r="889" spans="1:24">
      <c r="A889" s="2" t="s">
        <v>4040</v>
      </c>
      <c r="B889" s="2" t="s">
        <v>3918</v>
      </c>
      <c r="C889" s="2" t="s">
        <v>684</v>
      </c>
      <c r="D889" s="2" t="s">
        <v>4041</v>
      </c>
      <c r="E889" s="2" t="s">
        <v>162</v>
      </c>
      <c r="F889" s="2" t="s">
        <v>41</v>
      </c>
      <c r="G889" s="2" t="s">
        <v>62</v>
      </c>
      <c r="H889" s="2" t="s">
        <v>100</v>
      </c>
      <c r="I889" s="2" t="s">
        <v>101</v>
      </c>
      <c r="J889" s="2" t="s">
        <v>30</v>
      </c>
      <c r="K889" s="2" t="s">
        <v>54</v>
      </c>
      <c r="L889" s="2" t="s">
        <v>4042</v>
      </c>
      <c r="M889" s="2" t="s">
        <v>67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34</v>
      </c>
      <c r="U889" s="2" t="s">
        <v>35</v>
      </c>
      <c r="V889" s="2" t="str">
        <f t="shared" si="39"/>
        <v>ORD-2024-108882024-06-122024-06-18CUST-2795Aarav SharmaSmall BusinessSouthAndhra PradeshVijayawadaOffice SuppliesArtPrime Art 596Standard Class44176.13016704.5210158.286546.24PaidCompleted</v>
      </c>
      <c r="W889" s="2">
        <f t="shared" si="40"/>
        <v>1</v>
      </c>
      <c r="X889">
        <f t="shared" si="41"/>
        <v>1</v>
      </c>
    </row>
    <row r="890" spans="1:24">
      <c r="A890" s="2" t="s">
        <v>4043</v>
      </c>
      <c r="B890" s="2" t="s">
        <v>4044</v>
      </c>
      <c r="C890" s="2" t="s">
        <v>3578</v>
      </c>
      <c r="D890" s="2" t="s">
        <v>4045</v>
      </c>
      <c r="E890" s="2" t="s">
        <v>148</v>
      </c>
      <c r="F890" s="2" t="s">
        <v>41</v>
      </c>
      <c r="G890" s="2" t="s">
        <v>73</v>
      </c>
      <c r="H890" s="2" t="s">
        <v>74</v>
      </c>
      <c r="I890" s="2" t="s">
        <v>75</v>
      </c>
      <c r="J890" s="2" t="s">
        <v>30</v>
      </c>
      <c r="K890" s="2" t="s">
        <v>54</v>
      </c>
      <c r="L890" s="2" t="s">
        <v>4046</v>
      </c>
      <c r="M890" s="2" t="s">
        <v>67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124</v>
      </c>
      <c r="U890" s="2" t="s">
        <v>78</v>
      </c>
      <c r="V890" s="2" t="str">
        <f t="shared" si="39"/>
        <v>ORD-2025-1088906-08-202507-08-2025CUST-1081Rahul VermaSmall BusinessWestMaharashtraMumbaiOffice SuppliesArtPro Art 620Standard Class43523.640.112685.110779.561905.54RefundedCancelled</v>
      </c>
      <c r="W890" s="2">
        <f t="shared" si="40"/>
        <v>1</v>
      </c>
      <c r="X890">
        <f t="shared" si="41"/>
        <v>1</v>
      </c>
    </row>
    <row r="891" spans="1:24">
      <c r="A891" s="2" t="s">
        <v>4047</v>
      </c>
      <c r="B891" s="2" t="s">
        <v>4048</v>
      </c>
      <c r="C891" s="2" t="s">
        <v>4049</v>
      </c>
      <c r="D891" s="2" t="s">
        <v>1349</v>
      </c>
      <c r="E891" s="2" t="s">
        <v>107</v>
      </c>
      <c r="F891" s="2" t="s">
        <v>115</v>
      </c>
      <c r="G891" s="2" t="s">
        <v>73</v>
      </c>
      <c r="H891" s="2" t="s">
        <v>84</v>
      </c>
      <c r="I891" s="2" t="s">
        <v>85</v>
      </c>
      <c r="J891" s="2" t="s">
        <v>30</v>
      </c>
      <c r="K891" s="2" t="s">
        <v>156</v>
      </c>
      <c r="L891" s="2" t="s">
        <v>4050</v>
      </c>
      <c r="M891" s="2" t="s">
        <v>56</v>
      </c>
      <c r="N891" s="2">
        <v>2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34</v>
      </c>
      <c r="U891" s="2" t="s">
        <v>125</v>
      </c>
      <c r="V891" s="2" t="str">
        <f t="shared" si="39"/>
        <v>ORD-2025-1089010 Mar 202503/11/2025CUST-8467Aditi SenHome OfficeWestMadhya PradeshIndoreOffice SuppliesStoragePrime Storage 806First Class23922.080.255883.124647.911235.21PaidReturned</v>
      </c>
      <c r="W891" s="2">
        <f t="shared" si="40"/>
        <v>1</v>
      </c>
      <c r="X891">
        <f t="shared" si="41"/>
        <v>1</v>
      </c>
    </row>
    <row r="892" spans="1:24">
      <c r="A892" s="2" t="s">
        <v>4051</v>
      </c>
      <c r="B892" s="2" t="s">
        <v>160</v>
      </c>
      <c r="C892" s="2" t="s">
        <v>1140</v>
      </c>
      <c r="D892" s="2" t="s">
        <v>4052</v>
      </c>
      <c r="E892" s="2" t="s">
        <v>25</v>
      </c>
      <c r="F892" s="2" t="s">
        <v>26</v>
      </c>
      <c r="G892" s="2" t="s">
        <v>73</v>
      </c>
      <c r="H892" s="2" t="s">
        <v>249</v>
      </c>
      <c r="I892" s="2" t="s">
        <v>250</v>
      </c>
      <c r="J892" s="2" t="s">
        <v>30</v>
      </c>
      <c r="K892" s="2" t="s">
        <v>156</v>
      </c>
      <c r="L892" s="2" t="s">
        <v>4053</v>
      </c>
      <c r="M892" s="2" t="s">
        <v>67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34</v>
      </c>
      <c r="U892" s="2" t="s">
        <v>35</v>
      </c>
      <c r="V892" s="2" t="str">
        <f t="shared" si="39"/>
        <v>ORD-2024-1089115-05-202421-05-2024CUST-3992Karan MalhotraConsumerWestGoaPanajiOffice SuppliesStorageSmart Storage 288Standard Class62909.560.213965.8911646.122319.77PaidCompleted</v>
      </c>
      <c r="W892" s="2">
        <f t="shared" si="40"/>
        <v>1</v>
      </c>
      <c r="X892">
        <f t="shared" si="41"/>
        <v>1</v>
      </c>
    </row>
    <row r="893" spans="1:24">
      <c r="A893" s="2" t="s">
        <v>4054</v>
      </c>
      <c r="B893" s="2" t="s">
        <v>3777</v>
      </c>
      <c r="C893" s="2" t="s">
        <v>2558</v>
      </c>
      <c r="D893" s="2" t="s">
        <v>4055</v>
      </c>
      <c r="E893" s="2" t="s">
        <v>366</v>
      </c>
      <c r="F893" s="2" t="s">
        <v>108</v>
      </c>
      <c r="G893" s="2" t="s">
        <v>62</v>
      </c>
      <c r="H893" s="2" t="s">
        <v>339</v>
      </c>
      <c r="I893" s="2" t="s">
        <v>340</v>
      </c>
      <c r="J893" s="2" t="s">
        <v>86</v>
      </c>
      <c r="K893" s="2" t="s">
        <v>382</v>
      </c>
      <c r="L893" s="2" t="s">
        <v>4056</v>
      </c>
      <c r="M893" s="2" t="s">
        <v>48</v>
      </c>
      <c r="N893" s="2">
        <v>5</v>
      </c>
      <c r="O893" s="2">
        <v>2407.9699999999998</v>
      </c>
      <c r="P893" s="2">
        <v>0.1</v>
      </c>
      <c r="Q893" s="2">
        <v>10835.86</v>
      </c>
      <c r="R893" s="2">
        <v>6419.92</v>
      </c>
      <c r="S893" s="2">
        <v>4415.9399999999996</v>
      </c>
      <c r="T893" s="2" t="s">
        <v>200</v>
      </c>
      <c r="U893" s="2" t="s">
        <v>78</v>
      </c>
      <c r="V893" s="2" t="str">
        <f t="shared" si="39"/>
        <v>ORD-2024-1089208 Oct 202409-10-2024CUST-6647Kabir SinghCorporateSouthTamil NaduChennaiTechnologyMachinesElite Machines 281Same Day52407.970.110835.866419.924415.94FailedCancelled</v>
      </c>
      <c r="W893" s="2">
        <f t="shared" si="40"/>
        <v>1</v>
      </c>
      <c r="X893">
        <f t="shared" si="41"/>
        <v>1</v>
      </c>
    </row>
    <row r="894" spans="1:24">
      <c r="A894" s="2" t="s">
        <v>4057</v>
      </c>
      <c r="B894" s="2" t="s">
        <v>4058</v>
      </c>
      <c r="C894" s="2" t="s">
        <v>3000</v>
      </c>
      <c r="D894" s="2" t="s">
        <v>4059</v>
      </c>
      <c r="E894" s="2" t="s">
        <v>53</v>
      </c>
      <c r="F894" s="2" t="s">
        <v>41</v>
      </c>
      <c r="G894" s="2" t="s">
        <v>42</v>
      </c>
      <c r="H894" s="2" t="s">
        <v>311</v>
      </c>
      <c r="I894" s="2" t="s">
        <v>312</v>
      </c>
      <c r="J894" s="2" t="s">
        <v>86</v>
      </c>
      <c r="K894" s="2" t="s">
        <v>94</v>
      </c>
      <c r="L894" s="2" t="s">
        <v>4060</v>
      </c>
      <c r="M894" s="2" t="s">
        <v>48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34</v>
      </c>
      <c r="U894" s="2" t="s">
        <v>35</v>
      </c>
      <c r="V894" s="2" t="str">
        <f t="shared" si="39"/>
        <v>ORD-2025-1089304/12/202504/18/2025CUST-5087Isha NairSmall BusinessEastJharkhandRanchiTechnologyCopiersElite Copiers 221Same Day1726.890.2581.51423.86157.65PaidCompleted</v>
      </c>
      <c r="W894" s="2">
        <f t="shared" si="40"/>
        <v>1</v>
      </c>
      <c r="X894">
        <f t="shared" si="41"/>
        <v>1</v>
      </c>
    </row>
    <row r="895" spans="1:24">
      <c r="A895" s="2" t="s">
        <v>4061</v>
      </c>
      <c r="B895" s="2" t="s">
        <v>4062</v>
      </c>
      <c r="C895" s="2" t="s">
        <v>4063</v>
      </c>
      <c r="D895" s="2" t="s">
        <v>4064</v>
      </c>
      <c r="E895" s="2" t="s">
        <v>162</v>
      </c>
      <c r="F895" s="2" t="s">
        <v>108</v>
      </c>
      <c r="G895" s="2" t="s">
        <v>62</v>
      </c>
      <c r="H895" s="2" t="s">
        <v>229</v>
      </c>
      <c r="I895" s="2" t="s">
        <v>230</v>
      </c>
      <c r="J895" s="2" t="s">
        <v>45</v>
      </c>
      <c r="K895" s="2" t="s">
        <v>46</v>
      </c>
      <c r="L895" s="2" t="s">
        <v>4065</v>
      </c>
      <c r="M895" s="2" t="s">
        <v>33</v>
      </c>
      <c r="N895" s="2">
        <v>3</v>
      </c>
      <c r="O895" s="2">
        <v>395.49</v>
      </c>
      <c r="P895" s="2">
        <v>0.05</v>
      </c>
      <c r="Q895" s="2">
        <v>1127.1500000000001</v>
      </c>
      <c r="R895" s="2">
        <v>845.62</v>
      </c>
      <c r="S895" s="2">
        <v>281.52999999999997</v>
      </c>
      <c r="T895" s="2" t="s">
        <v>34</v>
      </c>
      <c r="U895" s="2" t="s">
        <v>125</v>
      </c>
      <c r="V895" s="2" t="str">
        <f t="shared" si="39"/>
        <v>ORD-2024-1089406 Jun 202408 Jun 2024CUST-9297Aarav SharmaCorporateSouthKarnatakaBengaluruFurnitureTablesMax Tables 291Second Class3395.490.051127.15845.62281.53PaidReturned</v>
      </c>
      <c r="W895" s="2">
        <f t="shared" si="40"/>
        <v>1</v>
      </c>
      <c r="X895">
        <f t="shared" si="41"/>
        <v>1</v>
      </c>
    </row>
    <row r="896" spans="1:24">
      <c r="A896" s="2" t="s">
        <v>4066</v>
      </c>
      <c r="B896" s="2" t="s">
        <v>1945</v>
      </c>
      <c r="C896" s="2" t="s">
        <v>4067</v>
      </c>
      <c r="D896" s="2" t="s">
        <v>4068</v>
      </c>
      <c r="E896" s="2" t="s">
        <v>53</v>
      </c>
      <c r="F896" s="2" t="s">
        <v>115</v>
      </c>
      <c r="G896" s="2" t="s">
        <v>62</v>
      </c>
      <c r="H896" s="2" t="s">
        <v>63</v>
      </c>
      <c r="I896" s="2" t="s">
        <v>64</v>
      </c>
      <c r="J896" s="2" t="s">
        <v>45</v>
      </c>
      <c r="K896" s="2" t="s">
        <v>46</v>
      </c>
      <c r="L896" s="2" t="s">
        <v>4069</v>
      </c>
      <c r="M896" s="2" t="s">
        <v>56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34</v>
      </c>
      <c r="U896" s="2" t="s">
        <v>35</v>
      </c>
      <c r="V896" s="2" t="str">
        <f t="shared" si="39"/>
        <v>ORD-2024-1089522 Feb 202402/29/2024CUST-7996Isha NairHome OfficeSouthTelanganaHyderabadFurnitureTablesClassic Tables 638First Class64254.05025524.316711.938812.37PaidCompleted</v>
      </c>
      <c r="W896" s="2">
        <f t="shared" si="40"/>
        <v>1</v>
      </c>
      <c r="X896">
        <f t="shared" si="41"/>
        <v>1</v>
      </c>
    </row>
    <row r="897" spans="1:25">
      <c r="A897" s="2" t="s">
        <v>4070</v>
      </c>
      <c r="B897" s="2" t="s">
        <v>4071</v>
      </c>
      <c r="C897" s="2" t="s">
        <v>105</v>
      </c>
      <c r="D897" s="2" t="s">
        <v>4072</v>
      </c>
      <c r="E897" s="2" t="s">
        <v>61</v>
      </c>
      <c r="F897" s="2" t="s">
        <v>26</v>
      </c>
      <c r="G897" s="2" t="s">
        <v>62</v>
      </c>
      <c r="H897" s="2" t="s">
        <v>242</v>
      </c>
      <c r="I897" s="2" t="s">
        <v>243</v>
      </c>
      <c r="J897" s="2" t="s">
        <v>45</v>
      </c>
      <c r="K897" s="2" t="s">
        <v>76</v>
      </c>
      <c r="L897" s="2" t="s">
        <v>4073</v>
      </c>
      <c r="M897" s="2" t="s">
        <v>48</v>
      </c>
      <c r="N897" s="2">
        <v>4</v>
      </c>
      <c r="O897" s="2">
        <v>711.18</v>
      </c>
      <c r="P897" s="2">
        <v>0.15</v>
      </c>
      <c r="Q897" s="2">
        <v>2418.0100000000002</v>
      </c>
      <c r="R897" s="2">
        <v>1441.89</v>
      </c>
      <c r="S897" s="2">
        <v>976.12</v>
      </c>
      <c r="T897" s="2" t="s">
        <v>137</v>
      </c>
      <c r="U897" s="2" t="s">
        <v>125</v>
      </c>
      <c r="V897" s="2" t="str">
        <f t="shared" si="39"/>
        <v>ORD-2024-1089605 Nov 202411/10/2024CUST-4117Arjun BoseConsumerSouthKeralaKochiFurnitureChairsBasic Chairs 212Same Day4711.180.152418.011441.89976.12PendingReturned</v>
      </c>
      <c r="W897" s="2">
        <f t="shared" si="40"/>
        <v>1</v>
      </c>
      <c r="X897">
        <f t="shared" si="41"/>
        <v>1</v>
      </c>
    </row>
    <row r="898" spans="1:25">
      <c r="A898" s="2" t="s">
        <v>4074</v>
      </c>
      <c r="B898" s="2" t="s">
        <v>4075</v>
      </c>
      <c r="C898" s="2" t="s">
        <v>2358</v>
      </c>
      <c r="D898" s="2" t="s">
        <v>4076</v>
      </c>
      <c r="E898" s="2" t="s">
        <v>72</v>
      </c>
      <c r="F898" s="2" t="s">
        <v>41</v>
      </c>
      <c r="G898" s="2" t="s">
        <v>62</v>
      </c>
      <c r="H898" s="2" t="s">
        <v>339</v>
      </c>
      <c r="I898" s="2" t="s">
        <v>340</v>
      </c>
      <c r="J898" s="2" t="s">
        <v>86</v>
      </c>
      <c r="K898" s="2" t="s">
        <v>94</v>
      </c>
      <c r="L898" s="2" t="s">
        <v>4077</v>
      </c>
      <c r="M898" s="2" t="s">
        <v>33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200</v>
      </c>
      <c r="U898" s="2" t="s">
        <v>125</v>
      </c>
      <c r="V898" s="2" t="str">
        <f t="shared" si="39"/>
        <v>ORD-2024-1089712/24/202425-12-2024CUST-4848Ananya RaoSmall BusinessSouthTamil NaduChennaiTechnologyCopiersMax Copiers 121Second Class13693.030.053508.382828.06680.32FailedReturned</v>
      </c>
      <c r="W898" s="2">
        <f t="shared" si="40"/>
        <v>1</v>
      </c>
      <c r="X898">
        <f t="shared" si="41"/>
        <v>1</v>
      </c>
    </row>
    <row r="899" spans="1:25">
      <c r="A899" s="2" t="s">
        <v>4078</v>
      </c>
      <c r="B899" s="2" t="s">
        <v>1181</v>
      </c>
      <c r="C899" s="2" t="s">
        <v>4079</v>
      </c>
      <c r="D899" s="2" t="s">
        <v>3200</v>
      </c>
      <c r="E899" s="2" t="s">
        <v>180</v>
      </c>
      <c r="F899" s="2" t="s">
        <v>108</v>
      </c>
      <c r="G899" s="2" t="s">
        <v>27</v>
      </c>
      <c r="H899" s="2" t="s">
        <v>323</v>
      </c>
      <c r="I899" s="2" t="s">
        <v>324</v>
      </c>
      <c r="J899" s="2" t="s">
        <v>30</v>
      </c>
      <c r="K899" s="2" t="s">
        <v>31</v>
      </c>
      <c r="L899" s="2" t="s">
        <v>4080</v>
      </c>
      <c r="M899" s="2" t="s">
        <v>56</v>
      </c>
      <c r="N899" s="2">
        <v>4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1162.8399999999999</v>
      </c>
      <c r="T899" s="2" t="s">
        <v>34</v>
      </c>
      <c r="U899" s="2" t="s">
        <v>35</v>
      </c>
      <c r="V899" s="2" t="str">
        <f t="shared" ref="V899:V933" si="42">_xlfn.CONCAT(A899:U899)</f>
        <v>ORD-2025-1089804/29/202503 May 2025CUST-2897Rohan MehtaCorporateNorthHaryanaGurugramOffice SuppliesPaperEco Paper 747First Class41786.650.056789.275626.431162.84PaidCompleted</v>
      </c>
      <c r="W899" s="2">
        <f t="shared" ref="W899:W933" si="43">COUNTIF($V$2:$V$933,V899)</f>
        <v>1</v>
      </c>
      <c r="X899">
        <f t="shared" ref="X899:X933" si="44">COUNTIF($A$2:$A$933,A899)</f>
        <v>1</v>
      </c>
    </row>
    <row r="900" spans="1:25">
      <c r="A900" s="2" t="s">
        <v>4081</v>
      </c>
      <c r="B900" s="2" t="s">
        <v>3644</v>
      </c>
      <c r="C900" s="2" t="s">
        <v>50</v>
      </c>
      <c r="D900" s="2" t="s">
        <v>4082</v>
      </c>
      <c r="E900" s="2" t="s">
        <v>83</v>
      </c>
      <c r="F900" s="2" t="s">
        <v>26</v>
      </c>
      <c r="G900" s="2" t="s">
        <v>27</v>
      </c>
      <c r="H900" s="2" t="s">
        <v>506</v>
      </c>
      <c r="I900" s="2" t="s">
        <v>507</v>
      </c>
      <c r="J900" s="2" t="s">
        <v>45</v>
      </c>
      <c r="K900" s="2" t="s">
        <v>46</v>
      </c>
      <c r="L900" s="2" t="s">
        <v>4083</v>
      </c>
      <c r="M900" s="2" t="s">
        <v>56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34</v>
      </c>
      <c r="U900" s="2" t="s">
        <v>35</v>
      </c>
      <c r="V900" s="2" t="str">
        <f t="shared" si="42"/>
        <v>ORD-2024-108992024-06-0206/08/2024CUST-6046Vikram IyerConsumerNorthDelhiNew DelhiFurnitureTablesClassic Tables 535First Class41536.70.24917.443846.771070.67PaidCompleted</v>
      </c>
      <c r="W900" s="2">
        <f t="shared" si="43"/>
        <v>1</v>
      </c>
      <c r="X900">
        <f t="shared" si="44"/>
        <v>1</v>
      </c>
    </row>
    <row r="901" spans="1:25">
      <c r="A901" s="2" t="s">
        <v>4084</v>
      </c>
      <c r="B901" s="2" t="s">
        <v>1682</v>
      </c>
      <c r="C901" s="2" t="s">
        <v>4085</v>
      </c>
      <c r="D901" s="2" t="s">
        <v>4086</v>
      </c>
      <c r="E901" s="2" t="s">
        <v>25</v>
      </c>
      <c r="F901" s="2" t="s">
        <v>26</v>
      </c>
      <c r="G901" s="2" t="s">
        <v>27</v>
      </c>
      <c r="H901" s="2" t="s">
        <v>154</v>
      </c>
      <c r="I901" s="2" t="s">
        <v>155</v>
      </c>
      <c r="J901" s="2" t="s">
        <v>45</v>
      </c>
      <c r="K901" s="2" t="s">
        <v>76</v>
      </c>
      <c r="L901" s="2" t="s">
        <v>4087</v>
      </c>
      <c r="M901" s="2" t="s">
        <v>56</v>
      </c>
      <c r="N901" s="2">
        <v>5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1024.6400000000001</v>
      </c>
      <c r="T901" s="2" t="s">
        <v>200</v>
      </c>
      <c r="U901" s="2" t="s">
        <v>78</v>
      </c>
      <c r="V901" s="2" t="str">
        <f t="shared" si="42"/>
        <v>ORD-2025-1090027 May 202506/03/2025CUST-3789Karan MalhotraConsumerNorthPunjabLudhianaFurnitureChairsElite Chairs 971First Class5881.080.253304.052279.411024.64FailedCancelled</v>
      </c>
      <c r="W901" s="2">
        <f t="shared" si="43"/>
        <v>1</v>
      </c>
      <c r="X901">
        <f t="shared" si="44"/>
        <v>1</v>
      </c>
    </row>
    <row r="902" spans="1:25">
      <c r="A902" s="2" t="s">
        <v>2441</v>
      </c>
      <c r="B902" s="2" t="s">
        <v>2442</v>
      </c>
      <c r="C902" s="2" t="s">
        <v>2443</v>
      </c>
      <c r="D902" s="2" t="s">
        <v>2444</v>
      </c>
      <c r="E902" s="2" t="s">
        <v>142</v>
      </c>
      <c r="F902" s="2" t="s">
        <v>41</v>
      </c>
      <c r="G902" s="2" t="s">
        <v>42</v>
      </c>
      <c r="H902" s="2" t="s">
        <v>43</v>
      </c>
      <c r="I902" s="2" t="s">
        <v>44</v>
      </c>
      <c r="J902" s="2" t="s">
        <v>86</v>
      </c>
      <c r="K902" s="2" t="s">
        <v>94</v>
      </c>
      <c r="L902" s="2" t="s">
        <v>2445</v>
      </c>
      <c r="M902" s="2" t="s">
        <v>33</v>
      </c>
      <c r="N902" s="2">
        <v>6</v>
      </c>
      <c r="O902" s="2">
        <v>826.93</v>
      </c>
      <c r="P902" s="2">
        <v>0.1</v>
      </c>
      <c r="Q902" s="2">
        <v>4465.42</v>
      </c>
      <c r="R902" s="2">
        <v>3377.1</v>
      </c>
      <c r="S902" s="2">
        <v>1088.32</v>
      </c>
      <c r="T902" s="2" t="s">
        <v>34</v>
      </c>
      <c r="U902" s="2" t="s">
        <v>35</v>
      </c>
      <c r="V902" s="2" t="str">
        <f t="shared" si="42"/>
        <v>ORD-2024-1050304/01/20242024-04-09CUST-1534Priya MenonSmall BusinessEastOdishaBhubaneswarTechnologyCopiersPrime Copiers 557Second Class6826.930.14465.423377.11088.32PaidCompleted</v>
      </c>
      <c r="W902" s="2">
        <f t="shared" si="43"/>
        <v>2</v>
      </c>
      <c r="X902">
        <f t="shared" si="44"/>
        <v>2</v>
      </c>
      <c r="Y902" s="2" t="s">
        <v>4096</v>
      </c>
    </row>
    <row r="903" spans="1:25">
      <c r="A903" s="2" t="s">
        <v>2856</v>
      </c>
      <c r="B903" s="2" t="s">
        <v>2439</v>
      </c>
      <c r="C903" s="2" t="s">
        <v>2857</v>
      </c>
      <c r="D903" s="2" t="s">
        <v>2858</v>
      </c>
      <c r="E903" s="2" t="s">
        <v>72</v>
      </c>
      <c r="F903" s="2" t="s">
        <v>108</v>
      </c>
      <c r="G903" s="2" t="s">
        <v>42</v>
      </c>
      <c r="H903" s="2" t="s">
        <v>121</v>
      </c>
      <c r="I903" s="2" t="s">
        <v>122</v>
      </c>
      <c r="J903" s="2" t="s">
        <v>86</v>
      </c>
      <c r="K903" s="2" t="s">
        <v>94</v>
      </c>
      <c r="L903" s="2" t="s">
        <v>2859</v>
      </c>
      <c r="M903" s="2" t="s">
        <v>48</v>
      </c>
      <c r="N903" s="2">
        <v>3</v>
      </c>
      <c r="O903" s="2">
        <v>1490.69</v>
      </c>
      <c r="P903" s="2">
        <v>0.25</v>
      </c>
      <c r="Q903" s="2">
        <v>3354.05</v>
      </c>
      <c r="R903" s="2">
        <v>2672.67</v>
      </c>
      <c r="S903" s="2">
        <v>681.38</v>
      </c>
      <c r="T903" s="2" t="s">
        <v>34</v>
      </c>
      <c r="U903" s="2" t="s">
        <v>35</v>
      </c>
      <c r="V903" s="2" t="str">
        <f t="shared" si="42"/>
        <v>ORD-2024-1059908/17/202408/24/2024CUST-8498Ananya RaoCorporateEastWest BengalKolkataTechnologyCopiersEco Copiers 268Same Day31490.690.253354.052672.67681.38PaidCompleted</v>
      </c>
      <c r="W903" s="2">
        <f t="shared" si="43"/>
        <v>2</v>
      </c>
      <c r="X903">
        <f t="shared" si="44"/>
        <v>2</v>
      </c>
      <c r="Y903" s="2" t="s">
        <v>4096</v>
      </c>
    </row>
    <row r="904" spans="1:25">
      <c r="A904" s="2" t="s">
        <v>3258</v>
      </c>
      <c r="B904" s="2" t="s">
        <v>1730</v>
      </c>
      <c r="C904" s="2" t="s">
        <v>3079</v>
      </c>
      <c r="D904" s="2" t="s">
        <v>1738</v>
      </c>
      <c r="E904" s="2" t="s">
        <v>53</v>
      </c>
      <c r="F904" s="2" t="s">
        <v>26</v>
      </c>
      <c r="G904" s="2" t="s">
        <v>62</v>
      </c>
      <c r="H904" s="2" t="s">
        <v>100</v>
      </c>
      <c r="I904" s="2" t="s">
        <v>101</v>
      </c>
      <c r="J904" s="2" t="s">
        <v>30</v>
      </c>
      <c r="K904" s="2" t="s">
        <v>156</v>
      </c>
      <c r="L904" s="2" t="s">
        <v>3259</v>
      </c>
      <c r="M904" s="2" t="s">
        <v>56</v>
      </c>
      <c r="N904" s="2">
        <v>5</v>
      </c>
      <c r="O904" s="2">
        <v>2736.24</v>
      </c>
      <c r="P904" s="2">
        <v>0.15</v>
      </c>
      <c r="Q904" s="2">
        <v>11629.02</v>
      </c>
      <c r="R904" s="2">
        <v>9627.2099999999991</v>
      </c>
      <c r="S904" s="2">
        <v>2001.81</v>
      </c>
      <c r="T904" s="2" t="s">
        <v>34</v>
      </c>
      <c r="U904" s="2" t="s">
        <v>35</v>
      </c>
      <c r="V904" s="2" t="str">
        <f t="shared" si="42"/>
        <v>ORD-2025-1069501-08-202509-08-2025CUST-8025Isha NairConsumerSouthAndhra PradeshVijayawadaOffice SuppliesStorageClassic Storage 291First Class52736.240.1511629.029627.212001.81PaidCompleted</v>
      </c>
      <c r="W904" s="2">
        <f t="shared" si="43"/>
        <v>2</v>
      </c>
      <c r="X904">
        <f t="shared" si="44"/>
        <v>2</v>
      </c>
      <c r="Y904" s="2" t="s">
        <v>4096</v>
      </c>
    </row>
    <row r="905" spans="1:25">
      <c r="A905" s="2" t="s">
        <v>3296</v>
      </c>
      <c r="B905" s="2" t="s">
        <v>1558</v>
      </c>
      <c r="C905" s="2" t="s">
        <v>3297</v>
      </c>
      <c r="D905" s="2" t="s">
        <v>3298</v>
      </c>
      <c r="E905" s="2" t="s">
        <v>142</v>
      </c>
      <c r="F905" s="2" t="s">
        <v>115</v>
      </c>
      <c r="G905" s="2" t="s">
        <v>62</v>
      </c>
      <c r="H905" s="2" t="s">
        <v>339</v>
      </c>
      <c r="I905" s="2" t="s">
        <v>340</v>
      </c>
      <c r="J905" s="2" t="s">
        <v>45</v>
      </c>
      <c r="K905" s="2" t="s">
        <v>204</v>
      </c>
      <c r="L905" s="2" t="s">
        <v>3299</v>
      </c>
      <c r="N905" s="2">
        <v>1</v>
      </c>
      <c r="O905" s="2">
        <v>2825.63</v>
      </c>
      <c r="P905" s="2">
        <v>0.15</v>
      </c>
      <c r="Q905" s="2">
        <v>2401.79</v>
      </c>
      <c r="R905" s="2">
        <v>1820.34</v>
      </c>
      <c r="S905" s="2">
        <v>581.45000000000005</v>
      </c>
      <c r="T905" s="2" t="s">
        <v>34</v>
      </c>
      <c r="U905" s="2" t="s">
        <v>35</v>
      </c>
      <c r="V905" s="2" t="str">
        <f t="shared" si="42"/>
        <v>ORD-2024-107052024-03-1303/20/2024CUST-4916Priya MenonHome OfficeSouthTamil NaduChennaiFurnitureBookcasesMax Bookcases 73812825.630.152401.791820.34581.45PaidCompleted</v>
      </c>
      <c r="W905" s="2">
        <f t="shared" si="43"/>
        <v>2</v>
      </c>
      <c r="X905">
        <f t="shared" si="44"/>
        <v>2</v>
      </c>
      <c r="Y905" s="2" t="s">
        <v>4096</v>
      </c>
    </row>
    <row r="906" spans="1:25">
      <c r="A906" s="2" t="s">
        <v>1427</v>
      </c>
      <c r="B906" s="2" t="s">
        <v>1058</v>
      </c>
      <c r="C906" s="2" t="s">
        <v>1428</v>
      </c>
      <c r="D906" s="2" t="s">
        <v>1429</v>
      </c>
      <c r="E906" s="2" t="s">
        <v>162</v>
      </c>
      <c r="F906" s="2" t="s">
        <v>41</v>
      </c>
      <c r="H906" s="2" t="s">
        <v>216</v>
      </c>
      <c r="I906" s="2" t="s">
        <v>217</v>
      </c>
      <c r="J906" s="2" t="s">
        <v>45</v>
      </c>
      <c r="K906" s="2" t="s">
        <v>76</v>
      </c>
      <c r="L906" s="2" t="s">
        <v>1430</v>
      </c>
      <c r="M906" s="2" t="s">
        <v>33</v>
      </c>
      <c r="N906" s="2">
        <v>6</v>
      </c>
      <c r="O906" s="2">
        <v>3391.53</v>
      </c>
      <c r="P906" s="2">
        <v>-0.14000000000000001</v>
      </c>
      <c r="Q906" s="2">
        <v>15261.89</v>
      </c>
      <c r="R906" s="2">
        <v>8413.5300000000007</v>
      </c>
      <c r="S906" s="2">
        <v>6848.36</v>
      </c>
      <c r="T906" s="2" t="s">
        <v>34</v>
      </c>
      <c r="U906" s="2" t="s">
        <v>35</v>
      </c>
      <c r="V906" s="2" t="str">
        <f t="shared" si="42"/>
        <v>ORD-2024-1027722-01-202423-01-2024CUST-7039Aarav SharmaSmall BusinessAssamGuwahatiFurnitureChairsBasic Chairs 141Second Class63391.53-0.1415261.898413.536848.36PaidCompleted</v>
      </c>
      <c r="W906" s="2">
        <f t="shared" si="43"/>
        <v>2</v>
      </c>
      <c r="X906">
        <f t="shared" si="44"/>
        <v>2</v>
      </c>
      <c r="Y906" s="2" t="s">
        <v>4096</v>
      </c>
    </row>
    <row r="907" spans="1:25">
      <c r="A907" s="2" t="s">
        <v>2994</v>
      </c>
      <c r="B907" s="2" t="s">
        <v>2995</v>
      </c>
      <c r="C907" s="2" t="s">
        <v>2996</v>
      </c>
      <c r="D907" s="2" t="s">
        <v>2997</v>
      </c>
      <c r="E907" s="2" t="s">
        <v>168</v>
      </c>
      <c r="F907" s="2" t="s">
        <v>41</v>
      </c>
      <c r="G907" s="2" t="s">
        <v>62</v>
      </c>
      <c r="H907" s="2" t="s">
        <v>229</v>
      </c>
      <c r="I907" s="2" t="s">
        <v>230</v>
      </c>
      <c r="J907" s="2" t="s">
        <v>45</v>
      </c>
      <c r="K907" s="2" t="s">
        <v>65</v>
      </c>
      <c r="L907" s="2" t="s">
        <v>2998</v>
      </c>
      <c r="M907" s="2" t="s">
        <v>56</v>
      </c>
      <c r="N907" s="2">
        <v>5</v>
      </c>
      <c r="O907" s="2">
        <v>2850.53</v>
      </c>
      <c r="P907" s="2">
        <v>0</v>
      </c>
      <c r="Q907" s="2">
        <v>14252.65</v>
      </c>
      <c r="R907" s="2">
        <v>11558.31</v>
      </c>
      <c r="S907" s="2">
        <v>2694.34</v>
      </c>
      <c r="T907" s="2" t="s">
        <v>34</v>
      </c>
      <c r="U907" s="2" t="s">
        <v>35</v>
      </c>
      <c r="V907" s="2" t="str">
        <f t="shared" si="42"/>
        <v>ORD-2025-1063315-04-202516-04-2025CUST-4593Sneha KapoorSmall BusinessSouthKarnatakaBengaluruFurnitureFurnishingsSmart Furnishings 721First Class52850.53014252.6511558.312694.34PaidCompleted</v>
      </c>
      <c r="W907" s="2">
        <f t="shared" si="43"/>
        <v>2</v>
      </c>
      <c r="X907">
        <f t="shared" si="44"/>
        <v>2</v>
      </c>
      <c r="Y907" s="2" t="s">
        <v>4096</v>
      </c>
    </row>
    <row r="908" spans="1:25">
      <c r="A908" s="2" t="s">
        <v>3393</v>
      </c>
      <c r="B908" s="2" t="s">
        <v>3394</v>
      </c>
      <c r="C908" s="2" t="s">
        <v>3395</v>
      </c>
      <c r="D908" s="2" t="s">
        <v>3396</v>
      </c>
      <c r="E908" s="2" t="s">
        <v>72</v>
      </c>
      <c r="F908" s="2" t="s">
        <v>108</v>
      </c>
      <c r="G908" s="2" t="s">
        <v>62</v>
      </c>
      <c r="H908" s="2" t="s">
        <v>339</v>
      </c>
      <c r="I908" s="2" t="s">
        <v>340</v>
      </c>
      <c r="J908" s="2" t="s">
        <v>86</v>
      </c>
      <c r="K908" s="2" t="s">
        <v>382</v>
      </c>
      <c r="L908" s="2" t="s">
        <v>3397</v>
      </c>
      <c r="M908" s="2" t="s">
        <v>48</v>
      </c>
      <c r="N908" s="2">
        <v>6</v>
      </c>
      <c r="O908" s="2">
        <v>1810.63</v>
      </c>
      <c r="P908" s="2">
        <v>0.15</v>
      </c>
      <c r="Q908" s="2">
        <v>9234.2099999999991</v>
      </c>
      <c r="R908" s="2">
        <v>5516.52</v>
      </c>
      <c r="S908" s="2">
        <v>3717.69</v>
      </c>
      <c r="T908" s="2" t="s">
        <v>34</v>
      </c>
      <c r="U908" s="2" t="s">
        <v>35</v>
      </c>
      <c r="V908" s="2" t="str">
        <f t="shared" si="42"/>
        <v>ORD-2025-1073017-05-202525 May 2025CUST-8713Ananya RaoCorporateSouthTamil NaduChennaiTechnologyMachinesPro Machines 563Same Day61810.630.159234.215516.523717.69PaidCompleted</v>
      </c>
      <c r="W908" s="2">
        <f t="shared" si="43"/>
        <v>2</v>
      </c>
      <c r="X908">
        <f t="shared" si="44"/>
        <v>2</v>
      </c>
      <c r="Y908" s="2" t="s">
        <v>4096</v>
      </c>
    </row>
    <row r="909" spans="1:25">
      <c r="A909" s="2" t="s">
        <v>755</v>
      </c>
      <c r="B909" s="2" t="s">
        <v>756</v>
      </c>
      <c r="C909" s="2" t="s">
        <v>757</v>
      </c>
      <c r="D909" s="2" t="s">
        <v>758</v>
      </c>
      <c r="E909" s="2" t="s">
        <v>25</v>
      </c>
      <c r="F909" s="2" t="s">
        <v>26</v>
      </c>
      <c r="G909" s="2" t="s">
        <v>73</v>
      </c>
      <c r="H909" s="2" t="s">
        <v>249</v>
      </c>
      <c r="I909" s="2" t="s">
        <v>250</v>
      </c>
      <c r="J909" s="2" t="s">
        <v>86</v>
      </c>
      <c r="K909" s="2" t="s">
        <v>223</v>
      </c>
      <c r="L909" s="2" t="s">
        <v>759</v>
      </c>
      <c r="M909" s="2" t="s">
        <v>33</v>
      </c>
      <c r="N909" s="2">
        <v>8</v>
      </c>
      <c r="O909" s="2">
        <v>3372.15</v>
      </c>
      <c r="P909" s="2">
        <v>0.15</v>
      </c>
      <c r="Q909" s="2">
        <v>22930.62</v>
      </c>
      <c r="R909" s="2">
        <v>16875.55</v>
      </c>
      <c r="S909" s="2">
        <v>6055.07</v>
      </c>
      <c r="T909" s="2" t="s">
        <v>34</v>
      </c>
      <c r="U909" s="2" t="s">
        <v>35</v>
      </c>
      <c r="V909" s="2" t="str">
        <f t="shared" si="42"/>
        <v>ORD-2024-101342024-12-1312/18/2024CUST-9441Karan MalhotraConsumerWestGoaPanajiTechnologyPhonesPrime Phones 419Second Class83372.150.1522930.6216875.556055.07PaidCompleted</v>
      </c>
      <c r="W909" s="2">
        <f t="shared" si="43"/>
        <v>2</v>
      </c>
      <c r="X909">
        <f t="shared" si="44"/>
        <v>2</v>
      </c>
      <c r="Y909" s="2" t="s">
        <v>4096</v>
      </c>
    </row>
    <row r="910" spans="1:25">
      <c r="A910" s="2" t="s">
        <v>3355</v>
      </c>
      <c r="B910" s="2" t="s">
        <v>1724</v>
      </c>
      <c r="C910" s="2" t="s">
        <v>1725</v>
      </c>
      <c r="D910" s="2" t="s">
        <v>185</v>
      </c>
      <c r="E910" s="2" t="s">
        <v>366</v>
      </c>
      <c r="F910" s="2" t="s">
        <v>108</v>
      </c>
      <c r="G910" s="2" t="s">
        <v>73</v>
      </c>
      <c r="H910" s="2" t="s">
        <v>235</v>
      </c>
      <c r="I910" s="2" t="s">
        <v>236</v>
      </c>
      <c r="J910" s="2" t="s">
        <v>30</v>
      </c>
      <c r="K910" s="2" t="s">
        <v>54</v>
      </c>
      <c r="L910" s="2" t="s">
        <v>3356</v>
      </c>
      <c r="M910" s="2" t="s">
        <v>48</v>
      </c>
      <c r="N910" s="2">
        <v>2</v>
      </c>
      <c r="O910" s="2">
        <v>2372.41</v>
      </c>
      <c r="P910" s="2">
        <v>0.2</v>
      </c>
      <c r="Q910" s="2">
        <v>3795.86</v>
      </c>
      <c r="R910" s="2">
        <v>2264.92</v>
      </c>
      <c r="S910" s="2">
        <v>1530.94</v>
      </c>
      <c r="T910" s="2" t="s">
        <v>34</v>
      </c>
      <c r="U910" s="2" t="s">
        <v>35</v>
      </c>
      <c r="V910" s="2" t="str">
        <f t="shared" si="42"/>
        <v>ORD-2025-1072008 Sep 20252025-09-09CUST-3190Kabir SinghCorporateWestGujaratAhmedabadOffice SuppliesArtPro Art 447Same Day22372.410.23795.862264.921530.94PaidCompleted</v>
      </c>
      <c r="W910" s="2">
        <f t="shared" si="43"/>
        <v>2</v>
      </c>
      <c r="X910">
        <f t="shared" si="44"/>
        <v>2</v>
      </c>
      <c r="Y910" s="2" t="s">
        <v>4096</v>
      </c>
    </row>
    <row r="911" spans="1:25">
      <c r="A911" s="2" t="s">
        <v>1976</v>
      </c>
      <c r="B911" s="2" t="s">
        <v>1977</v>
      </c>
      <c r="C911" s="2" t="s">
        <v>1978</v>
      </c>
      <c r="D911" s="2" t="s">
        <v>1979</v>
      </c>
      <c r="E911" s="2" t="s">
        <v>210</v>
      </c>
      <c r="F911" s="2" t="s">
        <v>41</v>
      </c>
      <c r="G911" s="2" t="s">
        <v>62</v>
      </c>
      <c r="H911" s="2" t="s">
        <v>100</v>
      </c>
      <c r="I911" s="2" t="s">
        <v>101</v>
      </c>
      <c r="J911" s="2" t="s">
        <v>30</v>
      </c>
      <c r="K911" s="2" t="s">
        <v>31</v>
      </c>
      <c r="L911" s="2" t="s">
        <v>1980</v>
      </c>
      <c r="M911" s="2" t="s">
        <v>48</v>
      </c>
      <c r="N911" s="2">
        <v>1</v>
      </c>
      <c r="O911" s="2">
        <v>4358.5</v>
      </c>
      <c r="P911" s="2">
        <v>0.25</v>
      </c>
      <c r="Q911" s="2">
        <v>3268.88</v>
      </c>
      <c r="R911" s="2">
        <v>1993.74</v>
      </c>
      <c r="S911" s="2">
        <v>1275.1400000000001</v>
      </c>
      <c r="T911" s="2" t="s">
        <v>34</v>
      </c>
      <c r="U911" s="2" t="s">
        <v>35</v>
      </c>
      <c r="V911" s="2" t="str">
        <f t="shared" si="42"/>
        <v>ORD-2025-1040004/24/20252025-04-29CUST-5647Diya PatelSmall BusinessSouthAndhra PradeshVijayawadaOffice SuppliesPaperElite Paper 308Same Day14358.50.253268.881993.741275.14PaidCompleted</v>
      </c>
      <c r="W911" s="2">
        <f t="shared" si="43"/>
        <v>2</v>
      </c>
      <c r="X911">
        <f t="shared" si="44"/>
        <v>2</v>
      </c>
      <c r="Y911" s="2" t="s">
        <v>4096</v>
      </c>
    </row>
    <row r="912" spans="1:25">
      <c r="A912" s="2" t="s">
        <v>708</v>
      </c>
      <c r="B912" s="2" t="s">
        <v>709</v>
      </c>
      <c r="C912" s="2" t="s">
        <v>710</v>
      </c>
      <c r="D912" s="2" t="s">
        <v>711</v>
      </c>
      <c r="E912" s="2" t="s">
        <v>168</v>
      </c>
      <c r="F912" s="2" t="s">
        <v>41</v>
      </c>
      <c r="G912" s="2" t="s">
        <v>712</v>
      </c>
      <c r="H912" s="2" t="s">
        <v>154</v>
      </c>
      <c r="I912" s="2" t="s">
        <v>155</v>
      </c>
      <c r="J912" s="2" t="s">
        <v>86</v>
      </c>
      <c r="K912" s="2" t="s">
        <v>94</v>
      </c>
      <c r="L912" s="2" t="s">
        <v>713</v>
      </c>
      <c r="M912" s="2" t="s">
        <v>48</v>
      </c>
      <c r="N912" s="2">
        <v>1</v>
      </c>
      <c r="O912" s="2">
        <v>634.13</v>
      </c>
      <c r="P912" s="2">
        <v>0</v>
      </c>
      <c r="Q912" s="2">
        <v>634.13</v>
      </c>
      <c r="R912" s="2">
        <v>453.35</v>
      </c>
      <c r="S912" s="2">
        <v>180.78</v>
      </c>
      <c r="T912" s="2" t="s">
        <v>124</v>
      </c>
      <c r="U912" s="2" t="s">
        <v>78</v>
      </c>
      <c r="V912" s="2" t="str">
        <f t="shared" si="42"/>
        <v>ORD-2024-1012405/24/202425 May 2024CUST-1007Sneha KapoorSmall BusinessNORTHPunjabLudhianaTechnologyCopiersMax Copiers 970Same Day1634.130634.13453.35180.78RefundedCancelled</v>
      </c>
      <c r="W912" s="2">
        <f t="shared" si="43"/>
        <v>2</v>
      </c>
      <c r="X912">
        <f t="shared" si="44"/>
        <v>3</v>
      </c>
      <c r="Y912" s="2" t="s">
        <v>4096</v>
      </c>
    </row>
    <row r="913" spans="1:25">
      <c r="A913" s="2" t="s">
        <v>1310</v>
      </c>
      <c r="B913" s="2" t="s">
        <v>1311</v>
      </c>
      <c r="C913" s="2" t="s">
        <v>1312</v>
      </c>
      <c r="D913" s="2" t="s">
        <v>1313</v>
      </c>
      <c r="E913" s="2" t="s">
        <v>61</v>
      </c>
      <c r="F913" s="2" t="s">
        <v>41</v>
      </c>
      <c r="G913" s="2" t="s">
        <v>42</v>
      </c>
      <c r="H913" s="2" t="s">
        <v>121</v>
      </c>
      <c r="I913" s="2" t="s">
        <v>122</v>
      </c>
      <c r="J913" s="2" t="s">
        <v>45</v>
      </c>
      <c r="K913" s="2" t="s">
        <v>65</v>
      </c>
      <c r="L913" s="2" t="s">
        <v>1314</v>
      </c>
      <c r="M913" s="2" t="s">
        <v>67</v>
      </c>
      <c r="N913" s="2">
        <v>5</v>
      </c>
      <c r="O913" s="2">
        <v>3373.86</v>
      </c>
      <c r="P913" s="2">
        <v>0.15</v>
      </c>
      <c r="Q913" s="2">
        <v>14338.9</v>
      </c>
      <c r="R913" s="2">
        <v>11897.65</v>
      </c>
      <c r="S913" s="2">
        <v>2441.25</v>
      </c>
      <c r="T913" s="2" t="s">
        <v>137</v>
      </c>
      <c r="U913" s="2" t="s">
        <v>125</v>
      </c>
      <c r="V913" s="2" t="str">
        <f t="shared" si="42"/>
        <v>ORD-2024-1025102/21/202402/27/2024CUST-5351Arjun BoseSmall BusinessEastWest BengalKolkataFurnitureFurnishingsPrime Furnishings 781Standard Class53373.860.1514338.911897.652441.25PendingReturned</v>
      </c>
      <c r="W913" s="2">
        <f t="shared" si="43"/>
        <v>2</v>
      </c>
      <c r="X913">
        <f t="shared" si="44"/>
        <v>2</v>
      </c>
      <c r="Y913" s="2" t="s">
        <v>4096</v>
      </c>
    </row>
    <row r="914" spans="1:25">
      <c r="A914" s="2" t="s">
        <v>1879</v>
      </c>
      <c r="B914" s="2" t="s">
        <v>1521</v>
      </c>
      <c r="C914" s="2" t="s">
        <v>1880</v>
      </c>
      <c r="D914" s="2" t="s">
        <v>1881</v>
      </c>
      <c r="E914" s="2" t="s">
        <v>366</v>
      </c>
      <c r="F914" s="2" t="s">
        <v>41</v>
      </c>
      <c r="G914" s="2" t="s">
        <v>42</v>
      </c>
      <c r="H914" s="2" t="s">
        <v>43</v>
      </c>
      <c r="I914" s="2" t="s">
        <v>44</v>
      </c>
      <c r="J914" s="2" t="s">
        <v>30</v>
      </c>
      <c r="K914" s="2" t="s">
        <v>1882</v>
      </c>
      <c r="L914" s="2" t="s">
        <v>1883</v>
      </c>
      <c r="M914" s="2" t="s">
        <v>48</v>
      </c>
      <c r="N914" s="2">
        <v>1</v>
      </c>
      <c r="O914" s="2">
        <v>2564.7399999999998</v>
      </c>
      <c r="P914" s="2">
        <v>0</v>
      </c>
      <c r="Q914" s="2">
        <v>2564.7399999999998</v>
      </c>
      <c r="R914" s="2">
        <v>1754.58</v>
      </c>
      <c r="S914" s="2">
        <v>810.16</v>
      </c>
      <c r="T914" s="2" t="s">
        <v>34</v>
      </c>
      <c r="U914" s="2" t="s">
        <v>35</v>
      </c>
      <c r="V914" s="2" t="str">
        <f t="shared" si="42"/>
        <v>ORD-2025-1037824 May 202530-05-2025CUST-4875Kabir SinghSmall BusinessEastOdishaBhubaneswarOffice SuppliesstorageBasic Storage 360Same Day12564.7402564.741754.58810.16PaidCompleted</v>
      </c>
      <c r="W914" s="2">
        <f t="shared" si="43"/>
        <v>2</v>
      </c>
      <c r="X914">
        <f t="shared" si="44"/>
        <v>2</v>
      </c>
      <c r="Y914" s="2" t="s">
        <v>4096</v>
      </c>
    </row>
    <row r="915" spans="1:25">
      <c r="A915" s="2" t="s">
        <v>1443</v>
      </c>
      <c r="B915" s="2" t="s">
        <v>1444</v>
      </c>
      <c r="C915" s="2" t="s">
        <v>1445</v>
      </c>
      <c r="D915" s="2" t="s">
        <v>1446</v>
      </c>
      <c r="E915" s="2" t="s">
        <v>107</v>
      </c>
      <c r="F915" s="2" t="s">
        <v>26</v>
      </c>
      <c r="G915" s="2" t="s">
        <v>62</v>
      </c>
      <c r="H915" s="2" t="s">
        <v>229</v>
      </c>
      <c r="I915" s="2" t="s">
        <v>230</v>
      </c>
      <c r="J915" s="2" t="s">
        <v>86</v>
      </c>
      <c r="K915" s="2" t="s">
        <v>94</v>
      </c>
      <c r="L915" s="2" t="s">
        <v>1447</v>
      </c>
      <c r="M915" s="2" t="s">
        <v>67</v>
      </c>
      <c r="N915" s="2">
        <v>9</v>
      </c>
      <c r="O915" s="2">
        <v>993.67</v>
      </c>
      <c r="P915" s="2">
        <v>0</v>
      </c>
      <c r="Q915" s="2">
        <v>8943.0300000000007</v>
      </c>
      <c r="R915" s="2">
        <v>5165.38</v>
      </c>
      <c r="S915" s="2">
        <v>3777.65</v>
      </c>
      <c r="T915" s="2" t="s">
        <v>34</v>
      </c>
      <c r="U915" s="2" t="s">
        <v>35</v>
      </c>
      <c r="V915" s="2" t="str">
        <f t="shared" si="42"/>
        <v>ORD-2024-1028112/23/202426-12-2024CUST-4098Aditi SenConsumerSouthKarnatakaBengaluruTechnologyCopiersPrime Copiers 961Standard Class9993.6708943.035165.383777.65PaidCompleted</v>
      </c>
      <c r="W915" s="2">
        <f t="shared" si="43"/>
        <v>2</v>
      </c>
      <c r="X915">
        <f t="shared" si="44"/>
        <v>2</v>
      </c>
      <c r="Y915" s="2" t="s">
        <v>4096</v>
      </c>
    </row>
    <row r="916" spans="1:25">
      <c r="A916" s="2" t="s">
        <v>3330</v>
      </c>
      <c r="B916" s="2" t="s">
        <v>2129</v>
      </c>
      <c r="C916" s="2" t="s">
        <v>3331</v>
      </c>
      <c r="D916" s="2" t="s">
        <v>3332</v>
      </c>
      <c r="E916" s="2" t="s">
        <v>53</v>
      </c>
      <c r="F916" s="2" t="s">
        <v>115</v>
      </c>
      <c r="G916" s="2" t="s">
        <v>73</v>
      </c>
      <c r="H916" s="2" t="s">
        <v>84</v>
      </c>
      <c r="I916" s="2" t="s">
        <v>85</v>
      </c>
      <c r="J916" s="2" t="s">
        <v>45</v>
      </c>
      <c r="K916" s="2" t="s">
        <v>76</v>
      </c>
      <c r="L916" s="2" t="s">
        <v>3333</v>
      </c>
      <c r="M916" s="2" t="s">
        <v>56</v>
      </c>
      <c r="N916" s="2">
        <v>7</v>
      </c>
      <c r="O916" s="2">
        <v>1382.86</v>
      </c>
      <c r="P916" s="2">
        <v>0</v>
      </c>
      <c r="Q916" s="2">
        <v>9680.02</v>
      </c>
      <c r="R916" s="2">
        <v>6876.66</v>
      </c>
      <c r="S916" s="2">
        <v>2803.36</v>
      </c>
      <c r="T916" s="2" t="s">
        <v>34</v>
      </c>
      <c r="U916" s="2" t="s">
        <v>35</v>
      </c>
      <c r="V916" s="2" t="str">
        <f t="shared" si="42"/>
        <v>ORD-2024-1071310 Feb 202418 Feb 2024CUST-5127Isha NairHome OfficeWestMadhya PradeshIndoreFurnitureChairsSmart Chairs 259First Class71382.8609680.026876.662803.36PaidCompleted</v>
      </c>
      <c r="W916" s="2">
        <f t="shared" si="43"/>
        <v>2</v>
      </c>
      <c r="X916">
        <f t="shared" si="44"/>
        <v>2</v>
      </c>
      <c r="Y916" s="2" t="s">
        <v>4096</v>
      </c>
    </row>
    <row r="917" spans="1:25">
      <c r="A917" s="2" t="s">
        <v>2648</v>
      </c>
      <c r="B917" s="2" t="s">
        <v>2649</v>
      </c>
      <c r="C917" s="2" t="s">
        <v>2650</v>
      </c>
      <c r="D917" s="2" t="s">
        <v>2651</v>
      </c>
      <c r="E917" s="2" t="s">
        <v>40</v>
      </c>
      <c r="F917" s="2" t="s">
        <v>108</v>
      </c>
      <c r="G917" s="2" t="s">
        <v>62</v>
      </c>
      <c r="H917" s="2" t="s">
        <v>63</v>
      </c>
      <c r="I917" s="2" t="s">
        <v>64</v>
      </c>
      <c r="J917" s="2" t="s">
        <v>30</v>
      </c>
      <c r="K917" s="2" t="s">
        <v>54</v>
      </c>
      <c r="L917" s="2" t="s">
        <v>2652</v>
      </c>
      <c r="M917" s="2" t="s">
        <v>33</v>
      </c>
      <c r="N917" s="2">
        <v>3</v>
      </c>
      <c r="O917" s="2">
        <v>3804.27</v>
      </c>
      <c r="P917" s="2">
        <v>0.1</v>
      </c>
      <c r="Q917" s="2">
        <v>10271.530000000001</v>
      </c>
      <c r="R917" s="2">
        <v>8272.24</v>
      </c>
      <c r="S917" s="2">
        <v>1999.29</v>
      </c>
      <c r="T917" s="2" t="s">
        <v>34</v>
      </c>
      <c r="U917" s="2" t="s">
        <v>35</v>
      </c>
      <c r="V917" s="2" t="str">
        <f t="shared" si="42"/>
        <v>ORD-2025-1055010/11/202513 Oct 2025CUST-6028Mira DasCorporateSouthTelanganaHyderabadOffice SuppliesArtPro Art 287Second Class33804.270.110271.538272.241999.29PaidCompleted</v>
      </c>
      <c r="W917" s="2">
        <f t="shared" si="43"/>
        <v>2</v>
      </c>
      <c r="X917">
        <f t="shared" si="44"/>
        <v>2</v>
      </c>
      <c r="Y917" s="2" t="s">
        <v>4096</v>
      </c>
    </row>
    <row r="918" spans="1:25">
      <c r="A918" s="2" t="s">
        <v>3890</v>
      </c>
      <c r="B918" s="2" t="s">
        <v>3891</v>
      </c>
      <c r="C918" s="2" t="s">
        <v>1071</v>
      </c>
      <c r="D918" s="2" t="s">
        <v>3892</v>
      </c>
      <c r="E918" s="2" t="s">
        <v>53</v>
      </c>
      <c r="F918" s="2" t="s">
        <v>115</v>
      </c>
      <c r="G918" s="2" t="s">
        <v>73</v>
      </c>
      <c r="H918" s="2" t="s">
        <v>235</v>
      </c>
      <c r="I918" s="2" t="s">
        <v>236</v>
      </c>
      <c r="J918" s="2" t="s">
        <v>45</v>
      </c>
      <c r="K918" s="2" t="s">
        <v>204</v>
      </c>
      <c r="L918" s="2" t="s">
        <v>3893</v>
      </c>
      <c r="M918" s="2" t="s">
        <v>67</v>
      </c>
      <c r="N918" s="2">
        <v>3</v>
      </c>
      <c r="O918" s="2">
        <v>679.63</v>
      </c>
      <c r="P918" s="2">
        <v>0.2</v>
      </c>
      <c r="Q918" s="2">
        <v>1631.11</v>
      </c>
      <c r="R918" s="2">
        <v>898.73</v>
      </c>
      <c r="S918" s="2">
        <v>396.58</v>
      </c>
      <c r="T918" s="2" t="s">
        <v>34</v>
      </c>
      <c r="U918" s="2" t="s">
        <v>35</v>
      </c>
      <c r="V918" s="2" t="str">
        <f t="shared" si="42"/>
        <v>ORD-2024-108502024-03-0612-03-2024CUST-3360Isha NairHome OfficeWestGujaratAhmedabadFurnitureBookcasesPrime Bookcases 755Standard Class3679.630.21631.11898.73396.58PaidCompleted</v>
      </c>
      <c r="W918" s="2">
        <f t="shared" si="43"/>
        <v>2</v>
      </c>
      <c r="X918">
        <f t="shared" si="44"/>
        <v>2</v>
      </c>
      <c r="Y918" s="2" t="s">
        <v>4096</v>
      </c>
    </row>
    <row r="919" spans="1:25">
      <c r="A919" s="2" t="s">
        <v>728</v>
      </c>
      <c r="B919" s="2" t="s">
        <v>191</v>
      </c>
      <c r="C919" s="2" t="s">
        <v>729</v>
      </c>
      <c r="D919" s="2" t="s">
        <v>730</v>
      </c>
      <c r="E919" s="2" t="s">
        <v>142</v>
      </c>
      <c r="F919" s="2" t="s">
        <v>108</v>
      </c>
      <c r="G919" s="2" t="s">
        <v>73</v>
      </c>
      <c r="H919" s="2" t="s">
        <v>84</v>
      </c>
      <c r="I919" s="2" t="s">
        <v>85</v>
      </c>
      <c r="J919" s="2" t="s">
        <v>30</v>
      </c>
      <c r="K919" s="2" t="s">
        <v>156</v>
      </c>
      <c r="L919" s="2" t="s">
        <v>731</v>
      </c>
      <c r="M919" s="2" t="s">
        <v>33</v>
      </c>
      <c r="N919" s="2">
        <v>2</v>
      </c>
      <c r="O919" s="2">
        <v>3039.3</v>
      </c>
      <c r="P919" s="2">
        <v>0.05</v>
      </c>
      <c r="Q919" s="2">
        <v>5774.67</v>
      </c>
      <c r="R919" s="2">
        <v>3518.36</v>
      </c>
      <c r="S919" s="2">
        <v>2256.31</v>
      </c>
      <c r="T919" s="2" t="s">
        <v>34</v>
      </c>
      <c r="U919" s="2" t="s">
        <v>35</v>
      </c>
      <c r="V919" s="2" t="str">
        <f t="shared" si="42"/>
        <v>ORD-2025-1012801/30/202526-01-2025CUST-6802Priya MenonCorporateWestMadhya PradeshIndoreOffice SuppliesStorageBasic Storage 321Second Class23039.30.055774.673518.362256.31PaidCompleted</v>
      </c>
      <c r="W919" s="2">
        <f t="shared" si="43"/>
        <v>2</v>
      </c>
      <c r="X919">
        <f t="shared" si="44"/>
        <v>2</v>
      </c>
      <c r="Y919" s="2" t="s">
        <v>4096</v>
      </c>
    </row>
    <row r="920" spans="1:25">
      <c r="A920" s="2" t="s">
        <v>3184</v>
      </c>
      <c r="B920" s="2" t="s">
        <v>3185</v>
      </c>
      <c r="C920" s="2" t="s">
        <v>3186</v>
      </c>
      <c r="D920" s="2" t="s">
        <v>3187</v>
      </c>
      <c r="E920" s="2" t="s">
        <v>148</v>
      </c>
      <c r="F920" s="2" t="s">
        <v>41</v>
      </c>
      <c r="G920" s="2" t="s">
        <v>27</v>
      </c>
      <c r="H920" s="2" t="s">
        <v>506</v>
      </c>
      <c r="I920" s="2" t="s">
        <v>507</v>
      </c>
      <c r="J920" s="2" t="s">
        <v>86</v>
      </c>
      <c r="K920" s="2" t="s">
        <v>223</v>
      </c>
      <c r="L920" s="2" t="s">
        <v>3188</v>
      </c>
      <c r="M920" s="2" t="s">
        <v>48</v>
      </c>
      <c r="N920" s="2">
        <v>7</v>
      </c>
      <c r="O920" s="2">
        <v>3411.21</v>
      </c>
      <c r="P920" s="2">
        <v>0.15</v>
      </c>
      <c r="Q920" s="2">
        <v>20296.7</v>
      </c>
      <c r="R920" s="2">
        <v>14920.87</v>
      </c>
      <c r="S920" s="2">
        <v>5375.83</v>
      </c>
      <c r="T920" s="2" t="s">
        <v>34</v>
      </c>
      <c r="U920" s="2" t="s">
        <v>35</v>
      </c>
      <c r="V920" s="2" t="str">
        <f t="shared" si="42"/>
        <v>ORD-2025-1067709/11/202509/18/2025CUST-9212Rahul VermaSmall BusinessNorthDelhiNew DelhiTechnologyPhonesSmart Phones 967Same Day73411.210.1520296.714920.875375.83PaidCompleted</v>
      </c>
      <c r="W920" s="2">
        <f t="shared" si="43"/>
        <v>2</v>
      </c>
      <c r="X920">
        <f t="shared" si="44"/>
        <v>2</v>
      </c>
      <c r="Y920" s="2" t="s">
        <v>4096</v>
      </c>
    </row>
    <row r="921" spans="1:25">
      <c r="A921" s="2" t="s">
        <v>89</v>
      </c>
      <c r="B921" s="2" t="s">
        <v>90</v>
      </c>
      <c r="C921" s="2" t="s">
        <v>91</v>
      </c>
      <c r="D921" s="2" t="s">
        <v>92</v>
      </c>
      <c r="E921" s="2" t="s">
        <v>93</v>
      </c>
      <c r="F921" s="2" t="s">
        <v>26</v>
      </c>
      <c r="G921" s="2" t="s">
        <v>42</v>
      </c>
      <c r="H921" s="2" t="s">
        <v>43</v>
      </c>
      <c r="I921" s="2" t="s">
        <v>44</v>
      </c>
      <c r="J921" s="2" t="s">
        <v>86</v>
      </c>
      <c r="K921" s="2" t="s">
        <v>94</v>
      </c>
      <c r="L921" s="2" t="s">
        <v>95</v>
      </c>
      <c r="M921" s="2" t="s">
        <v>67</v>
      </c>
      <c r="N921" s="2">
        <v>4</v>
      </c>
      <c r="O921" s="2">
        <v>1719.87</v>
      </c>
      <c r="P921" s="2">
        <v>0.15</v>
      </c>
      <c r="Q921" s="2">
        <v>5847.56</v>
      </c>
      <c r="R921" s="2">
        <v>4727.25</v>
      </c>
      <c r="S921" s="2">
        <v>1120.31</v>
      </c>
      <c r="T921" s="2" t="s">
        <v>34</v>
      </c>
      <c r="U921" s="2" t="s">
        <v>35</v>
      </c>
      <c r="V921" s="2" t="str">
        <f t="shared" si="42"/>
        <v>ORD-2025-1000704/10/202504/16/2025CUST-3656Neha GuptaConsumerEastOdishaBhubaneswarTechnologyCopiersEco Copiers 790Standard Class41719.870.155847.564727.251120.31PaidCompleted</v>
      </c>
      <c r="W921" s="2">
        <f t="shared" si="43"/>
        <v>2</v>
      </c>
      <c r="X921">
        <f t="shared" si="44"/>
        <v>2</v>
      </c>
      <c r="Y921" s="2" t="s">
        <v>4096</v>
      </c>
    </row>
    <row r="922" spans="1:25">
      <c r="A922" s="2" t="s">
        <v>1677</v>
      </c>
      <c r="B922" s="2" t="s">
        <v>705</v>
      </c>
      <c r="C922" s="2" t="s">
        <v>1678</v>
      </c>
      <c r="D922" s="2" t="s">
        <v>1679</v>
      </c>
      <c r="E922" s="2" t="s">
        <v>168</v>
      </c>
      <c r="F922" s="2" t="s">
        <v>115</v>
      </c>
      <c r="G922" s="2" t="s">
        <v>42</v>
      </c>
      <c r="H922" s="2" t="s">
        <v>43</v>
      </c>
      <c r="I922" s="2" t="s">
        <v>44</v>
      </c>
      <c r="J922" s="2" t="s">
        <v>30</v>
      </c>
      <c r="K922" s="2" t="s">
        <v>198</v>
      </c>
      <c r="L922" s="2" t="s">
        <v>1680</v>
      </c>
      <c r="M922" s="2" t="s">
        <v>33</v>
      </c>
      <c r="N922" s="2">
        <v>4</v>
      </c>
      <c r="O922" s="2">
        <v>2685.66</v>
      </c>
      <c r="P922" s="2">
        <v>0</v>
      </c>
      <c r="Q922" s="2">
        <v>10989.89</v>
      </c>
      <c r="R922" s="2">
        <v>6477.37</v>
      </c>
      <c r="S922" s="2">
        <v>4265.2700000000004</v>
      </c>
      <c r="T922" s="2" t="s">
        <v>34</v>
      </c>
      <c r="U922" s="2" t="s">
        <v>35</v>
      </c>
      <c r="V922" s="2" t="str">
        <f t="shared" si="42"/>
        <v>ORD-2024-1033204-12-20242024-12-06CUST-9346Sneha KapoorHome OfficeEastOdishaBhubaneswarOffice SuppliesBindersSmart Binders 939Second Class42685.66010989.896477.374265.27PaidCompleted</v>
      </c>
      <c r="W922" s="2">
        <f t="shared" si="43"/>
        <v>1</v>
      </c>
      <c r="X922">
        <f t="shared" si="44"/>
        <v>2</v>
      </c>
      <c r="Y922" s="2" t="s">
        <v>4097</v>
      </c>
    </row>
    <row r="923" spans="1:25">
      <c r="A923" s="2" t="s">
        <v>549</v>
      </c>
      <c r="B923" s="2" t="s">
        <v>550</v>
      </c>
      <c r="C923" s="2" t="s">
        <v>69</v>
      </c>
      <c r="D923" s="2" t="s">
        <v>551</v>
      </c>
      <c r="E923" s="2" t="s">
        <v>162</v>
      </c>
      <c r="F923" s="2" t="s">
        <v>41</v>
      </c>
      <c r="G923" s="2" t="s">
        <v>42</v>
      </c>
      <c r="H923" s="2" t="s">
        <v>186</v>
      </c>
      <c r="I923" s="2" t="s">
        <v>187</v>
      </c>
      <c r="J923" s="2" t="s">
        <v>86</v>
      </c>
      <c r="K923" s="2" t="s">
        <v>94</v>
      </c>
      <c r="L923" s="2" t="s">
        <v>552</v>
      </c>
      <c r="M923" s="2" t="s">
        <v>56</v>
      </c>
      <c r="N923" s="2">
        <v>3</v>
      </c>
      <c r="O923" s="2">
        <v>3703.96</v>
      </c>
      <c r="P923" s="2">
        <v>0.15</v>
      </c>
      <c r="Q923" s="2">
        <v>9549.44</v>
      </c>
      <c r="R923" s="2">
        <v>5586.28</v>
      </c>
      <c r="S923" s="2">
        <v>3858.82</v>
      </c>
      <c r="T923" s="2" t="s">
        <v>34</v>
      </c>
      <c r="U923" s="2" t="s">
        <v>125</v>
      </c>
      <c r="V923" s="2" t="str">
        <f t="shared" si="42"/>
        <v>ORD-2025-1009108/24/202529 Aug 2025CUST-5909Aarav SharmaSmall BusinessEastBiharPatnaTechnologyCopiersSmart Copiers 556First Class33703.960.159549.445586.283858.82PaidReturned</v>
      </c>
      <c r="W923" s="2">
        <f t="shared" si="43"/>
        <v>1</v>
      </c>
      <c r="X923">
        <f t="shared" si="44"/>
        <v>2</v>
      </c>
      <c r="Y923" s="2" t="s">
        <v>4097</v>
      </c>
    </row>
    <row r="924" spans="1:25">
      <c r="A924" s="2" t="s">
        <v>1861</v>
      </c>
      <c r="B924" s="2" t="s">
        <v>1862</v>
      </c>
      <c r="C924" s="2" t="s">
        <v>1862</v>
      </c>
      <c r="D924" s="2" t="s">
        <v>1863</v>
      </c>
      <c r="E924" s="2" t="s">
        <v>168</v>
      </c>
      <c r="F924" s="2" t="s">
        <v>41</v>
      </c>
      <c r="G924" s="2" t="s">
        <v>27</v>
      </c>
      <c r="H924" s="2" t="s">
        <v>174</v>
      </c>
      <c r="I924" s="2" t="s">
        <v>175</v>
      </c>
      <c r="J924" s="2" t="s">
        <v>30</v>
      </c>
      <c r="K924" s="2" t="s">
        <v>156</v>
      </c>
      <c r="L924" s="2" t="s">
        <v>1864</v>
      </c>
      <c r="M924" s="2" t="s">
        <v>33</v>
      </c>
      <c r="N924" s="2">
        <v>9</v>
      </c>
      <c r="O924" s="2">
        <v>1118.68</v>
      </c>
      <c r="P924" s="2">
        <v>0</v>
      </c>
      <c r="Q924" s="2">
        <v>10348.43</v>
      </c>
      <c r="R924" s="2">
        <v>8595.3700000000008</v>
      </c>
      <c r="S924" s="2">
        <v>1472.75</v>
      </c>
      <c r="T924" s="2" t="s">
        <v>34</v>
      </c>
      <c r="U924" s="2" t="s">
        <v>125</v>
      </c>
      <c r="V924" s="2" t="str">
        <f t="shared" si="42"/>
        <v>ORD-2025-103742025-04-132025-04-13CUST-8566Sneha KapoorSmall BusinessNorthUttar PradeshNoidaOffice SuppliesStoragePrime Storage 951Second Class91118.68010348.438595.371472.75PaidReturned</v>
      </c>
      <c r="W924" s="2">
        <f t="shared" si="43"/>
        <v>1</v>
      </c>
      <c r="X924">
        <f t="shared" si="44"/>
        <v>2</v>
      </c>
      <c r="Y924" s="2" t="s">
        <v>4097</v>
      </c>
    </row>
    <row r="925" spans="1:25">
      <c r="A925" s="2" t="s">
        <v>1189</v>
      </c>
      <c r="B925" s="2" t="s">
        <v>1190</v>
      </c>
      <c r="C925" s="2" t="s">
        <v>1191</v>
      </c>
      <c r="D925" s="2" t="s">
        <v>1192</v>
      </c>
      <c r="E925" s="2" t="s">
        <v>53</v>
      </c>
      <c r="F925" s="2" t="s">
        <v>41</v>
      </c>
      <c r="G925" s="2" t="s">
        <v>27</v>
      </c>
      <c r="H925" s="2" t="s">
        <v>154</v>
      </c>
      <c r="I925" s="2" t="s">
        <v>155</v>
      </c>
      <c r="J925" s="2" t="s">
        <v>45</v>
      </c>
      <c r="K925" s="2" t="s">
        <v>65</v>
      </c>
      <c r="L925" s="2" t="s">
        <v>1193</v>
      </c>
      <c r="M925" s="2" t="s">
        <v>67</v>
      </c>
      <c r="N925" s="2">
        <v>4</v>
      </c>
      <c r="O925" s="2">
        <v>3944.64</v>
      </c>
      <c r="P925" s="2">
        <v>0.25</v>
      </c>
      <c r="Q925" s="2">
        <v>12116.89</v>
      </c>
      <c r="R925" s="2">
        <v>6682.92</v>
      </c>
      <c r="S925" s="2">
        <v>5151</v>
      </c>
      <c r="T925" s="2" t="s">
        <v>34</v>
      </c>
      <c r="U925" s="2" t="s">
        <v>125</v>
      </c>
      <c r="V925" s="2" t="str">
        <f t="shared" si="42"/>
        <v>ORD-2025-1022510/02/202508 Oct 2025CUST-9871Isha NairSmall BusinessNorthPunjabLudhianaFurnitureFurnishingsClassic Furnishings 109Standard Class43944.640.2512116.896682.925151PaidReturned</v>
      </c>
      <c r="W925" s="2">
        <f t="shared" si="43"/>
        <v>1</v>
      </c>
      <c r="X925">
        <f t="shared" si="44"/>
        <v>2</v>
      </c>
      <c r="Y925" s="2" t="s">
        <v>4097</v>
      </c>
    </row>
    <row r="926" spans="1:25">
      <c r="A926" s="2" t="s">
        <v>1602</v>
      </c>
      <c r="B926" s="2" t="s">
        <v>1104</v>
      </c>
      <c r="C926" s="2" t="s">
        <v>118</v>
      </c>
      <c r="D926" s="2" t="s">
        <v>1603</v>
      </c>
      <c r="E926" s="2" t="s">
        <v>53</v>
      </c>
      <c r="F926" s="2" t="s">
        <v>108</v>
      </c>
      <c r="G926" s="2" t="s">
        <v>73</v>
      </c>
      <c r="H926" s="2" t="s">
        <v>84</v>
      </c>
      <c r="I926" s="2" t="s">
        <v>85</v>
      </c>
      <c r="J926" s="2" t="s">
        <v>30</v>
      </c>
      <c r="K926" s="2" t="s">
        <v>109</v>
      </c>
      <c r="L926" s="2" t="s">
        <v>1604</v>
      </c>
      <c r="M926" s="2" t="s">
        <v>67</v>
      </c>
      <c r="N926" s="2">
        <v>9</v>
      </c>
      <c r="O926" s="2">
        <v>847.76</v>
      </c>
      <c r="P926" s="2">
        <v>0.15</v>
      </c>
      <c r="Q926" s="2">
        <v>6589.37</v>
      </c>
      <c r="R926" s="2">
        <v>5376.17</v>
      </c>
      <c r="S926" s="2">
        <v>1109.19</v>
      </c>
      <c r="T926" s="2" t="s">
        <v>200</v>
      </c>
      <c r="U926" s="2" t="s">
        <v>35</v>
      </c>
      <c r="V926" s="2" t="str">
        <f t="shared" si="42"/>
        <v>ORD-2025-1031505/18/202520 May 2025CUST-1945Isha NairCorporateWestMadhya PradeshIndoreOffice SuppliesLabelsElite Labels 544Standard Class9847.760.156589.375376.171109.19FailedCompleted</v>
      </c>
      <c r="W926" s="2">
        <f t="shared" si="43"/>
        <v>1</v>
      </c>
      <c r="X926">
        <f t="shared" si="44"/>
        <v>2</v>
      </c>
      <c r="Y926" s="2" t="s">
        <v>4097</v>
      </c>
    </row>
    <row r="927" spans="1:25">
      <c r="A927" s="2" t="s">
        <v>934</v>
      </c>
      <c r="B927" s="2" t="s">
        <v>112</v>
      </c>
      <c r="C927" s="2" t="s">
        <v>935</v>
      </c>
      <c r="D927" s="2" t="s">
        <v>936</v>
      </c>
      <c r="E927" s="2" t="s">
        <v>180</v>
      </c>
      <c r="F927" s="2" t="s">
        <v>108</v>
      </c>
      <c r="G927" s="2" t="s">
        <v>42</v>
      </c>
      <c r="H927" s="2" t="s">
        <v>186</v>
      </c>
      <c r="I927" s="2" t="s">
        <v>187</v>
      </c>
      <c r="J927" s="2" t="s">
        <v>86</v>
      </c>
      <c r="K927" s="2" t="s">
        <v>94</v>
      </c>
      <c r="L927" s="2" t="s">
        <v>937</v>
      </c>
      <c r="M927" s="2" t="s">
        <v>67</v>
      </c>
      <c r="N927" s="2">
        <v>3</v>
      </c>
      <c r="O927" s="2">
        <v>1711.32</v>
      </c>
      <c r="P927" s="2">
        <v>0</v>
      </c>
      <c r="Q927" s="2">
        <v>5206.53</v>
      </c>
      <c r="R927" s="2">
        <v>3930</v>
      </c>
      <c r="S927" s="2">
        <v>1203.96</v>
      </c>
      <c r="T927" s="2" t="s">
        <v>34</v>
      </c>
      <c r="U927" s="2" t="s">
        <v>125</v>
      </c>
      <c r="V927" s="2" t="str">
        <f t="shared" si="42"/>
        <v>ORD-2025-1017107-09-202509/15/2025CUST-3734Rohan MehtaCorporateEastBiharPatnaTechnologyCopiersEco Copiers 102Standard Class31711.3205206.5339301203.96PaidReturned</v>
      </c>
      <c r="W927" s="2">
        <f t="shared" si="43"/>
        <v>1</v>
      </c>
      <c r="X927">
        <f t="shared" si="44"/>
        <v>2</v>
      </c>
      <c r="Y927" s="2" t="s">
        <v>4097</v>
      </c>
    </row>
    <row r="928" spans="1:25">
      <c r="A928" s="2" t="s">
        <v>2087</v>
      </c>
      <c r="B928" s="2" t="s">
        <v>2088</v>
      </c>
      <c r="C928" s="2" t="s">
        <v>2089</v>
      </c>
      <c r="D928" s="2" t="s">
        <v>2090</v>
      </c>
      <c r="E928" s="2" t="s">
        <v>210</v>
      </c>
      <c r="F928" s="2" t="s">
        <v>26</v>
      </c>
      <c r="G928" s="2" t="s">
        <v>62</v>
      </c>
      <c r="H928" s="2" t="s">
        <v>242</v>
      </c>
      <c r="I928" s="2" t="s">
        <v>243</v>
      </c>
      <c r="J928" s="2" t="s">
        <v>86</v>
      </c>
      <c r="K928" s="2" t="s">
        <v>87</v>
      </c>
      <c r="L928" s="2" t="s">
        <v>2091</v>
      </c>
      <c r="M928" s="2" t="s">
        <v>2092</v>
      </c>
      <c r="N928" s="2">
        <v>9</v>
      </c>
      <c r="O928" s="2">
        <v>3779.31</v>
      </c>
      <c r="P928" s="2">
        <v>0.2</v>
      </c>
      <c r="Q928" s="2">
        <v>27322.9</v>
      </c>
      <c r="R928" s="2">
        <v>17940.43</v>
      </c>
      <c r="S928" s="2">
        <v>9270.6</v>
      </c>
      <c r="T928" s="2" t="s">
        <v>34</v>
      </c>
      <c r="U928" s="2" t="s">
        <v>125</v>
      </c>
      <c r="V928" s="2" t="str">
        <f t="shared" si="42"/>
        <v>ORD-2024-104242024-02-2027-02-2024CUST-6169Diya PatelConsumerSouthKeralaKochiTechnologyAccessoriesPrime Accessories 236FIRST CLASS93779.310.227322.917940.439270.6PaidReturned</v>
      </c>
      <c r="W928" s="2">
        <f t="shared" si="43"/>
        <v>1</v>
      </c>
      <c r="X928">
        <f t="shared" si="44"/>
        <v>2</v>
      </c>
      <c r="Y928" s="2" t="s">
        <v>4097</v>
      </c>
    </row>
    <row r="929" spans="1:25">
      <c r="A929" s="2" t="s">
        <v>2739</v>
      </c>
      <c r="B929" s="2" t="s">
        <v>2675</v>
      </c>
      <c r="C929" s="2" t="s">
        <v>2740</v>
      </c>
      <c r="D929" s="2" t="s">
        <v>2741</v>
      </c>
      <c r="E929" s="2" t="s">
        <v>142</v>
      </c>
      <c r="F929" s="2" t="s">
        <v>41</v>
      </c>
      <c r="G929" s="2" t="s">
        <v>27</v>
      </c>
      <c r="H929" s="2" t="s">
        <v>174</v>
      </c>
      <c r="I929" s="2" t="s">
        <v>175</v>
      </c>
      <c r="J929" s="2" t="s">
        <v>86</v>
      </c>
      <c r="K929" s="2" t="s">
        <v>223</v>
      </c>
      <c r="L929" s="2" t="s">
        <v>2742</v>
      </c>
      <c r="N929" s="2">
        <v>5</v>
      </c>
      <c r="O929" s="2">
        <v>4276.29</v>
      </c>
      <c r="P929" s="2">
        <v>0</v>
      </c>
      <c r="Q929" s="2">
        <v>21443.63</v>
      </c>
      <c r="R929" s="2">
        <v>13240.21</v>
      </c>
      <c r="S929" s="2">
        <v>8141.24</v>
      </c>
      <c r="T929" s="2" t="s">
        <v>200</v>
      </c>
      <c r="U929" s="2" t="s">
        <v>35</v>
      </c>
      <c r="V929" s="2" t="str">
        <f t="shared" si="42"/>
        <v>ORD-2025-1057210 Feb 20252025-02-14CUST-3425Priya MenonSmall BusinessNorthUttar PradeshNoidaTechnologyPhonesPrime Phones 89554276.29021443.6313240.218141.24FailedCompleted</v>
      </c>
      <c r="W929" s="2">
        <f t="shared" si="43"/>
        <v>1</v>
      </c>
      <c r="X929">
        <f t="shared" si="44"/>
        <v>2</v>
      </c>
      <c r="Y929" s="2" t="s">
        <v>4097</v>
      </c>
    </row>
    <row r="930" spans="1:25">
      <c r="A930" s="2" t="s">
        <v>800</v>
      </c>
      <c r="B930" s="2" t="s">
        <v>801</v>
      </c>
      <c r="C930" s="2" t="s">
        <v>802</v>
      </c>
      <c r="D930" s="2" t="s">
        <v>803</v>
      </c>
      <c r="E930" s="2" t="s">
        <v>107</v>
      </c>
      <c r="F930" s="2" t="s">
        <v>115</v>
      </c>
      <c r="G930" s="2" t="s">
        <v>27</v>
      </c>
      <c r="H930" s="2" t="s">
        <v>28</v>
      </c>
      <c r="I930" s="2" t="s">
        <v>29</v>
      </c>
      <c r="J930" s="2" t="s">
        <v>86</v>
      </c>
      <c r="K930" s="2" t="s">
        <v>223</v>
      </c>
      <c r="L930" s="2" t="s">
        <v>804</v>
      </c>
      <c r="M930" s="2" t="s">
        <v>33</v>
      </c>
      <c r="N930" s="2">
        <v>5</v>
      </c>
      <c r="O930" s="2">
        <v>907.54</v>
      </c>
      <c r="P930" s="2">
        <v>0.15</v>
      </c>
      <c r="Q930" s="2">
        <v>4099.6899999999996</v>
      </c>
      <c r="R930" s="2">
        <v>2769.26</v>
      </c>
      <c r="S930" s="2">
        <v>1087.78</v>
      </c>
      <c r="T930" s="2" t="s">
        <v>34</v>
      </c>
      <c r="U930" s="2" t="s">
        <v>125</v>
      </c>
      <c r="V930" s="2" t="str">
        <f t="shared" si="42"/>
        <v>ORD-2024-1014330 Mar 202426 Mar 2024CUST-8944Aditi SenHome OfficeNorthRajasthanJaipurTechnologyPhonesClassic Phones 142Second Class5907.540.154099.692769.261087.78PaidReturned</v>
      </c>
      <c r="W930" s="2">
        <f t="shared" si="43"/>
        <v>1</v>
      </c>
      <c r="X930">
        <f t="shared" si="44"/>
        <v>2</v>
      </c>
      <c r="Y930" s="2" t="s">
        <v>4097</v>
      </c>
    </row>
    <row r="931" spans="1:25">
      <c r="A931" s="2" t="s">
        <v>1408</v>
      </c>
      <c r="B931" s="2" t="s">
        <v>1409</v>
      </c>
      <c r="C931" s="2" t="s">
        <v>1410</v>
      </c>
      <c r="D931" s="2" t="s">
        <v>1411</v>
      </c>
      <c r="E931" s="2" t="s">
        <v>61</v>
      </c>
      <c r="F931" s="2" t="s">
        <v>26</v>
      </c>
      <c r="G931" s="2" t="s">
        <v>62</v>
      </c>
      <c r="H931" s="2" t="s">
        <v>100</v>
      </c>
      <c r="I931" s="2" t="s">
        <v>101</v>
      </c>
      <c r="J931" s="2" t="s">
        <v>45</v>
      </c>
      <c r="K931" s="2" t="s">
        <v>76</v>
      </c>
      <c r="L931" s="2" t="s">
        <v>1412</v>
      </c>
      <c r="M931" s="2" t="s">
        <v>56</v>
      </c>
      <c r="N931" s="2">
        <v>7</v>
      </c>
      <c r="O931" s="2">
        <v>557.21</v>
      </c>
      <c r="P931" s="2">
        <v>0.1</v>
      </c>
      <c r="Q931" s="2">
        <v>3797.79</v>
      </c>
      <c r="R931" s="2">
        <v>2191.5</v>
      </c>
      <c r="S931" s="2">
        <v>1213.48</v>
      </c>
      <c r="T931" s="2" t="s">
        <v>34</v>
      </c>
      <c r="U931" s="2" t="s">
        <v>125</v>
      </c>
      <c r="V931" s="2" t="str">
        <f t="shared" si="42"/>
        <v>ORD-2024-1027308/18/202424 Aug 2024CUST-7389Arjun BoseConsumerSouthAndhra PradeshVijayawadaFurnitureChairsEco Chairs 314First Class7557.210.13797.792191.51213.48PaidReturned</v>
      </c>
      <c r="W931" s="2">
        <f t="shared" si="43"/>
        <v>1</v>
      </c>
      <c r="X931">
        <f t="shared" si="44"/>
        <v>2</v>
      </c>
      <c r="Y931" s="2" t="s">
        <v>4097</v>
      </c>
    </row>
    <row r="932" spans="1:25">
      <c r="A932" s="2" t="s">
        <v>708</v>
      </c>
      <c r="B932" s="2" t="s">
        <v>709</v>
      </c>
      <c r="C932" s="2" t="s">
        <v>710</v>
      </c>
      <c r="D932" s="2" t="s">
        <v>711</v>
      </c>
      <c r="E932" s="2" t="s">
        <v>168</v>
      </c>
      <c r="F932" s="2" t="s">
        <v>41</v>
      </c>
      <c r="G932" s="2" t="s">
        <v>712</v>
      </c>
      <c r="H932" s="2" t="s">
        <v>154</v>
      </c>
      <c r="I932" s="2" t="s">
        <v>155</v>
      </c>
      <c r="J932" s="2" t="s">
        <v>86</v>
      </c>
      <c r="K932" s="2" t="s">
        <v>94</v>
      </c>
      <c r="L932" s="2" t="s">
        <v>713</v>
      </c>
      <c r="M932" s="2" t="s">
        <v>48</v>
      </c>
      <c r="N932" s="2">
        <v>1</v>
      </c>
      <c r="O932" s="2">
        <v>634.13</v>
      </c>
      <c r="P932" s="2">
        <v>0</v>
      </c>
      <c r="Q932" s="2">
        <v>808.67</v>
      </c>
      <c r="R932" s="2">
        <v>453.35</v>
      </c>
      <c r="S932" s="2">
        <v>180.78</v>
      </c>
      <c r="T932" s="2" t="s">
        <v>124</v>
      </c>
      <c r="U932" s="2" t="s">
        <v>125</v>
      </c>
      <c r="V932" s="2" t="str">
        <f t="shared" si="42"/>
        <v>ORD-2024-1012405/24/202425 May 2024CUST-1007Sneha KapoorSmall BusinessNORTHPunjabLudhianaTechnologyCopiersMax Copiers 970Same Day1634.130808.67453.35180.78RefundedReturned</v>
      </c>
      <c r="W932" s="2">
        <f t="shared" si="43"/>
        <v>1</v>
      </c>
      <c r="X932">
        <f t="shared" si="44"/>
        <v>3</v>
      </c>
      <c r="Y932" s="2" t="s">
        <v>4097</v>
      </c>
    </row>
    <row r="933" spans="1:25">
      <c r="A933" s="2" t="s">
        <v>1697</v>
      </c>
      <c r="B933" s="2" t="s">
        <v>1698</v>
      </c>
      <c r="C933" s="2" t="s">
        <v>1699</v>
      </c>
      <c r="D933" s="2" t="s">
        <v>1700</v>
      </c>
      <c r="E933" s="2" t="s">
        <v>148</v>
      </c>
      <c r="F933" s="2" t="s">
        <v>115</v>
      </c>
      <c r="G933" s="2" t="s">
        <v>73</v>
      </c>
      <c r="H933" s="2" t="s">
        <v>84</v>
      </c>
      <c r="I933" s="2" t="s">
        <v>85</v>
      </c>
      <c r="J933" s="2" t="s">
        <v>30</v>
      </c>
      <c r="K933" s="2" t="s">
        <v>31</v>
      </c>
      <c r="L933" s="2" t="s">
        <v>1701</v>
      </c>
      <c r="M933" s="2" t="s">
        <v>56</v>
      </c>
      <c r="N933" s="2">
        <v>3</v>
      </c>
      <c r="O933" s="2">
        <v>4289.37</v>
      </c>
      <c r="P933" s="2">
        <v>0.1</v>
      </c>
      <c r="Q933" s="2">
        <v>11778.71</v>
      </c>
      <c r="R933" s="2">
        <v>6829.43</v>
      </c>
      <c r="S933" s="2">
        <v>4751.87</v>
      </c>
      <c r="T933" s="2" t="s">
        <v>34</v>
      </c>
      <c r="U933" s="2" t="s">
        <v>125</v>
      </c>
      <c r="V933" s="2" t="str">
        <f t="shared" si="42"/>
        <v>ORD-2025-1033606/16/202518 Jun 2025CUST-3621Rahul VermaHome OfficeWestMadhya PradeshIndoreOffice SuppliesPaperPrime Paper 559First Class34289.370.111778.716829.434751.87PaidReturned</v>
      </c>
      <c r="W933" s="2">
        <f t="shared" si="43"/>
        <v>1</v>
      </c>
      <c r="X933">
        <f t="shared" si="44"/>
        <v>2</v>
      </c>
      <c r="Y933" s="2" t="s">
        <v>4097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B92B-2CDE-4AED-B19D-AB51ABA45F7C}">
  <dimension ref="B2:C6"/>
  <sheetViews>
    <sheetView workbookViewId="0">
      <selection activeCell="C7" sqref="C7"/>
    </sheetView>
  </sheetViews>
  <sheetFormatPr defaultRowHeight="14.5"/>
  <cols>
    <col min="1" max="1" width="2.54296875" customWidth="1"/>
    <col min="2" max="2" width="32.81640625" bestFit="1" customWidth="1"/>
    <col min="3" max="3" width="45.36328125" customWidth="1"/>
  </cols>
  <sheetData>
    <row r="2" spans="2:3">
      <c r="B2" s="4" t="s">
        <v>4088</v>
      </c>
      <c r="C2" s="4">
        <v>20</v>
      </c>
    </row>
    <row r="3" spans="2:3">
      <c r="B3" s="4" t="s">
        <v>4089</v>
      </c>
      <c r="C3" s="4">
        <v>32</v>
      </c>
    </row>
    <row r="4" spans="2:3">
      <c r="B4" s="4" t="s">
        <v>4090</v>
      </c>
      <c r="C4" s="4" t="s">
        <v>4098</v>
      </c>
    </row>
    <row r="5" spans="2:3">
      <c r="B5" s="4" t="s">
        <v>4091</v>
      </c>
      <c r="C5" s="4">
        <v>63</v>
      </c>
    </row>
    <row r="6" spans="2:3">
      <c r="B6" s="4" t="s">
        <v>4092</v>
      </c>
      <c r="C6" s="4" t="s">
        <v>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Handle duplicates</vt:lpstr>
      <vt:lpstr>Data Quality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Varma</dc:creator>
  <cp:lastModifiedBy>Mansi Varma</cp:lastModifiedBy>
  <dcterms:created xsi:type="dcterms:W3CDTF">2026-06-28T18:12:50Z</dcterms:created>
  <dcterms:modified xsi:type="dcterms:W3CDTF">2026-06-28T18:24:08Z</dcterms:modified>
</cp:coreProperties>
</file>