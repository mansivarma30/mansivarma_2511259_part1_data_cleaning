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versana-my.sharepoint.com/personal/mansi_varma_eversana_com/Documents/Mansi/BITSoM/Capstone Project/part1_data_cleaning/data/"/>
    </mc:Choice>
  </mc:AlternateContent>
  <xr:revisionPtr revIDLastSave="149" documentId="11_1FD5A050140D7F2077646DFF1D925265F49B9B61" xr6:coauthVersionLast="47" xr6:coauthVersionMax="47" xr10:uidLastSave="{F8BE4710-33E3-44AE-B3B7-6A4331267C6B}"/>
  <bookViews>
    <workbookView xWindow="-110" yWindow="-110" windowWidth="19420" windowHeight="10300" activeTab="2" xr2:uid="{00000000-000D-0000-FFFF-FFFF00000000}"/>
  </bookViews>
  <sheets>
    <sheet name="Raw data" sheetId="3" r:id="rId1"/>
    <sheet name="Clean text field &amp; Validat date" sheetId="1" r:id="rId2"/>
    <sheet name="Handle duplicates" sheetId="4" r:id="rId3"/>
    <sheet name="business_rule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33" i="4" l="1"/>
  <c r="AJ933" i="4"/>
  <c r="AI933" i="4"/>
  <c r="AH933" i="4"/>
  <c r="AG933" i="4"/>
  <c r="AF933" i="4"/>
  <c r="AK932" i="4"/>
  <c r="AJ932" i="4"/>
  <c r="AI932" i="4"/>
  <c r="AH932" i="4"/>
  <c r="AG932" i="4"/>
  <c r="AF932" i="4"/>
  <c r="AJ931" i="4"/>
  <c r="AI931" i="4"/>
  <c r="AH931" i="4"/>
  <c r="AG931" i="4"/>
  <c r="AF931" i="4"/>
  <c r="AK931" i="4" s="1"/>
  <c r="AG930" i="4"/>
  <c r="AF930" i="4"/>
  <c r="AG929" i="4"/>
  <c r="AI929" i="4" s="1"/>
  <c r="AF929" i="4"/>
  <c r="AK929" i="4" s="1"/>
  <c r="AJ928" i="4"/>
  <c r="AH928" i="4"/>
  <c r="AG928" i="4"/>
  <c r="AI928" i="4" s="1"/>
  <c r="AF928" i="4"/>
  <c r="AJ927" i="4"/>
  <c r="AI927" i="4"/>
  <c r="AH927" i="4"/>
  <c r="AG927" i="4"/>
  <c r="AF927" i="4"/>
  <c r="AK927" i="4" s="1"/>
  <c r="AG926" i="4"/>
  <c r="AF926" i="4"/>
  <c r="AI925" i="4"/>
  <c r="AG925" i="4"/>
  <c r="AF925" i="4"/>
  <c r="AK925" i="4" s="1"/>
  <c r="AJ924" i="4"/>
  <c r="AH924" i="4"/>
  <c r="AG924" i="4"/>
  <c r="AI924" i="4" s="1"/>
  <c r="AF924" i="4"/>
  <c r="AJ923" i="4"/>
  <c r="AI923" i="4"/>
  <c r="AH923" i="4"/>
  <c r="AG923" i="4"/>
  <c r="AF923" i="4"/>
  <c r="AK923" i="4" s="1"/>
  <c r="AI922" i="4"/>
  <c r="AG922" i="4"/>
  <c r="AF922" i="4"/>
  <c r="AI921" i="4"/>
  <c r="AG921" i="4"/>
  <c r="AF921" i="4"/>
  <c r="AK921" i="4" s="1"/>
  <c r="AJ920" i="4"/>
  <c r="AH920" i="4"/>
  <c r="AG920" i="4"/>
  <c r="AI920" i="4" s="1"/>
  <c r="AF920" i="4"/>
  <c r="AJ919" i="4"/>
  <c r="AI919" i="4"/>
  <c r="AH919" i="4"/>
  <c r="AG919" i="4"/>
  <c r="AF919" i="4"/>
  <c r="AK919" i="4" s="1"/>
  <c r="AI918" i="4"/>
  <c r="AG918" i="4"/>
  <c r="AF918" i="4"/>
  <c r="AI917" i="4"/>
  <c r="AG917" i="4"/>
  <c r="AF917" i="4"/>
  <c r="AK917" i="4" s="1"/>
  <c r="AJ916" i="4"/>
  <c r="AH916" i="4"/>
  <c r="AG916" i="4"/>
  <c r="AI916" i="4" s="1"/>
  <c r="AF916" i="4"/>
  <c r="AJ915" i="4"/>
  <c r="AI915" i="4"/>
  <c r="AH915" i="4"/>
  <c r="AG915" i="4"/>
  <c r="AF915" i="4"/>
  <c r="AK915" i="4" s="1"/>
  <c r="AG914" i="4"/>
  <c r="AJ914" i="4" s="1"/>
  <c r="AF914" i="4"/>
  <c r="AI913" i="4"/>
  <c r="AG913" i="4"/>
  <c r="AF913" i="4"/>
  <c r="AK913" i="4" s="1"/>
  <c r="AJ912" i="4"/>
  <c r="AH912" i="4"/>
  <c r="AG912" i="4"/>
  <c r="AI912" i="4" s="1"/>
  <c r="AF912" i="4"/>
  <c r="AJ911" i="4"/>
  <c r="AI911" i="4"/>
  <c r="AH911" i="4"/>
  <c r="AG911" i="4"/>
  <c r="AF911" i="4"/>
  <c r="AK911" i="4" s="1"/>
  <c r="AG910" i="4"/>
  <c r="AF910" i="4"/>
  <c r="AI909" i="4"/>
  <c r="AG909" i="4"/>
  <c r="AF909" i="4"/>
  <c r="AK909" i="4" s="1"/>
  <c r="AJ908" i="4"/>
  <c r="AH908" i="4"/>
  <c r="AG908" i="4"/>
  <c r="AI908" i="4" s="1"/>
  <c r="AF908" i="4"/>
  <c r="AJ907" i="4"/>
  <c r="AI907" i="4"/>
  <c r="AH907" i="4"/>
  <c r="AG907" i="4"/>
  <c r="AF907" i="4"/>
  <c r="AK907" i="4" s="1"/>
  <c r="AG906" i="4"/>
  <c r="AF906" i="4"/>
  <c r="AI905" i="4"/>
  <c r="AG905" i="4"/>
  <c r="AF905" i="4"/>
  <c r="AK905" i="4" s="1"/>
  <c r="AJ904" i="4"/>
  <c r="AH904" i="4"/>
  <c r="AG904" i="4"/>
  <c r="AI904" i="4" s="1"/>
  <c r="AF904" i="4"/>
  <c r="AJ903" i="4"/>
  <c r="AI903" i="4"/>
  <c r="AH903" i="4"/>
  <c r="AG903" i="4"/>
  <c r="AF903" i="4"/>
  <c r="AK903" i="4" s="1"/>
  <c r="AG902" i="4"/>
  <c r="AF902" i="4"/>
  <c r="AI901" i="4"/>
  <c r="AG901" i="4"/>
  <c r="AF901" i="4"/>
  <c r="AK901" i="4" s="1"/>
  <c r="AJ900" i="4"/>
  <c r="AH900" i="4"/>
  <c r="AG900" i="4"/>
  <c r="AI900" i="4" s="1"/>
  <c r="AF900" i="4"/>
  <c r="AJ899" i="4"/>
  <c r="AI899" i="4"/>
  <c r="AH899" i="4"/>
  <c r="AG899" i="4"/>
  <c r="AF899" i="4"/>
  <c r="AK899" i="4" s="1"/>
  <c r="AG898" i="4"/>
  <c r="AJ898" i="4" s="1"/>
  <c r="AF898" i="4"/>
  <c r="AI897" i="4"/>
  <c r="AG897" i="4"/>
  <c r="AF897" i="4"/>
  <c r="AK897" i="4" s="1"/>
  <c r="AJ896" i="4"/>
  <c r="AH896" i="4"/>
  <c r="AG896" i="4"/>
  <c r="AI896" i="4" s="1"/>
  <c r="AF896" i="4"/>
  <c r="AJ895" i="4"/>
  <c r="AI895" i="4"/>
  <c r="AH895" i="4"/>
  <c r="AG895" i="4"/>
  <c r="AF895" i="4"/>
  <c r="AK895" i="4" s="1"/>
  <c r="AG894" i="4"/>
  <c r="AF894" i="4"/>
  <c r="AI893" i="4"/>
  <c r="AG893" i="4"/>
  <c r="AF893" i="4"/>
  <c r="AK893" i="4" s="1"/>
  <c r="AJ892" i="4"/>
  <c r="AH892" i="4"/>
  <c r="AG892" i="4"/>
  <c r="AI892" i="4" s="1"/>
  <c r="AF892" i="4"/>
  <c r="AJ891" i="4"/>
  <c r="AI891" i="4"/>
  <c r="AH891" i="4"/>
  <c r="AG891" i="4"/>
  <c r="AF891" i="4"/>
  <c r="AK891" i="4" s="1"/>
  <c r="AG890" i="4"/>
  <c r="AF890" i="4"/>
  <c r="AI889" i="4"/>
  <c r="AG889" i="4"/>
  <c r="AF889" i="4"/>
  <c r="AK889" i="4" s="1"/>
  <c r="AJ888" i="4"/>
  <c r="AH888" i="4"/>
  <c r="AG888" i="4"/>
  <c r="AI888" i="4" s="1"/>
  <c r="AF888" i="4"/>
  <c r="AJ887" i="4"/>
  <c r="AI887" i="4"/>
  <c r="AH887" i="4"/>
  <c r="AG887" i="4"/>
  <c r="AF887" i="4"/>
  <c r="AK887" i="4" s="1"/>
  <c r="AG886" i="4"/>
  <c r="AF886" i="4"/>
  <c r="AI885" i="4"/>
  <c r="AG885" i="4"/>
  <c r="AF885" i="4"/>
  <c r="AK885" i="4" s="1"/>
  <c r="AJ884" i="4"/>
  <c r="AH884" i="4"/>
  <c r="AG884" i="4"/>
  <c r="AI884" i="4" s="1"/>
  <c r="AF884" i="4"/>
  <c r="AK884" i="4" s="1"/>
  <c r="AJ883" i="4"/>
  <c r="AI883" i="4"/>
  <c r="AH883" i="4"/>
  <c r="AG883" i="4"/>
  <c r="AF883" i="4"/>
  <c r="AK883" i="4" s="1"/>
  <c r="AG882" i="4"/>
  <c r="AJ882" i="4" s="1"/>
  <c r="AF882" i="4"/>
  <c r="AI881" i="4"/>
  <c r="AG881" i="4"/>
  <c r="AF881" i="4"/>
  <c r="AK881" i="4" s="1"/>
  <c r="AJ880" i="4"/>
  <c r="AH880" i="4"/>
  <c r="AG880" i="4"/>
  <c r="AI880" i="4" s="1"/>
  <c r="AF880" i="4"/>
  <c r="AK880" i="4" s="1"/>
  <c r="AJ879" i="4"/>
  <c r="AI879" i="4"/>
  <c r="AH879" i="4"/>
  <c r="AG879" i="4"/>
  <c r="AF879" i="4"/>
  <c r="AK879" i="4" s="1"/>
  <c r="AG878" i="4"/>
  <c r="AF878" i="4"/>
  <c r="AI877" i="4"/>
  <c r="AG877" i="4"/>
  <c r="AF877" i="4"/>
  <c r="AK877" i="4" s="1"/>
  <c r="AJ876" i="4"/>
  <c r="AH876" i="4"/>
  <c r="AG876" i="4"/>
  <c r="AI876" i="4" s="1"/>
  <c r="AF876" i="4"/>
  <c r="AJ875" i="4"/>
  <c r="AI875" i="4"/>
  <c r="AH875" i="4"/>
  <c r="AG875" i="4"/>
  <c r="AF875" i="4"/>
  <c r="AK875" i="4" s="1"/>
  <c r="AG874" i="4"/>
  <c r="AF874" i="4"/>
  <c r="AI873" i="4"/>
  <c r="AG873" i="4"/>
  <c r="AF873" i="4"/>
  <c r="AK873" i="4" s="1"/>
  <c r="AJ872" i="4"/>
  <c r="AH872" i="4"/>
  <c r="AG872" i="4"/>
  <c r="AI872" i="4" s="1"/>
  <c r="AF872" i="4"/>
  <c r="AJ871" i="4"/>
  <c r="AI871" i="4"/>
  <c r="AH871" i="4"/>
  <c r="AG871" i="4"/>
  <c r="AF871" i="4"/>
  <c r="AK871" i="4" s="1"/>
  <c r="AG870" i="4"/>
  <c r="AF870" i="4"/>
  <c r="AI869" i="4"/>
  <c r="AG869" i="4"/>
  <c r="AF869" i="4"/>
  <c r="AK869" i="4" s="1"/>
  <c r="AJ868" i="4"/>
  <c r="AH868" i="4"/>
  <c r="AG868" i="4"/>
  <c r="AI868" i="4" s="1"/>
  <c r="AF868" i="4"/>
  <c r="AJ867" i="4"/>
  <c r="AI867" i="4"/>
  <c r="AH867" i="4"/>
  <c r="AG867" i="4"/>
  <c r="AF867" i="4"/>
  <c r="AK867" i="4" s="1"/>
  <c r="AG866" i="4"/>
  <c r="AJ866" i="4" s="1"/>
  <c r="AF866" i="4"/>
  <c r="AI865" i="4"/>
  <c r="AG865" i="4"/>
  <c r="AF865" i="4"/>
  <c r="AK865" i="4" s="1"/>
  <c r="AJ864" i="4"/>
  <c r="AH864" i="4"/>
  <c r="AG864" i="4"/>
  <c r="AI864" i="4" s="1"/>
  <c r="AF864" i="4"/>
  <c r="AJ863" i="4"/>
  <c r="AI863" i="4"/>
  <c r="AH863" i="4"/>
  <c r="AG863" i="4"/>
  <c r="AF863" i="4"/>
  <c r="AK863" i="4" s="1"/>
  <c r="AG862" i="4"/>
  <c r="AF862" i="4"/>
  <c r="AI861" i="4"/>
  <c r="AG861" i="4"/>
  <c r="AF861" i="4"/>
  <c r="AK861" i="4" s="1"/>
  <c r="AJ860" i="4"/>
  <c r="AH860" i="4"/>
  <c r="AG860" i="4"/>
  <c r="AI860" i="4" s="1"/>
  <c r="AF860" i="4"/>
  <c r="AJ859" i="4"/>
  <c r="AI859" i="4"/>
  <c r="AH859" i="4"/>
  <c r="AG859" i="4"/>
  <c r="AF859" i="4"/>
  <c r="AK859" i="4" s="1"/>
  <c r="AG858" i="4"/>
  <c r="AF858" i="4"/>
  <c r="AI857" i="4"/>
  <c r="AG857" i="4"/>
  <c r="AF857" i="4"/>
  <c r="AK857" i="4" s="1"/>
  <c r="AJ856" i="4"/>
  <c r="AH856" i="4"/>
  <c r="AG856" i="4"/>
  <c r="AI856" i="4" s="1"/>
  <c r="AF856" i="4"/>
  <c r="AJ855" i="4"/>
  <c r="AI855" i="4"/>
  <c r="AH855" i="4"/>
  <c r="AG855" i="4"/>
  <c r="AF855" i="4"/>
  <c r="AK855" i="4" s="1"/>
  <c r="AG854" i="4"/>
  <c r="AJ854" i="4" s="1"/>
  <c r="AF854" i="4"/>
  <c r="AK854" i="4" s="1"/>
  <c r="AI853" i="4"/>
  <c r="AG853" i="4"/>
  <c r="AF853" i="4"/>
  <c r="AJ852" i="4"/>
  <c r="AH852" i="4"/>
  <c r="AG852" i="4"/>
  <c r="AI852" i="4" s="1"/>
  <c r="AF852" i="4"/>
  <c r="AJ851" i="4"/>
  <c r="AI851" i="4"/>
  <c r="AH851" i="4"/>
  <c r="AG851" i="4"/>
  <c r="AF851" i="4"/>
  <c r="AK851" i="4" s="1"/>
  <c r="AG850" i="4"/>
  <c r="AF850" i="4"/>
  <c r="AK850" i="4" s="1"/>
  <c r="AI849" i="4"/>
  <c r="AG849" i="4"/>
  <c r="AF849" i="4"/>
  <c r="AJ848" i="4"/>
  <c r="AH848" i="4"/>
  <c r="AG848" i="4"/>
  <c r="AI848" i="4" s="1"/>
  <c r="AF848" i="4"/>
  <c r="AJ847" i="4"/>
  <c r="AI847" i="4"/>
  <c r="AH847" i="4"/>
  <c r="AG847" i="4"/>
  <c r="AF847" i="4"/>
  <c r="AK847" i="4" s="1"/>
  <c r="AH846" i="4"/>
  <c r="AG846" i="4"/>
  <c r="AJ846" i="4" s="1"/>
  <c r="AF846" i="4"/>
  <c r="AK846" i="4" s="1"/>
  <c r="AI845" i="4"/>
  <c r="AG845" i="4"/>
  <c r="AF845" i="4"/>
  <c r="AK844" i="4"/>
  <c r="AJ844" i="4"/>
  <c r="AH844" i="4"/>
  <c r="AG844" i="4"/>
  <c r="AI844" i="4" s="1"/>
  <c r="AF844" i="4"/>
  <c r="AJ843" i="4"/>
  <c r="AI843" i="4"/>
  <c r="AH843" i="4"/>
  <c r="AG843" i="4"/>
  <c r="AF843" i="4"/>
  <c r="AK843" i="4" s="1"/>
  <c r="AH842" i="4"/>
  <c r="AG842" i="4"/>
  <c r="AJ842" i="4" s="1"/>
  <c r="AF842" i="4"/>
  <c r="AK842" i="4" s="1"/>
  <c r="AI841" i="4"/>
  <c r="AG841" i="4"/>
  <c r="AF841" i="4"/>
  <c r="AK840" i="4"/>
  <c r="AJ840" i="4"/>
  <c r="AH840" i="4"/>
  <c r="AG840" i="4"/>
  <c r="AI840" i="4" s="1"/>
  <c r="AF840" i="4"/>
  <c r="AJ839" i="4"/>
  <c r="AI839" i="4"/>
  <c r="AH839" i="4"/>
  <c r="AG839" i="4"/>
  <c r="AF839" i="4"/>
  <c r="AK839" i="4" s="1"/>
  <c r="AH838" i="4"/>
  <c r="AG838" i="4"/>
  <c r="AJ838" i="4" s="1"/>
  <c r="AF838" i="4"/>
  <c r="AK838" i="4" s="1"/>
  <c r="AI837" i="4"/>
  <c r="AG837" i="4"/>
  <c r="AF837" i="4"/>
  <c r="AK836" i="4"/>
  <c r="AJ836" i="4"/>
  <c r="AH836" i="4"/>
  <c r="AG836" i="4"/>
  <c r="AI836" i="4" s="1"/>
  <c r="AF836" i="4"/>
  <c r="AJ835" i="4"/>
  <c r="AI835" i="4"/>
  <c r="AH835" i="4"/>
  <c r="AG835" i="4"/>
  <c r="AF835" i="4"/>
  <c r="AK835" i="4" s="1"/>
  <c r="AH834" i="4"/>
  <c r="AG834" i="4"/>
  <c r="AJ834" i="4" s="1"/>
  <c r="AF834" i="4"/>
  <c r="AK834" i="4" s="1"/>
  <c r="AI833" i="4"/>
  <c r="AG833" i="4"/>
  <c r="AF833" i="4"/>
  <c r="AK832" i="4"/>
  <c r="AJ832" i="4"/>
  <c r="AH832" i="4"/>
  <c r="AG832" i="4"/>
  <c r="AI832" i="4" s="1"/>
  <c r="AF832" i="4"/>
  <c r="AJ831" i="4"/>
  <c r="AI831" i="4"/>
  <c r="AH831" i="4"/>
  <c r="AG831" i="4"/>
  <c r="AF831" i="4"/>
  <c r="AK831" i="4" s="1"/>
  <c r="AH830" i="4"/>
  <c r="AG830" i="4"/>
  <c r="AF830" i="4"/>
  <c r="AK830" i="4" s="1"/>
  <c r="AI829" i="4"/>
  <c r="AG829" i="4"/>
  <c r="AF829" i="4"/>
  <c r="AK828" i="4"/>
  <c r="AJ828" i="4"/>
  <c r="AH828" i="4"/>
  <c r="AG828" i="4"/>
  <c r="AI828" i="4" s="1"/>
  <c r="AF828" i="4"/>
  <c r="AJ827" i="4"/>
  <c r="AI827" i="4"/>
  <c r="AH827" i="4"/>
  <c r="AG827" i="4"/>
  <c r="AF827" i="4"/>
  <c r="AK827" i="4" s="1"/>
  <c r="AH826" i="4"/>
  <c r="AG826" i="4"/>
  <c r="AF826" i="4"/>
  <c r="AK826" i="4" s="1"/>
  <c r="AI825" i="4"/>
  <c r="AG825" i="4"/>
  <c r="AF825" i="4"/>
  <c r="AK824" i="4"/>
  <c r="AJ824" i="4"/>
  <c r="AH824" i="4"/>
  <c r="AG824" i="4"/>
  <c r="AI824" i="4" s="1"/>
  <c r="AF824" i="4"/>
  <c r="AJ823" i="4"/>
  <c r="AI823" i="4"/>
  <c r="AH823" i="4"/>
  <c r="AG823" i="4"/>
  <c r="AF823" i="4"/>
  <c r="AK823" i="4" s="1"/>
  <c r="AH822" i="4"/>
  <c r="AG822" i="4"/>
  <c r="AF822" i="4"/>
  <c r="AK822" i="4" s="1"/>
  <c r="AI821" i="4"/>
  <c r="AG821" i="4"/>
  <c r="AF821" i="4"/>
  <c r="AK820" i="4"/>
  <c r="AJ820" i="4"/>
  <c r="AH820" i="4"/>
  <c r="AG820" i="4"/>
  <c r="AI820" i="4" s="1"/>
  <c r="AF820" i="4"/>
  <c r="AJ819" i="4"/>
  <c r="AI819" i="4"/>
  <c r="AH819" i="4"/>
  <c r="AG819" i="4"/>
  <c r="AF819" i="4"/>
  <c r="AK819" i="4" s="1"/>
  <c r="AH818" i="4"/>
  <c r="AG818" i="4"/>
  <c r="AF818" i="4"/>
  <c r="AK818" i="4" s="1"/>
  <c r="AI817" i="4"/>
  <c r="AG817" i="4"/>
  <c r="AF817" i="4"/>
  <c r="AK816" i="4"/>
  <c r="AJ816" i="4"/>
  <c r="AH816" i="4"/>
  <c r="AG816" i="4"/>
  <c r="AI816" i="4" s="1"/>
  <c r="AF816" i="4"/>
  <c r="AJ815" i="4"/>
  <c r="AI815" i="4"/>
  <c r="AH815" i="4"/>
  <c r="AG815" i="4"/>
  <c r="AF815" i="4"/>
  <c r="AK815" i="4" s="1"/>
  <c r="AH814" i="4"/>
  <c r="AG814" i="4"/>
  <c r="AF814" i="4"/>
  <c r="AK814" i="4" s="1"/>
  <c r="AI813" i="4"/>
  <c r="AG813" i="4"/>
  <c r="AF813" i="4"/>
  <c r="AK812" i="4"/>
  <c r="AJ812" i="4"/>
  <c r="AH812" i="4"/>
  <c r="AG812" i="4"/>
  <c r="AI812" i="4" s="1"/>
  <c r="AF812" i="4"/>
  <c r="AJ811" i="4"/>
  <c r="AI811" i="4"/>
  <c r="AH811" i="4"/>
  <c r="AG811" i="4"/>
  <c r="AF811" i="4"/>
  <c r="AK811" i="4" s="1"/>
  <c r="AH810" i="4"/>
  <c r="AG810" i="4"/>
  <c r="AF810" i="4"/>
  <c r="AK810" i="4" s="1"/>
  <c r="AI809" i="4"/>
  <c r="AG809" i="4"/>
  <c r="AF809" i="4"/>
  <c r="AK808" i="4"/>
  <c r="AJ808" i="4"/>
  <c r="AH808" i="4"/>
  <c r="AG808" i="4"/>
  <c r="AI808" i="4" s="1"/>
  <c r="AF808" i="4"/>
  <c r="AJ807" i="4"/>
  <c r="AI807" i="4"/>
  <c r="AH807" i="4"/>
  <c r="AG807" i="4"/>
  <c r="AF807" i="4"/>
  <c r="AK807" i="4" s="1"/>
  <c r="AH806" i="4"/>
  <c r="AG806" i="4"/>
  <c r="AF806" i="4"/>
  <c r="AK806" i="4" s="1"/>
  <c r="AI805" i="4"/>
  <c r="AG805" i="4"/>
  <c r="AF805" i="4"/>
  <c r="AK804" i="4"/>
  <c r="AJ804" i="4"/>
  <c r="AH804" i="4"/>
  <c r="AG804" i="4"/>
  <c r="AI804" i="4" s="1"/>
  <c r="AF804" i="4"/>
  <c r="AJ803" i="4"/>
  <c r="AI803" i="4"/>
  <c r="AH803" i="4"/>
  <c r="AG803" i="4"/>
  <c r="AF803" i="4"/>
  <c r="AK803" i="4" s="1"/>
  <c r="AG802" i="4"/>
  <c r="AF802" i="4"/>
  <c r="AK802" i="4" s="1"/>
  <c r="AJ801" i="4"/>
  <c r="AI801" i="4"/>
  <c r="AG801" i="4"/>
  <c r="AF801" i="4"/>
  <c r="AK800" i="4"/>
  <c r="AJ800" i="4"/>
  <c r="AH800" i="4"/>
  <c r="AG800" i="4"/>
  <c r="AI800" i="4" s="1"/>
  <c r="AF800" i="4"/>
  <c r="AI799" i="4"/>
  <c r="AG799" i="4"/>
  <c r="AF799" i="4"/>
  <c r="AK799" i="4" s="1"/>
  <c r="AG798" i="4"/>
  <c r="AJ798" i="4" s="1"/>
  <c r="AF798" i="4"/>
  <c r="AK798" i="4" s="1"/>
  <c r="AI797" i="4"/>
  <c r="AG797" i="4"/>
  <c r="AF797" i="4"/>
  <c r="AJ797" i="4" s="1"/>
  <c r="AK796" i="4"/>
  <c r="AJ796" i="4"/>
  <c r="AH796" i="4"/>
  <c r="AG796" i="4"/>
  <c r="AI796" i="4" s="1"/>
  <c r="AF796" i="4"/>
  <c r="AJ795" i="4"/>
  <c r="AI795" i="4"/>
  <c r="AH795" i="4"/>
  <c r="AG795" i="4"/>
  <c r="AF795" i="4"/>
  <c r="AK795" i="4" s="1"/>
  <c r="AH794" i="4"/>
  <c r="AG794" i="4"/>
  <c r="AF794" i="4"/>
  <c r="AJ793" i="4"/>
  <c r="AI793" i="4"/>
  <c r="AG793" i="4"/>
  <c r="AF793" i="4"/>
  <c r="AK792" i="4"/>
  <c r="AJ792" i="4"/>
  <c r="AH792" i="4"/>
  <c r="AG792" i="4"/>
  <c r="AI792" i="4" s="1"/>
  <c r="AF792" i="4"/>
  <c r="AI791" i="4"/>
  <c r="AG791" i="4"/>
  <c r="AF791" i="4"/>
  <c r="AK791" i="4" s="1"/>
  <c r="AG790" i="4"/>
  <c r="AF790" i="4"/>
  <c r="AI789" i="4"/>
  <c r="AG789" i="4"/>
  <c r="AF789" i="4"/>
  <c r="AK788" i="4"/>
  <c r="AJ788" i="4"/>
  <c r="AH788" i="4"/>
  <c r="AG788" i="4"/>
  <c r="AI788" i="4" s="1"/>
  <c r="AF788" i="4"/>
  <c r="AJ787" i="4"/>
  <c r="AI787" i="4"/>
  <c r="AG787" i="4"/>
  <c r="AF787" i="4"/>
  <c r="AK787" i="4" s="1"/>
  <c r="AG786" i="4"/>
  <c r="AF786" i="4"/>
  <c r="AH786" i="4" s="1"/>
  <c r="AJ785" i="4"/>
  <c r="AI785" i="4"/>
  <c r="AG785" i="4"/>
  <c r="AF785" i="4"/>
  <c r="AK784" i="4"/>
  <c r="AJ784" i="4"/>
  <c r="AH784" i="4"/>
  <c r="AG784" i="4"/>
  <c r="AI784" i="4" s="1"/>
  <c r="AF784" i="4"/>
  <c r="AJ783" i="4"/>
  <c r="AI783" i="4"/>
  <c r="AH783" i="4"/>
  <c r="AG783" i="4"/>
  <c r="AF783" i="4"/>
  <c r="AK783" i="4" s="1"/>
  <c r="AH782" i="4"/>
  <c r="AG782" i="4"/>
  <c r="AF782" i="4"/>
  <c r="AK782" i="4" s="1"/>
  <c r="AJ781" i="4"/>
  <c r="AI781" i="4"/>
  <c r="AG781" i="4"/>
  <c r="AF781" i="4"/>
  <c r="AK780" i="4"/>
  <c r="AJ780" i="4"/>
  <c r="AH780" i="4"/>
  <c r="AG780" i="4"/>
  <c r="AI780" i="4" s="1"/>
  <c r="AF780" i="4"/>
  <c r="AI779" i="4"/>
  <c r="AG779" i="4"/>
  <c r="AF779" i="4"/>
  <c r="AG778" i="4"/>
  <c r="AF778" i="4"/>
  <c r="AK778" i="4" s="1"/>
  <c r="AJ777" i="4"/>
  <c r="AI777" i="4"/>
  <c r="AG777" i="4"/>
  <c r="AF777" i="4"/>
  <c r="AK776" i="4"/>
  <c r="AJ776" i="4"/>
  <c r="AH776" i="4"/>
  <c r="AG776" i="4"/>
  <c r="AI776" i="4" s="1"/>
  <c r="AF776" i="4"/>
  <c r="AJ775" i="4"/>
  <c r="AI775" i="4"/>
  <c r="AG775" i="4"/>
  <c r="AF775" i="4"/>
  <c r="AK775" i="4" s="1"/>
  <c r="AH774" i="4"/>
  <c r="AG774" i="4"/>
  <c r="AF774" i="4"/>
  <c r="AI773" i="4"/>
  <c r="AG773" i="4"/>
  <c r="AF773" i="4"/>
  <c r="AK772" i="4"/>
  <c r="AJ772" i="4"/>
  <c r="AH772" i="4"/>
  <c r="AG772" i="4"/>
  <c r="AI772" i="4" s="1"/>
  <c r="AF772" i="4"/>
  <c r="AI771" i="4"/>
  <c r="AH771" i="4"/>
  <c r="AG771" i="4"/>
  <c r="AF771" i="4"/>
  <c r="AK771" i="4" s="1"/>
  <c r="AK770" i="4"/>
  <c r="AG770" i="4"/>
  <c r="AF770" i="4"/>
  <c r="AH770" i="4" s="1"/>
  <c r="AI769" i="4"/>
  <c r="AG769" i="4"/>
  <c r="AF769" i="4"/>
  <c r="AJ769" i="4" s="1"/>
  <c r="AK768" i="4"/>
  <c r="AH768" i="4"/>
  <c r="AG768" i="4"/>
  <c r="AI768" i="4" s="1"/>
  <c r="AF768" i="4"/>
  <c r="AJ767" i="4"/>
  <c r="AI767" i="4"/>
  <c r="AH767" i="4"/>
  <c r="AG767" i="4"/>
  <c r="AF767" i="4"/>
  <c r="AK767" i="4" s="1"/>
  <c r="AG766" i="4"/>
  <c r="AF766" i="4"/>
  <c r="AI765" i="4"/>
  <c r="AG765" i="4"/>
  <c r="AF765" i="4"/>
  <c r="AH764" i="4"/>
  <c r="AG764" i="4"/>
  <c r="AF764" i="4"/>
  <c r="AJ763" i="4"/>
  <c r="AI763" i="4"/>
  <c r="AG763" i="4"/>
  <c r="AF763" i="4"/>
  <c r="AK763" i="4" s="1"/>
  <c r="AJ762" i="4"/>
  <c r="AH762" i="4"/>
  <c r="AG762" i="4"/>
  <c r="AI762" i="4" s="1"/>
  <c r="AF762" i="4"/>
  <c r="AK762" i="4" s="1"/>
  <c r="AG761" i="4"/>
  <c r="AF761" i="4"/>
  <c r="AH761" i="4" s="1"/>
  <c r="AK760" i="4"/>
  <c r="AJ760" i="4"/>
  <c r="AH760" i="4"/>
  <c r="AG760" i="4"/>
  <c r="AI760" i="4" s="1"/>
  <c r="AF760" i="4"/>
  <c r="AK759" i="4"/>
  <c r="AI759" i="4"/>
  <c r="AH759" i="4"/>
  <c r="AG759" i="4"/>
  <c r="AJ759" i="4" s="1"/>
  <c r="AF759" i="4"/>
  <c r="AI758" i="4"/>
  <c r="AG758" i="4"/>
  <c r="AJ758" i="4" s="1"/>
  <c r="AF758" i="4"/>
  <c r="AH758" i="4" s="1"/>
  <c r="AG757" i="4"/>
  <c r="AF757" i="4"/>
  <c r="AH757" i="4" s="1"/>
  <c r="AK756" i="4"/>
  <c r="AJ756" i="4"/>
  <c r="AH756" i="4"/>
  <c r="AG756" i="4"/>
  <c r="AI756" i="4" s="1"/>
  <c r="AF756" i="4"/>
  <c r="AK755" i="4"/>
  <c r="AI755" i="4"/>
  <c r="AH755" i="4"/>
  <c r="AG755" i="4"/>
  <c r="AJ755" i="4" s="1"/>
  <c r="AF755" i="4"/>
  <c r="AI754" i="4"/>
  <c r="AG754" i="4"/>
  <c r="AJ754" i="4" s="1"/>
  <c r="AF754" i="4"/>
  <c r="AH754" i="4" s="1"/>
  <c r="AG753" i="4"/>
  <c r="AF753" i="4"/>
  <c r="AH753" i="4" s="1"/>
  <c r="AK752" i="4"/>
  <c r="AJ752" i="4"/>
  <c r="AH752" i="4"/>
  <c r="AG752" i="4"/>
  <c r="AI752" i="4" s="1"/>
  <c r="AF752" i="4"/>
  <c r="AK751" i="4"/>
  <c r="AI751" i="4"/>
  <c r="AH751" i="4"/>
  <c r="AG751" i="4"/>
  <c r="AJ751" i="4" s="1"/>
  <c r="AF751" i="4"/>
  <c r="AI750" i="4"/>
  <c r="AG750" i="4"/>
  <c r="AJ750" i="4" s="1"/>
  <c r="AF750" i="4"/>
  <c r="AH750" i="4" s="1"/>
  <c r="AG749" i="4"/>
  <c r="AF749" i="4"/>
  <c r="AH749" i="4" s="1"/>
  <c r="AK748" i="4"/>
  <c r="AJ748" i="4"/>
  <c r="AH748" i="4"/>
  <c r="AG748" i="4"/>
  <c r="AI748" i="4" s="1"/>
  <c r="AF748" i="4"/>
  <c r="AK747" i="4"/>
  <c r="AI747" i="4"/>
  <c r="AH747" i="4"/>
  <c r="AG747" i="4"/>
  <c r="AJ747" i="4" s="1"/>
  <c r="AF747" i="4"/>
  <c r="AI746" i="4"/>
  <c r="AG746" i="4"/>
  <c r="AJ746" i="4" s="1"/>
  <c r="AF746" i="4"/>
  <c r="AH746" i="4" s="1"/>
  <c r="AG745" i="4"/>
  <c r="AF745" i="4"/>
  <c r="AH745" i="4" s="1"/>
  <c r="AK744" i="4"/>
  <c r="AJ744" i="4"/>
  <c r="AH744" i="4"/>
  <c r="AG744" i="4"/>
  <c r="AI744" i="4" s="1"/>
  <c r="AF744" i="4"/>
  <c r="AK743" i="4"/>
  <c r="AI743" i="4"/>
  <c r="AH743" i="4"/>
  <c r="AG743" i="4"/>
  <c r="AJ743" i="4" s="1"/>
  <c r="AF743" i="4"/>
  <c r="AI742" i="4"/>
  <c r="AG742" i="4"/>
  <c r="AJ742" i="4" s="1"/>
  <c r="AF742" i="4"/>
  <c r="AH742" i="4" s="1"/>
  <c r="AG741" i="4"/>
  <c r="AF741" i="4"/>
  <c r="AH741" i="4" s="1"/>
  <c r="AK740" i="4"/>
  <c r="AJ740" i="4"/>
  <c r="AH740" i="4"/>
  <c r="AG740" i="4"/>
  <c r="AI740" i="4" s="1"/>
  <c r="AF740" i="4"/>
  <c r="AK739" i="4"/>
  <c r="AI739" i="4"/>
  <c r="AH739" i="4"/>
  <c r="AG739" i="4"/>
  <c r="AJ739" i="4" s="1"/>
  <c r="AF739" i="4"/>
  <c r="AI738" i="4"/>
  <c r="AG738" i="4"/>
  <c r="AJ738" i="4" s="1"/>
  <c r="AF738" i="4"/>
  <c r="AH738" i="4" s="1"/>
  <c r="AG737" i="4"/>
  <c r="AF737" i="4"/>
  <c r="AH737" i="4" s="1"/>
  <c r="AK736" i="4"/>
  <c r="AJ736" i="4"/>
  <c r="AH736" i="4"/>
  <c r="AG736" i="4"/>
  <c r="AI736" i="4" s="1"/>
  <c r="AF736" i="4"/>
  <c r="AK735" i="4"/>
  <c r="AI735" i="4"/>
  <c r="AH735" i="4"/>
  <c r="AG735" i="4"/>
  <c r="AJ735" i="4" s="1"/>
  <c r="AF735" i="4"/>
  <c r="AI734" i="4"/>
  <c r="AG734" i="4"/>
  <c r="AJ734" i="4" s="1"/>
  <c r="AF734" i="4"/>
  <c r="AH734" i="4" s="1"/>
  <c r="AG733" i="4"/>
  <c r="AF733" i="4"/>
  <c r="AH733" i="4" s="1"/>
  <c r="AK732" i="4"/>
  <c r="AJ732" i="4"/>
  <c r="AH732" i="4"/>
  <c r="AG732" i="4"/>
  <c r="AI732" i="4" s="1"/>
  <c r="AF732" i="4"/>
  <c r="AK731" i="4"/>
  <c r="AI731" i="4"/>
  <c r="AH731" i="4"/>
  <c r="AG731" i="4"/>
  <c r="AJ731" i="4" s="1"/>
  <c r="AF731" i="4"/>
  <c r="AI730" i="4"/>
  <c r="AG730" i="4"/>
  <c r="AJ730" i="4" s="1"/>
  <c r="AF730" i="4"/>
  <c r="AH730" i="4" s="1"/>
  <c r="AG729" i="4"/>
  <c r="AF729" i="4"/>
  <c r="AH729" i="4" s="1"/>
  <c r="AK728" i="4"/>
  <c r="AJ728" i="4"/>
  <c r="AH728" i="4"/>
  <c r="AG728" i="4"/>
  <c r="AI728" i="4" s="1"/>
  <c r="AF728" i="4"/>
  <c r="AK727" i="4"/>
  <c r="AI727" i="4"/>
  <c r="AH727" i="4"/>
  <c r="AG727" i="4"/>
  <c r="AJ727" i="4" s="1"/>
  <c r="AF727" i="4"/>
  <c r="AI726" i="4"/>
  <c r="AG726" i="4"/>
  <c r="AJ726" i="4" s="1"/>
  <c r="AF726" i="4"/>
  <c r="AH726" i="4" s="1"/>
  <c r="AG725" i="4"/>
  <c r="AF725" i="4"/>
  <c r="AH725" i="4" s="1"/>
  <c r="AK724" i="4"/>
  <c r="AJ724" i="4"/>
  <c r="AH724" i="4"/>
  <c r="AG724" i="4"/>
  <c r="AI724" i="4" s="1"/>
  <c r="AF724" i="4"/>
  <c r="AK723" i="4"/>
  <c r="AI723" i="4"/>
  <c r="AH723" i="4"/>
  <c r="AG723" i="4"/>
  <c r="AJ723" i="4" s="1"/>
  <c r="AF723" i="4"/>
  <c r="AI722" i="4"/>
  <c r="AG722" i="4"/>
  <c r="AJ722" i="4" s="1"/>
  <c r="AF722" i="4"/>
  <c r="AH722" i="4" s="1"/>
  <c r="AG721" i="4"/>
  <c r="AF721" i="4"/>
  <c r="AH721" i="4" s="1"/>
  <c r="AK720" i="4"/>
  <c r="AJ720" i="4"/>
  <c r="AH720" i="4"/>
  <c r="AG720" i="4"/>
  <c r="AI720" i="4" s="1"/>
  <c r="AF720" i="4"/>
  <c r="AK719" i="4"/>
  <c r="AI719" i="4"/>
  <c r="AH719" i="4"/>
  <c r="AG719" i="4"/>
  <c r="AJ719" i="4" s="1"/>
  <c r="AF719" i="4"/>
  <c r="AI718" i="4"/>
  <c r="AG718" i="4"/>
  <c r="AF718" i="4"/>
  <c r="AG717" i="4"/>
  <c r="AF717" i="4"/>
  <c r="AH717" i="4" s="1"/>
  <c r="AK716" i="4"/>
  <c r="AJ716" i="4"/>
  <c r="AH716" i="4"/>
  <c r="AG716" i="4"/>
  <c r="AI716" i="4" s="1"/>
  <c r="AF716" i="4"/>
  <c r="AK715" i="4"/>
  <c r="AI715" i="4"/>
  <c r="AH715" i="4"/>
  <c r="AG715" i="4"/>
  <c r="AJ715" i="4" s="1"/>
  <c r="AF715" i="4"/>
  <c r="AI714" i="4"/>
  <c r="AG714" i="4"/>
  <c r="AJ714" i="4" s="1"/>
  <c r="AF714" i="4"/>
  <c r="AG713" i="4"/>
  <c r="AF713" i="4"/>
  <c r="AH713" i="4" s="1"/>
  <c r="AK712" i="4"/>
  <c r="AJ712" i="4"/>
  <c r="AH712" i="4"/>
  <c r="AG712" i="4"/>
  <c r="AI712" i="4" s="1"/>
  <c r="AF712" i="4"/>
  <c r="AK711" i="4"/>
  <c r="AI711" i="4"/>
  <c r="AH711" i="4"/>
  <c r="AG711" i="4"/>
  <c r="AJ711" i="4" s="1"/>
  <c r="AF711" i="4"/>
  <c r="AI710" i="4"/>
  <c r="AG710" i="4"/>
  <c r="AJ710" i="4" s="1"/>
  <c r="AF710" i="4"/>
  <c r="AG709" i="4"/>
  <c r="AF709" i="4"/>
  <c r="AH709" i="4" s="1"/>
  <c r="AK708" i="4"/>
  <c r="AJ708" i="4"/>
  <c r="AH708" i="4"/>
  <c r="AG708" i="4"/>
  <c r="AI708" i="4" s="1"/>
  <c r="AF708" i="4"/>
  <c r="AK707" i="4"/>
  <c r="AI707" i="4"/>
  <c r="AH707" i="4"/>
  <c r="AG707" i="4"/>
  <c r="AJ707" i="4" s="1"/>
  <c r="AF707" i="4"/>
  <c r="AI706" i="4"/>
  <c r="AG706" i="4"/>
  <c r="AF706" i="4"/>
  <c r="AG705" i="4"/>
  <c r="AF705" i="4"/>
  <c r="AH705" i="4" s="1"/>
  <c r="AK704" i="4"/>
  <c r="AJ704" i="4"/>
  <c r="AH704" i="4"/>
  <c r="AG704" i="4"/>
  <c r="AI704" i="4" s="1"/>
  <c r="AF704" i="4"/>
  <c r="AK703" i="4"/>
  <c r="AI703" i="4"/>
  <c r="AH703" i="4"/>
  <c r="AG703" i="4"/>
  <c r="AJ703" i="4" s="1"/>
  <c r="AF703" i="4"/>
  <c r="AI702" i="4"/>
  <c r="AG702" i="4"/>
  <c r="AF702" i="4"/>
  <c r="AG701" i="4"/>
  <c r="AF701" i="4"/>
  <c r="AH701" i="4" s="1"/>
  <c r="AK700" i="4"/>
  <c r="AJ700" i="4"/>
  <c r="AH700" i="4"/>
  <c r="AG700" i="4"/>
  <c r="AI700" i="4" s="1"/>
  <c r="AF700" i="4"/>
  <c r="AK699" i="4"/>
  <c r="AI699" i="4"/>
  <c r="AH699" i="4"/>
  <c r="AG699" i="4"/>
  <c r="AJ699" i="4" s="1"/>
  <c r="AF699" i="4"/>
  <c r="AI698" i="4"/>
  <c r="AG698" i="4"/>
  <c r="AF698" i="4"/>
  <c r="AG697" i="4"/>
  <c r="AF697" i="4"/>
  <c r="AH697" i="4" s="1"/>
  <c r="AK696" i="4"/>
  <c r="AJ696" i="4"/>
  <c r="AH696" i="4"/>
  <c r="AG696" i="4"/>
  <c r="AI696" i="4" s="1"/>
  <c r="AF696" i="4"/>
  <c r="AK695" i="4"/>
  <c r="AI695" i="4"/>
  <c r="AH695" i="4"/>
  <c r="AG695" i="4"/>
  <c r="AJ695" i="4" s="1"/>
  <c r="AF695" i="4"/>
  <c r="AG694" i="4"/>
  <c r="AJ694" i="4" s="1"/>
  <c r="AF694" i="4"/>
  <c r="AG693" i="4"/>
  <c r="AF693" i="4"/>
  <c r="AH693" i="4" s="1"/>
  <c r="AK692" i="4"/>
  <c r="AJ692" i="4"/>
  <c r="AH692" i="4"/>
  <c r="AG692" i="4"/>
  <c r="AI692" i="4" s="1"/>
  <c r="AF692" i="4"/>
  <c r="AK691" i="4"/>
  <c r="AI691" i="4"/>
  <c r="AH691" i="4"/>
  <c r="AG691" i="4"/>
  <c r="AJ691" i="4" s="1"/>
  <c r="AF691" i="4"/>
  <c r="AG690" i="4"/>
  <c r="AF690" i="4"/>
  <c r="AG689" i="4"/>
  <c r="AF689" i="4"/>
  <c r="AH689" i="4" s="1"/>
  <c r="AK688" i="4"/>
  <c r="AJ688" i="4"/>
  <c r="AH688" i="4"/>
  <c r="AG688" i="4"/>
  <c r="AI688" i="4" s="1"/>
  <c r="AF688" i="4"/>
  <c r="AK687" i="4"/>
  <c r="AI687" i="4"/>
  <c r="AH687" i="4"/>
  <c r="AG687" i="4"/>
  <c r="AJ687" i="4" s="1"/>
  <c r="AF687" i="4"/>
  <c r="AI686" i="4"/>
  <c r="AG686" i="4"/>
  <c r="AF686" i="4"/>
  <c r="AG685" i="4"/>
  <c r="AF685" i="4"/>
  <c r="AH685" i="4" s="1"/>
  <c r="AK684" i="4"/>
  <c r="AJ684" i="4"/>
  <c r="AH684" i="4"/>
  <c r="AG684" i="4"/>
  <c r="AI684" i="4" s="1"/>
  <c r="AF684" i="4"/>
  <c r="AK683" i="4"/>
  <c r="AI683" i="4"/>
  <c r="AH683" i="4"/>
  <c r="AG683" i="4"/>
  <c r="AJ683" i="4" s="1"/>
  <c r="AF683" i="4"/>
  <c r="AI682" i="4"/>
  <c r="AG682" i="4"/>
  <c r="AJ682" i="4" s="1"/>
  <c r="AF682" i="4"/>
  <c r="AG681" i="4"/>
  <c r="AF681" i="4"/>
  <c r="AH681" i="4" s="1"/>
  <c r="AK680" i="4"/>
  <c r="AJ680" i="4"/>
  <c r="AH680" i="4"/>
  <c r="AG680" i="4"/>
  <c r="AI680" i="4" s="1"/>
  <c r="AF680" i="4"/>
  <c r="AK679" i="4"/>
  <c r="AI679" i="4"/>
  <c r="AH679" i="4"/>
  <c r="AG679" i="4"/>
  <c r="AJ679" i="4" s="1"/>
  <c r="AF679" i="4"/>
  <c r="AI678" i="4"/>
  <c r="AG678" i="4"/>
  <c r="AJ678" i="4" s="1"/>
  <c r="AF678" i="4"/>
  <c r="AG677" i="4"/>
  <c r="AF677" i="4"/>
  <c r="AH677" i="4" s="1"/>
  <c r="AK676" i="4"/>
  <c r="AJ676" i="4"/>
  <c r="AI676" i="4"/>
  <c r="AH676" i="4"/>
  <c r="AG676" i="4"/>
  <c r="AF676" i="4"/>
  <c r="AK675" i="4"/>
  <c r="AI675" i="4"/>
  <c r="AH675" i="4"/>
  <c r="AG675" i="4"/>
  <c r="AJ675" i="4" s="1"/>
  <c r="AF675" i="4"/>
  <c r="AG674" i="4"/>
  <c r="AJ674" i="4" s="1"/>
  <c r="AF674" i="4"/>
  <c r="AG673" i="4"/>
  <c r="AF673" i="4"/>
  <c r="AH673" i="4" s="1"/>
  <c r="AK672" i="4"/>
  <c r="AJ672" i="4"/>
  <c r="AI672" i="4"/>
  <c r="AH672" i="4"/>
  <c r="AG672" i="4"/>
  <c r="AF672" i="4"/>
  <c r="AK671" i="4"/>
  <c r="AI671" i="4"/>
  <c r="AH671" i="4"/>
  <c r="AG671" i="4"/>
  <c r="AJ671" i="4" s="1"/>
  <c r="AF671" i="4"/>
  <c r="AG670" i="4"/>
  <c r="AJ670" i="4" s="1"/>
  <c r="AF670" i="4"/>
  <c r="AJ669" i="4"/>
  <c r="AG669" i="4"/>
  <c r="AF669" i="4"/>
  <c r="AH669" i="4" s="1"/>
  <c r="AK668" i="4"/>
  <c r="AJ668" i="4"/>
  <c r="AI668" i="4"/>
  <c r="AH668" i="4"/>
  <c r="AG668" i="4"/>
  <c r="AF668" i="4"/>
  <c r="AI667" i="4"/>
  <c r="AG667" i="4"/>
  <c r="AF667" i="4"/>
  <c r="AI666" i="4"/>
  <c r="AG666" i="4"/>
  <c r="AJ666" i="4" s="1"/>
  <c r="AF666" i="4"/>
  <c r="AG665" i="4"/>
  <c r="AF665" i="4"/>
  <c r="AH665" i="4" s="1"/>
  <c r="AK664" i="4"/>
  <c r="AJ664" i="4"/>
  <c r="AI664" i="4"/>
  <c r="AH664" i="4"/>
  <c r="AG664" i="4"/>
  <c r="AF664" i="4"/>
  <c r="AI663" i="4"/>
  <c r="AG663" i="4"/>
  <c r="AJ663" i="4" s="1"/>
  <c r="AF663" i="4"/>
  <c r="AI662" i="4"/>
  <c r="AG662" i="4"/>
  <c r="AJ662" i="4" s="1"/>
  <c r="AF662" i="4"/>
  <c r="AJ661" i="4"/>
  <c r="AG661" i="4"/>
  <c r="AF661" i="4"/>
  <c r="AH661" i="4" s="1"/>
  <c r="AK660" i="4"/>
  <c r="AJ660" i="4"/>
  <c r="AI660" i="4"/>
  <c r="AH660" i="4"/>
  <c r="AG660" i="4"/>
  <c r="AF660" i="4"/>
  <c r="AH659" i="4"/>
  <c r="AG659" i="4"/>
  <c r="AF659" i="4"/>
  <c r="AK659" i="4" s="1"/>
  <c r="AI658" i="4"/>
  <c r="AG658" i="4"/>
  <c r="AF658" i="4"/>
  <c r="AG657" i="4"/>
  <c r="AF657" i="4"/>
  <c r="AH657" i="4" s="1"/>
  <c r="AK656" i="4"/>
  <c r="AJ656" i="4"/>
  <c r="AH656" i="4"/>
  <c r="AG656" i="4"/>
  <c r="AI656" i="4" s="1"/>
  <c r="AF656" i="4"/>
  <c r="AK655" i="4"/>
  <c r="AI655" i="4"/>
  <c r="AH655" i="4"/>
  <c r="AG655" i="4"/>
  <c r="AJ655" i="4" s="1"/>
  <c r="AF655" i="4"/>
  <c r="AG654" i="4"/>
  <c r="AF654" i="4"/>
  <c r="AK653" i="4"/>
  <c r="AJ653" i="4"/>
  <c r="AI653" i="4"/>
  <c r="AG653" i="4"/>
  <c r="AF653" i="4"/>
  <c r="AH653" i="4" s="1"/>
  <c r="AI652" i="4"/>
  <c r="AH652" i="4"/>
  <c r="AG652" i="4"/>
  <c r="AK652" i="4" s="1"/>
  <c r="AF652" i="4"/>
  <c r="AG651" i="4"/>
  <c r="AF651" i="4"/>
  <c r="AK650" i="4"/>
  <c r="AG650" i="4"/>
  <c r="AF650" i="4"/>
  <c r="AH650" i="4" s="1"/>
  <c r="AJ649" i="4"/>
  <c r="AI649" i="4"/>
  <c r="AG649" i="4"/>
  <c r="AK649" i="4" s="1"/>
  <c r="AF649" i="4"/>
  <c r="AH649" i="4" s="1"/>
  <c r="AH648" i="4"/>
  <c r="AG648" i="4"/>
  <c r="AF648" i="4"/>
  <c r="AK647" i="4"/>
  <c r="AH647" i="4"/>
  <c r="AG647" i="4"/>
  <c r="AJ647" i="4" s="1"/>
  <c r="AF647" i="4"/>
  <c r="AK646" i="4"/>
  <c r="AI646" i="4"/>
  <c r="AH646" i="4"/>
  <c r="AG646" i="4"/>
  <c r="AJ646" i="4" s="1"/>
  <c r="AF646" i="4"/>
  <c r="AG645" i="4"/>
  <c r="AF645" i="4"/>
  <c r="AK644" i="4"/>
  <c r="AH644" i="4"/>
  <c r="AG644" i="4"/>
  <c r="AJ644" i="4" s="1"/>
  <c r="AF644" i="4"/>
  <c r="AK643" i="4"/>
  <c r="AJ643" i="4"/>
  <c r="AI643" i="4"/>
  <c r="AG643" i="4"/>
  <c r="AF643" i="4"/>
  <c r="AH643" i="4" s="1"/>
  <c r="AH642" i="4"/>
  <c r="AG642" i="4"/>
  <c r="AF642" i="4"/>
  <c r="AK642" i="4" s="1"/>
  <c r="AG641" i="4"/>
  <c r="AJ641" i="4" s="1"/>
  <c r="AF641" i="4"/>
  <c r="AH641" i="4" s="1"/>
  <c r="AK640" i="4"/>
  <c r="AJ640" i="4"/>
  <c r="AI640" i="4"/>
  <c r="AH640" i="4"/>
  <c r="AG640" i="4"/>
  <c r="AF640" i="4"/>
  <c r="AI639" i="4"/>
  <c r="AH639" i="4"/>
  <c r="AG639" i="4"/>
  <c r="AK639" i="4" s="1"/>
  <c r="AF639" i="4"/>
  <c r="AI638" i="4"/>
  <c r="AG638" i="4"/>
  <c r="AF638" i="4"/>
  <c r="AK637" i="4"/>
  <c r="AJ637" i="4"/>
  <c r="AI637" i="4"/>
  <c r="AG637" i="4"/>
  <c r="AF637" i="4"/>
  <c r="AH637" i="4" s="1"/>
  <c r="AI636" i="4"/>
  <c r="AH636" i="4"/>
  <c r="AG636" i="4"/>
  <c r="AK636" i="4" s="1"/>
  <c r="AF636" i="4"/>
  <c r="AG635" i="4"/>
  <c r="AF635" i="4"/>
  <c r="AK634" i="4"/>
  <c r="AG634" i="4"/>
  <c r="AF634" i="4"/>
  <c r="AH634" i="4" s="1"/>
  <c r="AJ633" i="4"/>
  <c r="AI633" i="4"/>
  <c r="AG633" i="4"/>
  <c r="AK633" i="4" s="1"/>
  <c r="AF633" i="4"/>
  <c r="AH633" i="4" s="1"/>
  <c r="AH632" i="4"/>
  <c r="AG632" i="4"/>
  <c r="AF632" i="4"/>
  <c r="AK631" i="4"/>
  <c r="AH631" i="4"/>
  <c r="AG631" i="4"/>
  <c r="AJ631" i="4" s="1"/>
  <c r="AF631" i="4"/>
  <c r="AK630" i="4"/>
  <c r="AI630" i="4"/>
  <c r="AH630" i="4"/>
  <c r="AG630" i="4"/>
  <c r="AJ630" i="4" s="1"/>
  <c r="AF630" i="4"/>
  <c r="AG629" i="4"/>
  <c r="AF629" i="4"/>
  <c r="AK628" i="4"/>
  <c r="AH628" i="4"/>
  <c r="AG628" i="4"/>
  <c r="AJ628" i="4" s="1"/>
  <c r="AF628" i="4"/>
  <c r="AK627" i="4"/>
  <c r="AJ627" i="4"/>
  <c r="AI627" i="4"/>
  <c r="AG627" i="4"/>
  <c r="AF627" i="4"/>
  <c r="AH627" i="4" s="1"/>
  <c r="AH626" i="4"/>
  <c r="AG626" i="4"/>
  <c r="AF626" i="4"/>
  <c r="AK626" i="4" s="1"/>
  <c r="AG625" i="4"/>
  <c r="AJ625" i="4" s="1"/>
  <c r="AF625" i="4"/>
  <c r="AH625" i="4" s="1"/>
  <c r="AK624" i="4"/>
  <c r="AJ624" i="4"/>
  <c r="AI624" i="4"/>
  <c r="AH624" i="4"/>
  <c r="AG624" i="4"/>
  <c r="AF624" i="4"/>
  <c r="AH623" i="4"/>
  <c r="AG623" i="4"/>
  <c r="AF623" i="4"/>
  <c r="AI622" i="4"/>
  <c r="AG622" i="4"/>
  <c r="AF622" i="4"/>
  <c r="AK621" i="4"/>
  <c r="AJ621" i="4"/>
  <c r="AI621" i="4"/>
  <c r="AG621" i="4"/>
  <c r="AF621" i="4"/>
  <c r="AH621" i="4" s="1"/>
  <c r="AH620" i="4"/>
  <c r="AG620" i="4"/>
  <c r="AF620" i="4"/>
  <c r="AG619" i="4"/>
  <c r="AF619" i="4"/>
  <c r="AK618" i="4"/>
  <c r="AG618" i="4"/>
  <c r="AF618" i="4"/>
  <c r="AH618" i="4" s="1"/>
  <c r="AJ617" i="4"/>
  <c r="AI617" i="4"/>
  <c r="AH617" i="4"/>
  <c r="AG617" i="4"/>
  <c r="AK617" i="4" s="1"/>
  <c r="AF617" i="4"/>
  <c r="AG616" i="4"/>
  <c r="AF616" i="4"/>
  <c r="AI615" i="4"/>
  <c r="AG615" i="4"/>
  <c r="AF615" i="4"/>
  <c r="AK614" i="4"/>
  <c r="AJ614" i="4"/>
  <c r="AG614" i="4"/>
  <c r="AI614" i="4" s="1"/>
  <c r="AF614" i="4"/>
  <c r="AH614" i="4" s="1"/>
  <c r="AJ613" i="4"/>
  <c r="AI613" i="4"/>
  <c r="AH613" i="4"/>
  <c r="AG613" i="4"/>
  <c r="AK613" i="4" s="1"/>
  <c r="AF613" i="4"/>
  <c r="AG612" i="4"/>
  <c r="AF612" i="4"/>
  <c r="AK612" i="4" s="1"/>
  <c r="AI611" i="4"/>
  <c r="AG611" i="4"/>
  <c r="AF611" i="4"/>
  <c r="AK610" i="4"/>
  <c r="AJ610" i="4"/>
  <c r="AG610" i="4"/>
  <c r="AI610" i="4" s="1"/>
  <c r="AF610" i="4"/>
  <c r="AH610" i="4" s="1"/>
  <c r="AJ609" i="4"/>
  <c r="AI609" i="4"/>
  <c r="AH609" i="4"/>
  <c r="AG609" i="4"/>
  <c r="AK609" i="4" s="1"/>
  <c r="AF609" i="4"/>
  <c r="AG608" i="4"/>
  <c r="AF608" i="4"/>
  <c r="AK608" i="4" s="1"/>
  <c r="AI607" i="4"/>
  <c r="AG607" i="4"/>
  <c r="AF607" i="4"/>
  <c r="AK606" i="4"/>
  <c r="AJ606" i="4"/>
  <c r="AG606" i="4"/>
  <c r="AI606" i="4" s="1"/>
  <c r="AF606" i="4"/>
  <c r="AH606" i="4" s="1"/>
  <c r="AJ605" i="4"/>
  <c r="AI605" i="4"/>
  <c r="AH605" i="4"/>
  <c r="AG605" i="4"/>
  <c r="AK605" i="4" s="1"/>
  <c r="AF605" i="4"/>
  <c r="AH604" i="4"/>
  <c r="AG604" i="4"/>
  <c r="AF604" i="4"/>
  <c r="AK604" i="4" s="1"/>
  <c r="AI603" i="4"/>
  <c r="AG603" i="4"/>
  <c r="AJ603" i="4" s="1"/>
  <c r="AF603" i="4"/>
  <c r="AK602" i="4"/>
  <c r="AJ602" i="4"/>
  <c r="AG602" i="4"/>
  <c r="AI602" i="4" s="1"/>
  <c r="AF602" i="4"/>
  <c r="AH602" i="4" s="1"/>
  <c r="AJ601" i="4"/>
  <c r="AI601" i="4"/>
  <c r="AH601" i="4"/>
  <c r="AG601" i="4"/>
  <c r="AK601" i="4" s="1"/>
  <c r="AF601" i="4"/>
  <c r="AH600" i="4"/>
  <c r="AG600" i="4"/>
  <c r="AF600" i="4"/>
  <c r="AI599" i="4"/>
  <c r="AG599" i="4"/>
  <c r="AF599" i="4"/>
  <c r="AK598" i="4"/>
  <c r="AJ598" i="4"/>
  <c r="AG598" i="4"/>
  <c r="AI598" i="4" s="1"/>
  <c r="AF598" i="4"/>
  <c r="AH598" i="4" s="1"/>
  <c r="AJ597" i="4"/>
  <c r="AI597" i="4"/>
  <c r="AH597" i="4"/>
  <c r="AG597" i="4"/>
  <c r="AK597" i="4" s="1"/>
  <c r="AF597" i="4"/>
  <c r="AG596" i="4"/>
  <c r="AF596" i="4"/>
  <c r="AI595" i="4"/>
  <c r="AG595" i="4"/>
  <c r="AJ595" i="4" s="1"/>
  <c r="AF595" i="4"/>
  <c r="AK594" i="4"/>
  <c r="AJ594" i="4"/>
  <c r="AG594" i="4"/>
  <c r="AI594" i="4" s="1"/>
  <c r="AF594" i="4"/>
  <c r="AH594" i="4" s="1"/>
  <c r="AJ593" i="4"/>
  <c r="AI593" i="4"/>
  <c r="AH593" i="4"/>
  <c r="AG593" i="4"/>
  <c r="AK593" i="4" s="1"/>
  <c r="AF593" i="4"/>
  <c r="AG592" i="4"/>
  <c r="AF592" i="4"/>
  <c r="AK592" i="4" s="1"/>
  <c r="AI591" i="4"/>
  <c r="AG591" i="4"/>
  <c r="AF591" i="4"/>
  <c r="AK590" i="4"/>
  <c r="AJ590" i="4"/>
  <c r="AG590" i="4"/>
  <c r="AI590" i="4" s="1"/>
  <c r="AF590" i="4"/>
  <c r="AH590" i="4" s="1"/>
  <c r="AJ589" i="4"/>
  <c r="AI589" i="4"/>
  <c r="AH589" i="4"/>
  <c r="AG589" i="4"/>
  <c r="AK589" i="4" s="1"/>
  <c r="AF589" i="4"/>
  <c r="AH588" i="4"/>
  <c r="AG588" i="4"/>
  <c r="AF588" i="4"/>
  <c r="AI587" i="4"/>
  <c r="AG587" i="4"/>
  <c r="AJ587" i="4" s="1"/>
  <c r="AF587" i="4"/>
  <c r="AK586" i="4"/>
  <c r="AJ586" i="4"/>
  <c r="AG586" i="4"/>
  <c r="AI586" i="4" s="1"/>
  <c r="AF586" i="4"/>
  <c r="AH586" i="4" s="1"/>
  <c r="AJ585" i="4"/>
  <c r="AI585" i="4"/>
  <c r="AH585" i="4"/>
  <c r="AG585" i="4"/>
  <c r="AK585" i="4" s="1"/>
  <c r="AF585" i="4"/>
  <c r="AG584" i="4"/>
  <c r="AF584" i="4"/>
  <c r="AI583" i="4"/>
  <c r="AG583" i="4"/>
  <c r="AF583" i="4"/>
  <c r="AK582" i="4"/>
  <c r="AJ582" i="4"/>
  <c r="AG582" i="4"/>
  <c r="AI582" i="4" s="1"/>
  <c r="AF582" i="4"/>
  <c r="AH582" i="4" s="1"/>
  <c r="AJ581" i="4"/>
  <c r="AI581" i="4"/>
  <c r="AH581" i="4"/>
  <c r="AG581" i="4"/>
  <c r="AK581" i="4" s="1"/>
  <c r="AF581" i="4"/>
  <c r="AG580" i="4"/>
  <c r="AF580" i="4"/>
  <c r="AK580" i="4" s="1"/>
  <c r="AI579" i="4"/>
  <c r="AG579" i="4"/>
  <c r="AF579" i="4"/>
  <c r="AK578" i="4"/>
  <c r="AJ578" i="4"/>
  <c r="AG578" i="4"/>
  <c r="AI578" i="4" s="1"/>
  <c r="AF578" i="4"/>
  <c r="AH578" i="4" s="1"/>
  <c r="AJ577" i="4"/>
  <c r="AI577" i="4"/>
  <c r="AH577" i="4"/>
  <c r="AG577" i="4"/>
  <c r="AK577" i="4" s="1"/>
  <c r="AF577" i="4"/>
  <c r="AG576" i="4"/>
  <c r="AF576" i="4"/>
  <c r="AI575" i="4"/>
  <c r="AG575" i="4"/>
  <c r="AJ575" i="4" s="1"/>
  <c r="AF575" i="4"/>
  <c r="AK574" i="4"/>
  <c r="AJ574" i="4"/>
  <c r="AG574" i="4"/>
  <c r="AI574" i="4" s="1"/>
  <c r="AF574" i="4"/>
  <c r="AH574" i="4" s="1"/>
  <c r="AJ573" i="4"/>
  <c r="AI573" i="4"/>
  <c r="AH573" i="4"/>
  <c r="AG573" i="4"/>
  <c r="AK573" i="4" s="1"/>
  <c r="AF573" i="4"/>
  <c r="AH572" i="4"/>
  <c r="AG572" i="4"/>
  <c r="AF572" i="4"/>
  <c r="AK572" i="4" s="1"/>
  <c r="AI571" i="4"/>
  <c r="AG571" i="4"/>
  <c r="AJ571" i="4" s="1"/>
  <c r="AF571" i="4"/>
  <c r="AK570" i="4"/>
  <c r="AJ570" i="4"/>
  <c r="AG570" i="4"/>
  <c r="AI570" i="4" s="1"/>
  <c r="AF570" i="4"/>
  <c r="AH570" i="4" s="1"/>
  <c r="AJ569" i="4"/>
  <c r="AI569" i="4"/>
  <c r="AH569" i="4"/>
  <c r="AG569" i="4"/>
  <c r="AF569" i="4"/>
  <c r="AK569" i="4" s="1"/>
  <c r="AH568" i="4"/>
  <c r="AG568" i="4"/>
  <c r="AF568" i="4"/>
  <c r="AI567" i="4"/>
  <c r="AG567" i="4"/>
  <c r="AF567" i="4"/>
  <c r="AK566" i="4"/>
  <c r="AJ566" i="4"/>
  <c r="AG566" i="4"/>
  <c r="AI566" i="4" s="1"/>
  <c r="AF566" i="4"/>
  <c r="AH566" i="4" s="1"/>
  <c r="AJ565" i="4"/>
  <c r="AI565" i="4"/>
  <c r="AH565" i="4"/>
  <c r="AG565" i="4"/>
  <c r="AK565" i="4" s="1"/>
  <c r="AF565" i="4"/>
  <c r="AG564" i="4"/>
  <c r="AF564" i="4"/>
  <c r="AI563" i="4"/>
  <c r="AG563" i="4"/>
  <c r="AJ563" i="4" s="1"/>
  <c r="AF563" i="4"/>
  <c r="AK562" i="4"/>
  <c r="AJ562" i="4"/>
  <c r="AG562" i="4"/>
  <c r="AI562" i="4" s="1"/>
  <c r="AF562" i="4"/>
  <c r="AH562" i="4" s="1"/>
  <c r="AJ561" i="4"/>
  <c r="AI561" i="4"/>
  <c r="AH561" i="4"/>
  <c r="AG561" i="4"/>
  <c r="AK561" i="4" s="1"/>
  <c r="AF561" i="4"/>
  <c r="AG560" i="4"/>
  <c r="AF560" i="4"/>
  <c r="AK560" i="4" s="1"/>
  <c r="AI559" i="4"/>
  <c r="AG559" i="4"/>
  <c r="AF559" i="4"/>
  <c r="AK558" i="4"/>
  <c r="AJ558" i="4"/>
  <c r="AG558" i="4"/>
  <c r="AI558" i="4" s="1"/>
  <c r="AF558" i="4"/>
  <c r="AH558" i="4" s="1"/>
  <c r="AJ557" i="4"/>
  <c r="AI557" i="4"/>
  <c r="AH557" i="4"/>
  <c r="AG557" i="4"/>
  <c r="AK557" i="4" s="1"/>
  <c r="AF557" i="4"/>
  <c r="AH556" i="4"/>
  <c r="AG556" i="4"/>
  <c r="AF556" i="4"/>
  <c r="AI555" i="4"/>
  <c r="AG555" i="4"/>
  <c r="AJ555" i="4" s="1"/>
  <c r="AF555" i="4"/>
  <c r="AK554" i="4"/>
  <c r="AJ554" i="4"/>
  <c r="AG554" i="4"/>
  <c r="AI554" i="4" s="1"/>
  <c r="AF554" i="4"/>
  <c r="AH554" i="4" s="1"/>
  <c r="AJ553" i="4"/>
  <c r="AI553" i="4"/>
  <c r="AH553" i="4"/>
  <c r="AG553" i="4"/>
  <c r="AK553" i="4" s="1"/>
  <c r="AF553" i="4"/>
  <c r="AH552" i="4"/>
  <c r="AG552" i="4"/>
  <c r="AF552" i="4"/>
  <c r="AK552" i="4" s="1"/>
  <c r="AI551" i="4"/>
  <c r="AG551" i="4"/>
  <c r="AJ551" i="4" s="1"/>
  <c r="AF551" i="4"/>
  <c r="AG550" i="4"/>
  <c r="AI550" i="4" s="1"/>
  <c r="AF550" i="4"/>
  <c r="AH550" i="4" s="1"/>
  <c r="AK549" i="4"/>
  <c r="AJ549" i="4"/>
  <c r="AI549" i="4"/>
  <c r="AH549" i="4"/>
  <c r="AG549" i="4"/>
  <c r="AF549" i="4"/>
  <c r="AG548" i="4"/>
  <c r="AF548" i="4"/>
  <c r="AK548" i="4" s="1"/>
  <c r="AI547" i="4"/>
  <c r="AG547" i="4"/>
  <c r="AF547" i="4"/>
  <c r="AJ546" i="4"/>
  <c r="AG546" i="4"/>
  <c r="AI546" i="4" s="1"/>
  <c r="AF546" i="4"/>
  <c r="AH546" i="4" s="1"/>
  <c r="AJ545" i="4"/>
  <c r="AI545" i="4"/>
  <c r="AH545" i="4"/>
  <c r="AG545" i="4"/>
  <c r="AK545" i="4" s="1"/>
  <c r="AF545" i="4"/>
  <c r="AG544" i="4"/>
  <c r="AF544" i="4"/>
  <c r="AK544" i="4" s="1"/>
  <c r="AI543" i="4"/>
  <c r="AG543" i="4"/>
  <c r="AJ543" i="4" s="1"/>
  <c r="AF543" i="4"/>
  <c r="AK543" i="4" s="1"/>
  <c r="AG542" i="4"/>
  <c r="AI542" i="4" s="1"/>
  <c r="AF542" i="4"/>
  <c r="AH542" i="4" s="1"/>
  <c r="AJ541" i="4"/>
  <c r="AI541" i="4"/>
  <c r="AH541" i="4"/>
  <c r="AG541" i="4"/>
  <c r="AK541" i="4" s="1"/>
  <c r="AF541" i="4"/>
  <c r="AH540" i="4"/>
  <c r="AG540" i="4"/>
  <c r="AF540" i="4"/>
  <c r="AI539" i="4"/>
  <c r="AG539" i="4"/>
  <c r="AJ539" i="4" s="1"/>
  <c r="AF539" i="4"/>
  <c r="AK539" i="4" s="1"/>
  <c r="AG538" i="4"/>
  <c r="AF538" i="4"/>
  <c r="AH538" i="4" s="1"/>
  <c r="AJ537" i="4"/>
  <c r="AI537" i="4"/>
  <c r="AH537" i="4"/>
  <c r="AG537" i="4"/>
  <c r="AK537" i="4" s="1"/>
  <c r="AF537" i="4"/>
  <c r="AK536" i="4"/>
  <c r="AJ536" i="4"/>
  <c r="AG536" i="4"/>
  <c r="AI536" i="4" s="1"/>
  <c r="AF536" i="4"/>
  <c r="AH536" i="4" s="1"/>
  <c r="AI535" i="4"/>
  <c r="AG535" i="4"/>
  <c r="AF535" i="4"/>
  <c r="AK535" i="4" s="1"/>
  <c r="AK534" i="4"/>
  <c r="AG534" i="4"/>
  <c r="AI534" i="4" s="1"/>
  <c r="AF534" i="4"/>
  <c r="AH534" i="4" s="1"/>
  <c r="AJ533" i="4"/>
  <c r="AI533" i="4"/>
  <c r="AH533" i="4"/>
  <c r="AG533" i="4"/>
  <c r="AK533" i="4" s="1"/>
  <c r="AF533" i="4"/>
  <c r="AG532" i="4"/>
  <c r="AI532" i="4" s="1"/>
  <c r="AF532" i="4"/>
  <c r="AK532" i="4" s="1"/>
  <c r="AI531" i="4"/>
  <c r="AH531" i="4"/>
  <c r="AG531" i="4"/>
  <c r="AJ531" i="4" s="1"/>
  <c r="AF531" i="4"/>
  <c r="AK531" i="4" s="1"/>
  <c r="AG530" i="4"/>
  <c r="AI530" i="4" s="1"/>
  <c r="AF530" i="4"/>
  <c r="AH530" i="4" s="1"/>
  <c r="AJ529" i="4"/>
  <c r="AI529" i="4"/>
  <c r="AH529" i="4"/>
  <c r="AG529" i="4"/>
  <c r="AK529" i="4" s="1"/>
  <c r="AF529" i="4"/>
  <c r="AG528" i="4"/>
  <c r="AI528" i="4" s="1"/>
  <c r="AF528" i="4"/>
  <c r="AK528" i="4" s="1"/>
  <c r="AI527" i="4"/>
  <c r="AG527" i="4"/>
  <c r="AJ527" i="4" s="1"/>
  <c r="AF527" i="4"/>
  <c r="AK527" i="4" s="1"/>
  <c r="AG526" i="4"/>
  <c r="AI526" i="4" s="1"/>
  <c r="AF526" i="4"/>
  <c r="AH526" i="4" s="1"/>
  <c r="AJ525" i="4"/>
  <c r="AI525" i="4"/>
  <c r="AH525" i="4"/>
  <c r="AG525" i="4"/>
  <c r="AK525" i="4" s="1"/>
  <c r="AF525" i="4"/>
  <c r="AH524" i="4"/>
  <c r="AG524" i="4"/>
  <c r="AF524" i="4"/>
  <c r="AI523" i="4"/>
  <c r="AG523" i="4"/>
  <c r="AJ523" i="4" s="1"/>
  <c r="AF523" i="4"/>
  <c r="AK523" i="4" s="1"/>
  <c r="AG522" i="4"/>
  <c r="AF522" i="4"/>
  <c r="AH522" i="4" s="1"/>
  <c r="AJ521" i="4"/>
  <c r="AI521" i="4"/>
  <c r="AH521" i="4"/>
  <c r="AG521" i="4"/>
  <c r="AK521" i="4" s="1"/>
  <c r="AF521" i="4"/>
  <c r="AK520" i="4"/>
  <c r="AJ520" i="4"/>
  <c r="AG520" i="4"/>
  <c r="AI520" i="4" s="1"/>
  <c r="AF520" i="4"/>
  <c r="AH520" i="4" s="1"/>
  <c r="AI519" i="4"/>
  <c r="AG519" i="4"/>
  <c r="AF519" i="4"/>
  <c r="AK519" i="4" s="1"/>
  <c r="AK518" i="4"/>
  <c r="AG518" i="4"/>
  <c r="AI518" i="4" s="1"/>
  <c r="AF518" i="4"/>
  <c r="AH518" i="4" s="1"/>
  <c r="AK517" i="4"/>
  <c r="AJ517" i="4"/>
  <c r="AI517" i="4"/>
  <c r="AH517" i="4"/>
  <c r="AG517" i="4"/>
  <c r="AF517" i="4"/>
  <c r="AG516" i="4"/>
  <c r="AI516" i="4" s="1"/>
  <c r="AF516" i="4"/>
  <c r="AK516" i="4" s="1"/>
  <c r="AI515" i="4"/>
  <c r="AH515" i="4"/>
  <c r="AG515" i="4"/>
  <c r="AF515" i="4"/>
  <c r="AK515" i="4" s="1"/>
  <c r="AG514" i="4"/>
  <c r="AI514" i="4" s="1"/>
  <c r="AF514" i="4"/>
  <c r="AH514" i="4" s="1"/>
  <c r="AK513" i="4"/>
  <c r="AJ513" i="4"/>
  <c r="AI513" i="4"/>
  <c r="AH513" i="4"/>
  <c r="AG513" i="4"/>
  <c r="AF513" i="4"/>
  <c r="AH512" i="4"/>
  <c r="AG512" i="4"/>
  <c r="AF512" i="4"/>
  <c r="AI511" i="4"/>
  <c r="AG511" i="4"/>
  <c r="AF511" i="4"/>
  <c r="AK511" i="4" s="1"/>
  <c r="AG510" i="4"/>
  <c r="AF510" i="4"/>
  <c r="AH510" i="4" s="1"/>
  <c r="AK509" i="4"/>
  <c r="AJ509" i="4"/>
  <c r="AI509" i="4"/>
  <c r="AH509" i="4"/>
  <c r="AG509" i="4"/>
  <c r="AF509" i="4"/>
  <c r="AK508" i="4"/>
  <c r="AG508" i="4"/>
  <c r="AI508" i="4" s="1"/>
  <c r="AF508" i="4"/>
  <c r="AH508" i="4" s="1"/>
  <c r="AI507" i="4"/>
  <c r="AG507" i="4"/>
  <c r="AF507" i="4"/>
  <c r="AG506" i="4"/>
  <c r="AI506" i="4" s="1"/>
  <c r="AF506" i="4"/>
  <c r="AH506" i="4" s="1"/>
  <c r="AK505" i="4"/>
  <c r="AJ505" i="4"/>
  <c r="AI505" i="4"/>
  <c r="AH505" i="4"/>
  <c r="AG505" i="4"/>
  <c r="AF505" i="4"/>
  <c r="AG504" i="4"/>
  <c r="AJ504" i="4" s="1"/>
  <c r="AF504" i="4"/>
  <c r="AG503" i="4"/>
  <c r="AF503" i="4"/>
  <c r="AK503" i="4" s="1"/>
  <c r="AG502" i="4"/>
  <c r="AI502" i="4" s="1"/>
  <c r="AF502" i="4"/>
  <c r="AK501" i="4"/>
  <c r="AJ501" i="4"/>
  <c r="AI501" i="4"/>
  <c r="AH501" i="4"/>
  <c r="AG501" i="4"/>
  <c r="AF501" i="4"/>
  <c r="AK500" i="4"/>
  <c r="AJ500" i="4"/>
  <c r="AG500" i="4"/>
  <c r="AI500" i="4" s="1"/>
  <c r="AF500" i="4"/>
  <c r="AH500" i="4" s="1"/>
  <c r="AH499" i="4"/>
  <c r="AG499" i="4"/>
  <c r="AF499" i="4"/>
  <c r="AI498" i="4"/>
  <c r="AG498" i="4"/>
  <c r="AK498" i="4" s="1"/>
  <c r="AF498" i="4"/>
  <c r="AH498" i="4" s="1"/>
  <c r="AK497" i="4"/>
  <c r="AJ497" i="4"/>
  <c r="AG497" i="4"/>
  <c r="AI497" i="4" s="1"/>
  <c r="AF497" i="4"/>
  <c r="AH497" i="4" s="1"/>
  <c r="AK496" i="4"/>
  <c r="AI496" i="4"/>
  <c r="AH496" i="4"/>
  <c r="AG496" i="4"/>
  <c r="AF496" i="4"/>
  <c r="AJ496" i="4" s="1"/>
  <c r="AG495" i="4"/>
  <c r="AF495" i="4"/>
  <c r="AH494" i="4"/>
  <c r="AG494" i="4"/>
  <c r="AJ494" i="4" s="1"/>
  <c r="AF494" i="4"/>
  <c r="AK494" i="4" s="1"/>
  <c r="AK493" i="4"/>
  <c r="AJ493" i="4"/>
  <c r="AG493" i="4"/>
  <c r="AI493" i="4" s="1"/>
  <c r="AF493" i="4"/>
  <c r="AH493" i="4" s="1"/>
  <c r="AK492" i="4"/>
  <c r="AJ492" i="4"/>
  <c r="AI492" i="4"/>
  <c r="AH492" i="4"/>
  <c r="AG492" i="4"/>
  <c r="AF492" i="4"/>
  <c r="AG491" i="4"/>
  <c r="AF491" i="4"/>
  <c r="AH490" i="4"/>
  <c r="AG490" i="4"/>
  <c r="AJ490" i="4" s="1"/>
  <c r="AF490" i="4"/>
  <c r="AK490" i="4" s="1"/>
  <c r="AK489" i="4"/>
  <c r="AJ489" i="4"/>
  <c r="AG489" i="4"/>
  <c r="AI489" i="4" s="1"/>
  <c r="AF489" i="4"/>
  <c r="AH489" i="4" s="1"/>
  <c r="AJ488" i="4"/>
  <c r="AI488" i="4"/>
  <c r="AH488" i="4"/>
  <c r="AG488" i="4"/>
  <c r="AF488" i="4"/>
  <c r="AK488" i="4" s="1"/>
  <c r="AG487" i="4"/>
  <c r="AF487" i="4"/>
  <c r="AH486" i="4"/>
  <c r="AG486" i="4"/>
  <c r="AJ486" i="4" s="1"/>
  <c r="AF486" i="4"/>
  <c r="AK486" i="4" s="1"/>
  <c r="AK485" i="4"/>
  <c r="AJ485" i="4"/>
  <c r="AG485" i="4"/>
  <c r="AI485" i="4" s="1"/>
  <c r="AF485" i="4"/>
  <c r="AH485" i="4" s="1"/>
  <c r="AJ484" i="4"/>
  <c r="AI484" i="4"/>
  <c r="AH484" i="4"/>
  <c r="AG484" i="4"/>
  <c r="AF484" i="4"/>
  <c r="AK484" i="4" s="1"/>
  <c r="AG483" i="4"/>
  <c r="AF483" i="4"/>
  <c r="AI482" i="4"/>
  <c r="AH482" i="4"/>
  <c r="AG482" i="4"/>
  <c r="AJ482" i="4" s="1"/>
  <c r="AF482" i="4"/>
  <c r="AK482" i="4" s="1"/>
  <c r="AK481" i="4"/>
  <c r="AJ481" i="4"/>
  <c r="AG481" i="4"/>
  <c r="AI481" i="4" s="1"/>
  <c r="AF481" i="4"/>
  <c r="AH481" i="4" s="1"/>
  <c r="AK480" i="4"/>
  <c r="AJ480" i="4"/>
  <c r="AI480" i="4"/>
  <c r="AH480" i="4"/>
  <c r="AG480" i="4"/>
  <c r="AF480" i="4"/>
  <c r="AG479" i="4"/>
  <c r="AF479" i="4"/>
  <c r="AH478" i="4"/>
  <c r="AG478" i="4"/>
  <c r="AJ478" i="4" s="1"/>
  <c r="AF478" i="4"/>
  <c r="AK478" i="4" s="1"/>
  <c r="AK477" i="4"/>
  <c r="AJ477" i="4"/>
  <c r="AG477" i="4"/>
  <c r="AI477" i="4" s="1"/>
  <c r="AF477" i="4"/>
  <c r="AH477" i="4" s="1"/>
  <c r="AK476" i="4"/>
  <c r="AJ476" i="4"/>
  <c r="AI476" i="4"/>
  <c r="AH476" i="4"/>
  <c r="AG476" i="4"/>
  <c r="AF476" i="4"/>
  <c r="AG475" i="4"/>
  <c r="AF475" i="4"/>
  <c r="AI474" i="4"/>
  <c r="AH474" i="4"/>
  <c r="AG474" i="4"/>
  <c r="AJ474" i="4" s="1"/>
  <c r="AF474" i="4"/>
  <c r="AK474" i="4" s="1"/>
  <c r="AK473" i="4"/>
  <c r="AJ473" i="4"/>
  <c r="AG473" i="4"/>
  <c r="AI473" i="4" s="1"/>
  <c r="AF473" i="4"/>
  <c r="AH473" i="4" s="1"/>
  <c r="AJ472" i="4"/>
  <c r="AI472" i="4"/>
  <c r="AH472" i="4"/>
  <c r="AG472" i="4"/>
  <c r="AF472" i="4"/>
  <c r="AK472" i="4" s="1"/>
  <c r="AG471" i="4"/>
  <c r="AJ471" i="4" s="1"/>
  <c r="AF471" i="4"/>
  <c r="AH470" i="4"/>
  <c r="AG470" i="4"/>
  <c r="AJ470" i="4" s="1"/>
  <c r="AF470" i="4"/>
  <c r="AK470" i="4" s="1"/>
  <c r="AK469" i="4"/>
  <c r="AJ469" i="4"/>
  <c r="AG469" i="4"/>
  <c r="AI469" i="4" s="1"/>
  <c r="AF469" i="4"/>
  <c r="AH469" i="4" s="1"/>
  <c r="AK468" i="4"/>
  <c r="AJ468" i="4"/>
  <c r="AI468" i="4"/>
  <c r="AH468" i="4"/>
  <c r="AG468" i="4"/>
  <c r="AF468" i="4"/>
  <c r="AG467" i="4"/>
  <c r="AF467" i="4"/>
  <c r="AH466" i="4"/>
  <c r="AG466" i="4"/>
  <c r="AJ466" i="4" s="1"/>
  <c r="AF466" i="4"/>
  <c r="AK466" i="4" s="1"/>
  <c r="AK465" i="4"/>
  <c r="AJ465" i="4"/>
  <c r="AG465" i="4"/>
  <c r="AI465" i="4" s="1"/>
  <c r="AF465" i="4"/>
  <c r="AH465" i="4" s="1"/>
  <c r="AK464" i="4"/>
  <c r="AJ464" i="4"/>
  <c r="AI464" i="4"/>
  <c r="AH464" i="4"/>
  <c r="AG464" i="4"/>
  <c r="AF464" i="4"/>
  <c r="AG463" i="4"/>
  <c r="AF463" i="4"/>
  <c r="AH462" i="4"/>
  <c r="AG462" i="4"/>
  <c r="AJ462" i="4" s="1"/>
  <c r="AF462" i="4"/>
  <c r="AK462" i="4" s="1"/>
  <c r="AK461" i="4"/>
  <c r="AJ461" i="4"/>
  <c r="AG461" i="4"/>
  <c r="AI461" i="4" s="1"/>
  <c r="AF461" i="4"/>
  <c r="AH461" i="4" s="1"/>
  <c r="AK460" i="4"/>
  <c r="AJ460" i="4"/>
  <c r="AI460" i="4"/>
  <c r="AH460" i="4"/>
  <c r="AG460" i="4"/>
  <c r="AF460" i="4"/>
  <c r="AG459" i="4"/>
  <c r="AJ459" i="4" s="1"/>
  <c r="AF459" i="4"/>
  <c r="AH458" i="4"/>
  <c r="AG458" i="4"/>
  <c r="AJ458" i="4" s="1"/>
  <c r="AF458" i="4"/>
  <c r="AK458" i="4" s="1"/>
  <c r="AK457" i="4"/>
  <c r="AJ457" i="4"/>
  <c r="AG457" i="4"/>
  <c r="AI457" i="4" s="1"/>
  <c r="AF457" i="4"/>
  <c r="AH457" i="4" s="1"/>
  <c r="AK456" i="4"/>
  <c r="AJ456" i="4"/>
  <c r="AI456" i="4"/>
  <c r="AH456" i="4"/>
  <c r="AG456" i="4"/>
  <c r="AF456" i="4"/>
  <c r="AG455" i="4"/>
  <c r="AF455" i="4"/>
  <c r="AH454" i="4"/>
  <c r="AG454" i="4"/>
  <c r="AJ454" i="4" s="1"/>
  <c r="AF454" i="4"/>
  <c r="AK454" i="4" s="1"/>
  <c r="AK453" i="4"/>
  <c r="AJ453" i="4"/>
  <c r="AG453" i="4"/>
  <c r="AI453" i="4" s="1"/>
  <c r="AF453" i="4"/>
  <c r="AH453" i="4" s="1"/>
  <c r="AK452" i="4"/>
  <c r="AJ452" i="4"/>
  <c r="AI452" i="4"/>
  <c r="AH452" i="4"/>
  <c r="AG452" i="4"/>
  <c r="AF452" i="4"/>
  <c r="AG451" i="4"/>
  <c r="AJ451" i="4" s="1"/>
  <c r="AF451" i="4"/>
  <c r="AH450" i="4"/>
  <c r="AG450" i="4"/>
  <c r="AJ450" i="4" s="1"/>
  <c r="AF450" i="4"/>
  <c r="AK450" i="4" s="1"/>
  <c r="AK449" i="4"/>
  <c r="AJ449" i="4"/>
  <c r="AG449" i="4"/>
  <c r="AI449" i="4" s="1"/>
  <c r="AF449" i="4"/>
  <c r="AH449" i="4" s="1"/>
  <c r="AK448" i="4"/>
  <c r="AJ448" i="4"/>
  <c r="AI448" i="4"/>
  <c r="AH448" i="4"/>
  <c r="AG448" i="4"/>
  <c r="AF448" i="4"/>
  <c r="AG447" i="4"/>
  <c r="AF447" i="4"/>
  <c r="AH446" i="4"/>
  <c r="AG446" i="4"/>
  <c r="AJ446" i="4" s="1"/>
  <c r="AF446" i="4"/>
  <c r="AK446" i="4" s="1"/>
  <c r="AK445" i="4"/>
  <c r="AJ445" i="4"/>
  <c r="AG445" i="4"/>
  <c r="AI445" i="4" s="1"/>
  <c r="AF445" i="4"/>
  <c r="AH445" i="4" s="1"/>
  <c r="AK444" i="4"/>
  <c r="AJ444" i="4"/>
  <c r="AI444" i="4"/>
  <c r="AH444" i="4"/>
  <c r="AG444" i="4"/>
  <c r="AF444" i="4"/>
  <c r="AG443" i="4"/>
  <c r="AF443" i="4"/>
  <c r="AH442" i="4"/>
  <c r="AG442" i="4"/>
  <c r="AJ442" i="4" s="1"/>
  <c r="AF442" i="4"/>
  <c r="AK442" i="4" s="1"/>
  <c r="AK441" i="4"/>
  <c r="AJ441" i="4"/>
  <c r="AG441" i="4"/>
  <c r="AI441" i="4" s="1"/>
  <c r="AF441" i="4"/>
  <c r="AH441" i="4" s="1"/>
  <c r="AK440" i="4"/>
  <c r="AJ440" i="4"/>
  <c r="AI440" i="4"/>
  <c r="AH440" i="4"/>
  <c r="AG440" i="4"/>
  <c r="AF440" i="4"/>
  <c r="AG439" i="4"/>
  <c r="AJ439" i="4" s="1"/>
  <c r="AF439" i="4"/>
  <c r="AH438" i="4"/>
  <c r="AG438" i="4"/>
  <c r="AJ438" i="4" s="1"/>
  <c r="AF438" i="4"/>
  <c r="AK438" i="4" s="1"/>
  <c r="AK437" i="4"/>
  <c r="AJ437" i="4"/>
  <c r="AG437" i="4"/>
  <c r="AI437" i="4" s="1"/>
  <c r="AF437" i="4"/>
  <c r="AH437" i="4" s="1"/>
  <c r="AK436" i="4"/>
  <c r="AJ436" i="4"/>
  <c r="AI436" i="4"/>
  <c r="AH436" i="4"/>
  <c r="AG436" i="4"/>
  <c r="AF436" i="4"/>
  <c r="AG435" i="4"/>
  <c r="AF435" i="4"/>
  <c r="AH434" i="4"/>
  <c r="AG434" i="4"/>
  <c r="AJ434" i="4" s="1"/>
  <c r="AF434" i="4"/>
  <c r="AK434" i="4" s="1"/>
  <c r="AK433" i="4"/>
  <c r="AJ433" i="4"/>
  <c r="AG433" i="4"/>
  <c r="AI433" i="4" s="1"/>
  <c r="AF433" i="4"/>
  <c r="AH433" i="4" s="1"/>
  <c r="AK432" i="4"/>
  <c r="AJ432" i="4"/>
  <c r="AI432" i="4"/>
  <c r="AH432" i="4"/>
  <c r="AG432" i="4"/>
  <c r="AF432" i="4"/>
  <c r="AG431" i="4"/>
  <c r="AF431" i="4"/>
  <c r="AH430" i="4"/>
  <c r="AG430" i="4"/>
  <c r="AJ430" i="4" s="1"/>
  <c r="AF430" i="4"/>
  <c r="AK430" i="4" s="1"/>
  <c r="AK429" i="4"/>
  <c r="AJ429" i="4"/>
  <c r="AG429" i="4"/>
  <c r="AI429" i="4" s="1"/>
  <c r="AF429" i="4"/>
  <c r="AH429" i="4" s="1"/>
  <c r="AK428" i="4"/>
  <c r="AJ428" i="4"/>
  <c r="AI428" i="4"/>
  <c r="AH428" i="4"/>
  <c r="AG428" i="4"/>
  <c r="AF428" i="4"/>
  <c r="AG427" i="4"/>
  <c r="AJ427" i="4" s="1"/>
  <c r="AF427" i="4"/>
  <c r="AI426" i="4"/>
  <c r="AH426" i="4"/>
  <c r="AG426" i="4"/>
  <c r="AJ426" i="4" s="1"/>
  <c r="AF426" i="4"/>
  <c r="AK426" i="4" s="1"/>
  <c r="AK425" i="4"/>
  <c r="AJ425" i="4"/>
  <c r="AG425" i="4"/>
  <c r="AI425" i="4" s="1"/>
  <c r="AF425" i="4"/>
  <c r="AH425" i="4" s="1"/>
  <c r="AK424" i="4"/>
  <c r="AJ424" i="4"/>
  <c r="AI424" i="4"/>
  <c r="AH424" i="4"/>
  <c r="AG424" i="4"/>
  <c r="AF424" i="4"/>
  <c r="AG423" i="4"/>
  <c r="AJ423" i="4" s="1"/>
  <c r="AF423" i="4"/>
  <c r="AI422" i="4"/>
  <c r="AG422" i="4"/>
  <c r="AJ422" i="4" s="1"/>
  <c r="AF422" i="4"/>
  <c r="AK422" i="4" s="1"/>
  <c r="AK421" i="4"/>
  <c r="AJ421" i="4"/>
  <c r="AG421" i="4"/>
  <c r="AI421" i="4" s="1"/>
  <c r="AF421" i="4"/>
  <c r="AH421" i="4" s="1"/>
  <c r="AK420" i="4"/>
  <c r="AJ420" i="4"/>
  <c r="AI420" i="4"/>
  <c r="AH420" i="4"/>
  <c r="AG420" i="4"/>
  <c r="AF420" i="4"/>
  <c r="AG419" i="4"/>
  <c r="AF419" i="4"/>
  <c r="AH418" i="4"/>
  <c r="AG418" i="4"/>
  <c r="AJ418" i="4" s="1"/>
  <c r="AF418" i="4"/>
  <c r="AK418" i="4" s="1"/>
  <c r="AK417" i="4"/>
  <c r="AJ417" i="4"/>
  <c r="AG417" i="4"/>
  <c r="AI417" i="4" s="1"/>
  <c r="AF417" i="4"/>
  <c r="AH417" i="4" s="1"/>
  <c r="AK416" i="4"/>
  <c r="AJ416" i="4"/>
  <c r="AI416" i="4"/>
  <c r="AH416" i="4"/>
  <c r="AG416" i="4"/>
  <c r="AF416" i="4"/>
  <c r="AG415" i="4"/>
  <c r="AJ415" i="4" s="1"/>
  <c r="AF415" i="4"/>
  <c r="AH414" i="4"/>
  <c r="AG414" i="4"/>
  <c r="AJ414" i="4" s="1"/>
  <c r="AF414" i="4"/>
  <c r="AK414" i="4" s="1"/>
  <c r="AK413" i="4"/>
  <c r="AJ413" i="4"/>
  <c r="AG413" i="4"/>
  <c r="AI413" i="4" s="1"/>
  <c r="AF413" i="4"/>
  <c r="AH413" i="4" s="1"/>
  <c r="AK412" i="4"/>
  <c r="AJ412" i="4"/>
  <c r="AI412" i="4"/>
  <c r="AH412" i="4"/>
  <c r="AG412" i="4"/>
  <c r="AF412" i="4"/>
  <c r="AG411" i="4"/>
  <c r="AF411" i="4"/>
  <c r="AH410" i="4"/>
  <c r="AG410" i="4"/>
  <c r="AJ410" i="4" s="1"/>
  <c r="AF410" i="4"/>
  <c r="AK410" i="4" s="1"/>
  <c r="AK409" i="4"/>
  <c r="AJ409" i="4"/>
  <c r="AG409" i="4"/>
  <c r="AI409" i="4" s="1"/>
  <c r="AF409" i="4"/>
  <c r="AH409" i="4" s="1"/>
  <c r="AK408" i="4"/>
  <c r="AJ408" i="4"/>
  <c r="AI408" i="4"/>
  <c r="AH408" i="4"/>
  <c r="AG408" i="4"/>
  <c r="AF408" i="4"/>
  <c r="AG407" i="4"/>
  <c r="AF407" i="4"/>
  <c r="AH406" i="4"/>
  <c r="AG406" i="4"/>
  <c r="AJ406" i="4" s="1"/>
  <c r="AF406" i="4"/>
  <c r="AK406" i="4" s="1"/>
  <c r="AK405" i="4"/>
  <c r="AJ405" i="4"/>
  <c r="AG405" i="4"/>
  <c r="AI405" i="4" s="1"/>
  <c r="AF405" i="4"/>
  <c r="AH405" i="4" s="1"/>
  <c r="AK404" i="4"/>
  <c r="AJ404" i="4"/>
  <c r="AI404" i="4"/>
  <c r="AH404" i="4"/>
  <c r="AG404" i="4"/>
  <c r="AF404" i="4"/>
  <c r="AG403" i="4"/>
  <c r="AF403" i="4"/>
  <c r="AH402" i="4"/>
  <c r="AG402" i="4"/>
  <c r="AJ402" i="4" s="1"/>
  <c r="AF402" i="4"/>
  <c r="AK402" i="4" s="1"/>
  <c r="AK401" i="4"/>
  <c r="AJ401" i="4"/>
  <c r="AG401" i="4"/>
  <c r="AI401" i="4" s="1"/>
  <c r="AF401" i="4"/>
  <c r="AH401" i="4" s="1"/>
  <c r="AK400" i="4"/>
  <c r="AJ400" i="4"/>
  <c r="AI400" i="4"/>
  <c r="AH400" i="4"/>
  <c r="AG400" i="4"/>
  <c r="AF400" i="4"/>
  <c r="AG399" i="4"/>
  <c r="AF399" i="4"/>
  <c r="AG398" i="4"/>
  <c r="AJ398" i="4" s="1"/>
  <c r="AF398" i="4"/>
  <c r="AK398" i="4" s="1"/>
  <c r="AK397" i="4"/>
  <c r="AJ397" i="4"/>
  <c r="AG397" i="4"/>
  <c r="AI397" i="4" s="1"/>
  <c r="AF397" i="4"/>
  <c r="AH397" i="4" s="1"/>
  <c r="AK396" i="4"/>
  <c r="AJ396" i="4"/>
  <c r="AI396" i="4"/>
  <c r="AH396" i="4"/>
  <c r="AG396" i="4"/>
  <c r="AF396" i="4"/>
  <c r="AG395" i="4"/>
  <c r="AF395" i="4"/>
  <c r="AG394" i="4"/>
  <c r="AJ394" i="4" s="1"/>
  <c r="AF394" i="4"/>
  <c r="AK394" i="4" s="1"/>
  <c r="AK393" i="4"/>
  <c r="AJ393" i="4"/>
  <c r="AG393" i="4"/>
  <c r="AI393" i="4" s="1"/>
  <c r="AF393" i="4"/>
  <c r="AH393" i="4" s="1"/>
  <c r="AK392" i="4"/>
  <c r="AJ392" i="4"/>
  <c r="AI392" i="4"/>
  <c r="AH392" i="4"/>
  <c r="AG392" i="4"/>
  <c r="AF392" i="4"/>
  <c r="AG391" i="4"/>
  <c r="AF391" i="4"/>
  <c r="AH390" i="4"/>
  <c r="AG390" i="4"/>
  <c r="AJ390" i="4" s="1"/>
  <c r="AF390" i="4"/>
  <c r="AK390" i="4" s="1"/>
  <c r="AK389" i="4"/>
  <c r="AJ389" i="4"/>
  <c r="AG389" i="4"/>
  <c r="AI389" i="4" s="1"/>
  <c r="AF389" i="4"/>
  <c r="AH389" i="4" s="1"/>
  <c r="AK388" i="4"/>
  <c r="AJ388" i="4"/>
  <c r="AI388" i="4"/>
  <c r="AH388" i="4"/>
  <c r="AG388" i="4"/>
  <c r="AF388" i="4"/>
  <c r="AG387" i="4"/>
  <c r="AF387" i="4"/>
  <c r="AG386" i="4"/>
  <c r="AJ386" i="4" s="1"/>
  <c r="AF386" i="4"/>
  <c r="AK386" i="4" s="1"/>
  <c r="AK385" i="4"/>
  <c r="AJ385" i="4"/>
  <c r="AG385" i="4"/>
  <c r="AI385" i="4" s="1"/>
  <c r="AF385" i="4"/>
  <c r="AH385" i="4" s="1"/>
  <c r="AK384" i="4"/>
  <c r="AJ384" i="4"/>
  <c r="AI384" i="4"/>
  <c r="AH384" i="4"/>
  <c r="AG384" i="4"/>
  <c r="AF384" i="4"/>
  <c r="AG383" i="4"/>
  <c r="AF383" i="4"/>
  <c r="AG382" i="4"/>
  <c r="AJ382" i="4" s="1"/>
  <c r="AF382" i="4"/>
  <c r="AK382" i="4" s="1"/>
  <c r="AK381" i="4"/>
  <c r="AJ381" i="4"/>
  <c r="AG381" i="4"/>
  <c r="AI381" i="4" s="1"/>
  <c r="AF381" i="4"/>
  <c r="AH381" i="4" s="1"/>
  <c r="AK380" i="4"/>
  <c r="AJ380" i="4"/>
  <c r="AI380" i="4"/>
  <c r="AH380" i="4"/>
  <c r="AG380" i="4"/>
  <c r="AF380" i="4"/>
  <c r="AG379" i="4"/>
  <c r="AF379" i="4"/>
  <c r="AG378" i="4"/>
  <c r="AF378" i="4"/>
  <c r="AK378" i="4" s="1"/>
  <c r="AK377" i="4"/>
  <c r="AJ377" i="4"/>
  <c r="AG377" i="4"/>
  <c r="AI377" i="4" s="1"/>
  <c r="AF377" i="4"/>
  <c r="AH377" i="4" s="1"/>
  <c r="AK376" i="4"/>
  <c r="AJ376" i="4"/>
  <c r="AI376" i="4"/>
  <c r="AH376" i="4"/>
  <c r="AG376" i="4"/>
  <c r="AF376" i="4"/>
  <c r="AI375" i="4"/>
  <c r="AG375" i="4"/>
  <c r="AF375" i="4"/>
  <c r="AG374" i="4"/>
  <c r="AF374" i="4"/>
  <c r="AK373" i="4"/>
  <c r="AJ373" i="4"/>
  <c r="AG373" i="4"/>
  <c r="AI373" i="4" s="1"/>
  <c r="AF373" i="4"/>
  <c r="AH373" i="4" s="1"/>
  <c r="AK372" i="4"/>
  <c r="AJ372" i="4"/>
  <c r="AI372" i="4"/>
  <c r="AH372" i="4"/>
  <c r="AG372" i="4"/>
  <c r="AF372" i="4"/>
  <c r="AJ371" i="4"/>
  <c r="AI371" i="4"/>
  <c r="AG371" i="4"/>
  <c r="AF371" i="4"/>
  <c r="AH370" i="4"/>
  <c r="AG370" i="4"/>
  <c r="AF370" i="4"/>
  <c r="AK370" i="4" s="1"/>
  <c r="AK369" i="4"/>
  <c r="AJ369" i="4"/>
  <c r="AG369" i="4"/>
  <c r="AI369" i="4" s="1"/>
  <c r="AF369" i="4"/>
  <c r="AH369" i="4" s="1"/>
  <c r="AK368" i="4"/>
  <c r="AJ368" i="4"/>
  <c r="AI368" i="4"/>
  <c r="AH368" i="4"/>
  <c r="AG368" i="4"/>
  <c r="AF368" i="4"/>
  <c r="AH367" i="4"/>
  <c r="AG367" i="4"/>
  <c r="AF367" i="4"/>
  <c r="AG366" i="4"/>
  <c r="AF366" i="4"/>
  <c r="AG365" i="4"/>
  <c r="AI365" i="4" s="1"/>
  <c r="AF365" i="4"/>
  <c r="AK364" i="4"/>
  <c r="AJ364" i="4"/>
  <c r="AI364" i="4"/>
  <c r="AH364" i="4"/>
  <c r="AG364" i="4"/>
  <c r="AF364" i="4"/>
  <c r="AJ363" i="4"/>
  <c r="AG363" i="4"/>
  <c r="AI363" i="4" s="1"/>
  <c r="AF363" i="4"/>
  <c r="AH363" i="4" s="1"/>
  <c r="AI362" i="4"/>
  <c r="AG362" i="4"/>
  <c r="AF362" i="4"/>
  <c r="AG361" i="4"/>
  <c r="AI361" i="4" s="1"/>
  <c r="AF361" i="4"/>
  <c r="AH361" i="4" s="1"/>
  <c r="AK360" i="4"/>
  <c r="AJ360" i="4"/>
  <c r="AI360" i="4"/>
  <c r="AH360" i="4"/>
  <c r="AG360" i="4"/>
  <c r="AF360" i="4"/>
  <c r="AI359" i="4"/>
  <c r="AG359" i="4"/>
  <c r="AF359" i="4"/>
  <c r="AG358" i="4"/>
  <c r="AJ358" i="4" s="1"/>
  <c r="AF358" i="4"/>
  <c r="AG357" i="4"/>
  <c r="AI357" i="4" s="1"/>
  <c r="AF357" i="4"/>
  <c r="AK356" i="4"/>
  <c r="AJ356" i="4"/>
  <c r="AI356" i="4"/>
  <c r="AH356" i="4"/>
  <c r="AG356" i="4"/>
  <c r="AF356" i="4"/>
  <c r="AJ355" i="4"/>
  <c r="AG355" i="4"/>
  <c r="AI355" i="4" s="1"/>
  <c r="AF355" i="4"/>
  <c r="AH355" i="4" s="1"/>
  <c r="AI354" i="4"/>
  <c r="AG354" i="4"/>
  <c r="AF354" i="4"/>
  <c r="AH353" i="4"/>
  <c r="AG353" i="4"/>
  <c r="AI353" i="4" s="1"/>
  <c r="AF353" i="4"/>
  <c r="AK353" i="4" s="1"/>
  <c r="AI352" i="4"/>
  <c r="AG352" i="4"/>
  <c r="AF352" i="4"/>
  <c r="AH352" i="4" s="1"/>
  <c r="AH351" i="4"/>
  <c r="AG351" i="4"/>
  <c r="AF351" i="4"/>
  <c r="AJ350" i="4"/>
  <c r="AI350" i="4"/>
  <c r="AH350" i="4"/>
  <c r="AG350" i="4"/>
  <c r="AF350" i="4"/>
  <c r="AK350" i="4" s="1"/>
  <c r="AK349" i="4"/>
  <c r="AH349" i="4"/>
  <c r="AG349" i="4"/>
  <c r="AJ349" i="4" s="1"/>
  <c r="AF349" i="4"/>
  <c r="AI348" i="4"/>
  <c r="AG348" i="4"/>
  <c r="AF348" i="4"/>
  <c r="AH348" i="4" s="1"/>
  <c r="AH347" i="4"/>
  <c r="AG347" i="4"/>
  <c r="AF347" i="4"/>
  <c r="AJ346" i="4"/>
  <c r="AI346" i="4"/>
  <c r="AH346" i="4"/>
  <c r="AG346" i="4"/>
  <c r="AF346" i="4"/>
  <c r="AK346" i="4" s="1"/>
  <c r="AK345" i="4"/>
  <c r="AH345" i="4"/>
  <c r="AG345" i="4"/>
  <c r="AJ345" i="4" s="1"/>
  <c r="AF345" i="4"/>
  <c r="AI344" i="4"/>
  <c r="AG344" i="4"/>
  <c r="AF344" i="4"/>
  <c r="AH344" i="4" s="1"/>
  <c r="AH343" i="4"/>
  <c r="AG343" i="4"/>
  <c r="AF343" i="4"/>
  <c r="AJ342" i="4"/>
  <c r="AI342" i="4"/>
  <c r="AH342" i="4"/>
  <c r="AG342" i="4"/>
  <c r="AF342" i="4"/>
  <c r="AK342" i="4" s="1"/>
  <c r="AK341" i="4"/>
  <c r="AH341" i="4"/>
  <c r="AG341" i="4"/>
  <c r="AJ341" i="4" s="1"/>
  <c r="AF341" i="4"/>
  <c r="AI340" i="4"/>
  <c r="AG340" i="4"/>
  <c r="AF340" i="4"/>
  <c r="AH340" i="4" s="1"/>
  <c r="AH339" i="4"/>
  <c r="AG339" i="4"/>
  <c r="AF339" i="4"/>
  <c r="AJ338" i="4"/>
  <c r="AI338" i="4"/>
  <c r="AH338" i="4"/>
  <c r="AG338" i="4"/>
  <c r="AF338" i="4"/>
  <c r="AK338" i="4" s="1"/>
  <c r="AK337" i="4"/>
  <c r="AH337" i="4"/>
  <c r="AG337" i="4"/>
  <c r="AJ337" i="4" s="1"/>
  <c r="AF337" i="4"/>
  <c r="AI336" i="4"/>
  <c r="AG336" i="4"/>
  <c r="AF336" i="4"/>
  <c r="AH336" i="4" s="1"/>
  <c r="AH335" i="4"/>
  <c r="AG335" i="4"/>
  <c r="AF335" i="4"/>
  <c r="AJ334" i="4"/>
  <c r="AI334" i="4"/>
  <c r="AG334" i="4"/>
  <c r="AF334" i="4"/>
  <c r="AK334" i="4" s="1"/>
  <c r="AK333" i="4"/>
  <c r="AH333" i="4"/>
  <c r="AG333" i="4"/>
  <c r="AJ333" i="4" s="1"/>
  <c r="AF333" i="4"/>
  <c r="AI332" i="4"/>
  <c r="AG332" i="4"/>
  <c r="AF332" i="4"/>
  <c r="AH332" i="4" s="1"/>
  <c r="AH331" i="4"/>
  <c r="AG331" i="4"/>
  <c r="AF331" i="4"/>
  <c r="AJ330" i="4"/>
  <c r="AI330" i="4"/>
  <c r="AG330" i="4"/>
  <c r="AF330" i="4"/>
  <c r="AK330" i="4" s="1"/>
  <c r="AK329" i="4"/>
  <c r="AH329" i="4"/>
  <c r="AG329" i="4"/>
  <c r="AJ329" i="4" s="1"/>
  <c r="AF329" i="4"/>
  <c r="AI328" i="4"/>
  <c r="AG328" i="4"/>
  <c r="AF328" i="4"/>
  <c r="AH328" i="4" s="1"/>
  <c r="AH327" i="4"/>
  <c r="AG327" i="4"/>
  <c r="AF327" i="4"/>
  <c r="AJ326" i="4"/>
  <c r="AI326" i="4"/>
  <c r="AG326" i="4"/>
  <c r="AF326" i="4"/>
  <c r="AK326" i="4" s="1"/>
  <c r="AK325" i="4"/>
  <c r="AH325" i="4"/>
  <c r="AG325" i="4"/>
  <c r="AJ325" i="4" s="1"/>
  <c r="AF325" i="4"/>
  <c r="AI324" i="4"/>
  <c r="AG324" i="4"/>
  <c r="AF324" i="4"/>
  <c r="AH324" i="4" s="1"/>
  <c r="AH323" i="4"/>
  <c r="AG323" i="4"/>
  <c r="AF323" i="4"/>
  <c r="AJ322" i="4"/>
  <c r="AI322" i="4"/>
  <c r="AG322" i="4"/>
  <c r="AF322" i="4"/>
  <c r="AK322" i="4" s="1"/>
  <c r="AK321" i="4"/>
  <c r="AH321" i="4"/>
  <c r="AG321" i="4"/>
  <c r="AJ321" i="4" s="1"/>
  <c r="AF321" i="4"/>
  <c r="AI320" i="4"/>
  <c r="AG320" i="4"/>
  <c r="AF320" i="4"/>
  <c r="AH320" i="4" s="1"/>
  <c r="AH319" i="4"/>
  <c r="AG319" i="4"/>
  <c r="AF319" i="4"/>
  <c r="AJ318" i="4"/>
  <c r="AI318" i="4"/>
  <c r="AG318" i="4"/>
  <c r="AF318" i="4"/>
  <c r="AK318" i="4" s="1"/>
  <c r="AK317" i="4"/>
  <c r="AH317" i="4"/>
  <c r="AG317" i="4"/>
  <c r="AJ317" i="4" s="1"/>
  <c r="AF317" i="4"/>
  <c r="AI316" i="4"/>
  <c r="AG316" i="4"/>
  <c r="AF316" i="4"/>
  <c r="AH316" i="4" s="1"/>
  <c r="AH315" i="4"/>
  <c r="AG315" i="4"/>
  <c r="AF315" i="4"/>
  <c r="AJ314" i="4"/>
  <c r="AI314" i="4"/>
  <c r="AG314" i="4"/>
  <c r="AF314" i="4"/>
  <c r="AK314" i="4" s="1"/>
  <c r="AK313" i="4"/>
  <c r="AH313" i="4"/>
  <c r="AG313" i="4"/>
  <c r="AJ313" i="4" s="1"/>
  <c r="AF313" i="4"/>
  <c r="AI312" i="4"/>
  <c r="AG312" i="4"/>
  <c r="AF312" i="4"/>
  <c r="AH312" i="4" s="1"/>
  <c r="AH311" i="4"/>
  <c r="AG311" i="4"/>
  <c r="AF311" i="4"/>
  <c r="AJ310" i="4"/>
  <c r="AI310" i="4"/>
  <c r="AH310" i="4"/>
  <c r="AG310" i="4"/>
  <c r="AF310" i="4"/>
  <c r="AK310" i="4" s="1"/>
  <c r="AK309" i="4"/>
  <c r="AH309" i="4"/>
  <c r="AG309" i="4"/>
  <c r="AJ309" i="4" s="1"/>
  <c r="AF309" i="4"/>
  <c r="AI308" i="4"/>
  <c r="AG308" i="4"/>
  <c r="AF308" i="4"/>
  <c r="AH308" i="4" s="1"/>
  <c r="AH307" i="4"/>
  <c r="AG307" i="4"/>
  <c r="AF307" i="4"/>
  <c r="AJ306" i="4"/>
  <c r="AI306" i="4"/>
  <c r="AH306" i="4"/>
  <c r="AG306" i="4"/>
  <c r="AF306" i="4"/>
  <c r="AK306" i="4" s="1"/>
  <c r="AK305" i="4"/>
  <c r="AH305" i="4"/>
  <c r="AG305" i="4"/>
  <c r="AJ305" i="4" s="1"/>
  <c r="AF305" i="4"/>
  <c r="AI304" i="4"/>
  <c r="AG304" i="4"/>
  <c r="AF304" i="4"/>
  <c r="AH304" i="4" s="1"/>
  <c r="AH303" i="4"/>
  <c r="AG303" i="4"/>
  <c r="AF303" i="4"/>
  <c r="AJ302" i="4"/>
  <c r="AI302" i="4"/>
  <c r="AH302" i="4"/>
  <c r="AG302" i="4"/>
  <c r="AF302" i="4"/>
  <c r="AK302" i="4" s="1"/>
  <c r="AK301" i="4"/>
  <c r="AH301" i="4"/>
  <c r="AG301" i="4"/>
  <c r="AJ301" i="4" s="1"/>
  <c r="AF301" i="4"/>
  <c r="AI300" i="4"/>
  <c r="AG300" i="4"/>
  <c r="AF300" i="4"/>
  <c r="AH300" i="4" s="1"/>
  <c r="AH299" i="4"/>
  <c r="AG299" i="4"/>
  <c r="AF299" i="4"/>
  <c r="AJ298" i="4"/>
  <c r="AI298" i="4"/>
  <c r="AH298" i="4"/>
  <c r="AG298" i="4"/>
  <c r="AF298" i="4"/>
  <c r="AK298" i="4" s="1"/>
  <c r="AK297" i="4"/>
  <c r="AH297" i="4"/>
  <c r="AG297" i="4"/>
  <c r="AJ297" i="4" s="1"/>
  <c r="AF297" i="4"/>
  <c r="AI296" i="4"/>
  <c r="AG296" i="4"/>
  <c r="AF296" i="4"/>
  <c r="AH296" i="4" s="1"/>
  <c r="AH295" i="4"/>
  <c r="AG295" i="4"/>
  <c r="AF295" i="4"/>
  <c r="AJ294" i="4"/>
  <c r="AI294" i="4"/>
  <c r="AH294" i="4"/>
  <c r="AG294" i="4"/>
  <c r="AF294" i="4"/>
  <c r="AK294" i="4" s="1"/>
  <c r="AK293" i="4"/>
  <c r="AH293" i="4"/>
  <c r="AG293" i="4"/>
  <c r="AJ293" i="4" s="1"/>
  <c r="AF293" i="4"/>
  <c r="AI292" i="4"/>
  <c r="AG292" i="4"/>
  <c r="AF292" i="4"/>
  <c r="AH292" i="4" s="1"/>
  <c r="AH291" i="4"/>
  <c r="AG291" i="4"/>
  <c r="AF291" i="4"/>
  <c r="AJ290" i="4"/>
  <c r="AI290" i="4"/>
  <c r="AH290" i="4"/>
  <c r="AG290" i="4"/>
  <c r="AF290" i="4"/>
  <c r="AK290" i="4" s="1"/>
  <c r="AK289" i="4"/>
  <c r="AH289" i="4"/>
  <c r="AG289" i="4"/>
  <c r="AJ289" i="4" s="1"/>
  <c r="AF289" i="4"/>
  <c r="AI288" i="4"/>
  <c r="AG288" i="4"/>
  <c r="AF288" i="4"/>
  <c r="AH288" i="4" s="1"/>
  <c r="AH287" i="4"/>
  <c r="AG287" i="4"/>
  <c r="AF287" i="4"/>
  <c r="AJ286" i="4"/>
  <c r="AI286" i="4"/>
  <c r="AG286" i="4"/>
  <c r="AF286" i="4"/>
  <c r="AK286" i="4" s="1"/>
  <c r="AK285" i="4"/>
  <c r="AH285" i="4"/>
  <c r="AG285" i="4"/>
  <c r="AJ285" i="4" s="1"/>
  <c r="AF285" i="4"/>
  <c r="AI284" i="4"/>
  <c r="AG284" i="4"/>
  <c r="AF284" i="4"/>
  <c r="AH284" i="4" s="1"/>
  <c r="AH283" i="4"/>
  <c r="AG283" i="4"/>
  <c r="AF283" i="4"/>
  <c r="AJ282" i="4"/>
  <c r="AI282" i="4"/>
  <c r="AG282" i="4"/>
  <c r="AF282" i="4"/>
  <c r="AK282" i="4" s="1"/>
  <c r="AK281" i="4"/>
  <c r="AH281" i="4"/>
  <c r="AG281" i="4"/>
  <c r="AJ281" i="4" s="1"/>
  <c r="AF281" i="4"/>
  <c r="AI280" i="4"/>
  <c r="AG280" i="4"/>
  <c r="AF280" i="4"/>
  <c r="AH280" i="4" s="1"/>
  <c r="AH279" i="4"/>
  <c r="AG279" i="4"/>
  <c r="AF279" i="4"/>
  <c r="AJ278" i="4"/>
  <c r="AI278" i="4"/>
  <c r="AG278" i="4"/>
  <c r="AF278" i="4"/>
  <c r="AK278" i="4" s="1"/>
  <c r="AK277" i="4"/>
  <c r="AH277" i="4"/>
  <c r="AG277" i="4"/>
  <c r="AJ277" i="4" s="1"/>
  <c r="AF277" i="4"/>
  <c r="AI276" i="4"/>
  <c r="AG276" i="4"/>
  <c r="AF276" i="4"/>
  <c r="AH276" i="4" s="1"/>
  <c r="AH275" i="4"/>
  <c r="AG275" i="4"/>
  <c r="AF275" i="4"/>
  <c r="AJ274" i="4"/>
  <c r="AI274" i="4"/>
  <c r="AG274" i="4"/>
  <c r="AF274" i="4"/>
  <c r="AK274" i="4" s="1"/>
  <c r="AK273" i="4"/>
  <c r="AH273" i="4"/>
  <c r="AG273" i="4"/>
  <c r="AJ273" i="4" s="1"/>
  <c r="AF273" i="4"/>
  <c r="AI272" i="4"/>
  <c r="AG272" i="4"/>
  <c r="AF272" i="4"/>
  <c r="AH271" i="4"/>
  <c r="AG271" i="4"/>
  <c r="AF271" i="4"/>
  <c r="AJ270" i="4"/>
  <c r="AI270" i="4"/>
  <c r="AG270" i="4"/>
  <c r="AF270" i="4"/>
  <c r="AK270" i="4" s="1"/>
  <c r="AK269" i="4"/>
  <c r="AH269" i="4"/>
  <c r="AG269" i="4"/>
  <c r="AJ269" i="4" s="1"/>
  <c r="AF269" i="4"/>
  <c r="AI268" i="4"/>
  <c r="AG268" i="4"/>
  <c r="AF268" i="4"/>
  <c r="AH267" i="4"/>
  <c r="AG267" i="4"/>
  <c r="AF267" i="4"/>
  <c r="AJ266" i="4"/>
  <c r="AI266" i="4"/>
  <c r="AG266" i="4"/>
  <c r="AF266" i="4"/>
  <c r="AK266" i="4" s="1"/>
  <c r="AK265" i="4"/>
  <c r="AH265" i="4"/>
  <c r="AG265" i="4"/>
  <c r="AJ265" i="4" s="1"/>
  <c r="AF265" i="4"/>
  <c r="AI264" i="4"/>
  <c r="AG264" i="4"/>
  <c r="AF264" i="4"/>
  <c r="AH263" i="4"/>
  <c r="AG263" i="4"/>
  <c r="AF263" i="4"/>
  <c r="AJ262" i="4"/>
  <c r="AI262" i="4"/>
  <c r="AG262" i="4"/>
  <c r="AF262" i="4"/>
  <c r="AK262" i="4" s="1"/>
  <c r="AK261" i="4"/>
  <c r="AH261" i="4"/>
  <c r="AG261" i="4"/>
  <c r="AJ261" i="4" s="1"/>
  <c r="AF261" i="4"/>
  <c r="AI260" i="4"/>
  <c r="AG260" i="4"/>
  <c r="AF260" i="4"/>
  <c r="AH259" i="4"/>
  <c r="AG259" i="4"/>
  <c r="AF259" i="4"/>
  <c r="AJ258" i="4"/>
  <c r="AI258" i="4"/>
  <c r="AG258" i="4"/>
  <c r="AF258" i="4"/>
  <c r="AK258" i="4" s="1"/>
  <c r="AH257" i="4"/>
  <c r="AG257" i="4"/>
  <c r="AF257" i="4"/>
  <c r="AI256" i="4"/>
  <c r="AG256" i="4"/>
  <c r="AF256" i="4"/>
  <c r="AK255" i="4"/>
  <c r="AH255" i="4"/>
  <c r="AG255" i="4"/>
  <c r="AF255" i="4"/>
  <c r="AJ254" i="4"/>
  <c r="AI254" i="4"/>
  <c r="AG254" i="4"/>
  <c r="AF254" i="4"/>
  <c r="AK254" i="4" s="1"/>
  <c r="AK253" i="4"/>
  <c r="AH253" i="4"/>
  <c r="AG253" i="4"/>
  <c r="AF253" i="4"/>
  <c r="AI252" i="4"/>
  <c r="AG252" i="4"/>
  <c r="AF252" i="4"/>
  <c r="AK251" i="4"/>
  <c r="AH251" i="4"/>
  <c r="AG251" i="4"/>
  <c r="AF251" i="4"/>
  <c r="AJ250" i="4"/>
  <c r="AI250" i="4"/>
  <c r="AG250" i="4"/>
  <c r="AF250" i="4"/>
  <c r="AK250" i="4" s="1"/>
  <c r="AK249" i="4"/>
  <c r="AH249" i="4"/>
  <c r="AG249" i="4"/>
  <c r="AF249" i="4"/>
  <c r="AI248" i="4"/>
  <c r="AG248" i="4"/>
  <c r="AF248" i="4"/>
  <c r="AH247" i="4"/>
  <c r="AG247" i="4"/>
  <c r="AF247" i="4"/>
  <c r="AJ246" i="4"/>
  <c r="AI246" i="4"/>
  <c r="AG246" i="4"/>
  <c r="AF246" i="4"/>
  <c r="AK246" i="4" s="1"/>
  <c r="AH245" i="4"/>
  <c r="AG245" i="4"/>
  <c r="AF245" i="4"/>
  <c r="AI244" i="4"/>
  <c r="AG244" i="4"/>
  <c r="AF244" i="4"/>
  <c r="AK243" i="4"/>
  <c r="AH243" i="4"/>
  <c r="AG243" i="4"/>
  <c r="AF243" i="4"/>
  <c r="AJ242" i="4"/>
  <c r="AI242" i="4"/>
  <c r="AG242" i="4"/>
  <c r="AF242" i="4"/>
  <c r="AK242" i="4" s="1"/>
  <c r="AK241" i="4"/>
  <c r="AH241" i="4"/>
  <c r="AG241" i="4"/>
  <c r="AF241" i="4"/>
  <c r="AI240" i="4"/>
  <c r="AG240" i="4"/>
  <c r="AF240" i="4"/>
  <c r="AH239" i="4"/>
  <c r="AG239" i="4"/>
  <c r="AK239" i="4" s="1"/>
  <c r="AF239" i="4"/>
  <c r="AJ238" i="4"/>
  <c r="AI238" i="4"/>
  <c r="AG238" i="4"/>
  <c r="AF238" i="4"/>
  <c r="AK238" i="4" s="1"/>
  <c r="AH237" i="4"/>
  <c r="AG237" i="4"/>
  <c r="AK237" i="4" s="1"/>
  <c r="AF237" i="4"/>
  <c r="AI236" i="4"/>
  <c r="AG236" i="4"/>
  <c r="AF236" i="4"/>
  <c r="AH235" i="4"/>
  <c r="AG235" i="4"/>
  <c r="AK235" i="4" s="1"/>
  <c r="AF235" i="4"/>
  <c r="AJ234" i="4"/>
  <c r="AI234" i="4"/>
  <c r="AG234" i="4"/>
  <c r="AF234" i="4"/>
  <c r="AK234" i="4" s="1"/>
  <c r="AH233" i="4"/>
  <c r="AG233" i="4"/>
  <c r="AK233" i="4" s="1"/>
  <c r="AF233" i="4"/>
  <c r="AI232" i="4"/>
  <c r="AG232" i="4"/>
  <c r="AF232" i="4"/>
  <c r="AK231" i="4"/>
  <c r="AH231" i="4"/>
  <c r="AG231" i="4"/>
  <c r="AF231" i="4"/>
  <c r="AJ230" i="4"/>
  <c r="AI230" i="4"/>
  <c r="AG230" i="4"/>
  <c r="AF230" i="4"/>
  <c r="AK229" i="4"/>
  <c r="AH229" i="4"/>
  <c r="AG229" i="4"/>
  <c r="AF229" i="4"/>
  <c r="AJ228" i="4"/>
  <c r="AI228" i="4"/>
  <c r="AG228" i="4"/>
  <c r="AF228" i="4"/>
  <c r="AH227" i="4"/>
  <c r="AG227" i="4"/>
  <c r="AF227" i="4"/>
  <c r="AJ226" i="4"/>
  <c r="AI226" i="4"/>
  <c r="AG226" i="4"/>
  <c r="AF226" i="4"/>
  <c r="AH225" i="4"/>
  <c r="AG225" i="4"/>
  <c r="AF225" i="4"/>
  <c r="AJ224" i="4"/>
  <c r="AI224" i="4"/>
  <c r="AG224" i="4"/>
  <c r="AF224" i="4"/>
  <c r="AH223" i="4"/>
  <c r="AG223" i="4"/>
  <c r="AI223" i="4" s="1"/>
  <c r="AF223" i="4"/>
  <c r="AI222" i="4"/>
  <c r="AH222" i="4"/>
  <c r="AG222" i="4"/>
  <c r="AF222" i="4"/>
  <c r="AK222" i="4" s="1"/>
  <c r="AH221" i="4"/>
  <c r="AG221" i="4"/>
  <c r="AK221" i="4" s="1"/>
  <c r="AF221" i="4"/>
  <c r="AJ220" i="4"/>
  <c r="AI220" i="4"/>
  <c r="AG220" i="4"/>
  <c r="AF220" i="4"/>
  <c r="AK219" i="4"/>
  <c r="AJ219" i="4"/>
  <c r="AH219" i="4"/>
  <c r="AG219" i="4"/>
  <c r="AI219" i="4" s="1"/>
  <c r="AF219" i="4"/>
  <c r="AI218" i="4"/>
  <c r="AG218" i="4"/>
  <c r="AF218" i="4"/>
  <c r="AK218" i="4" s="1"/>
  <c r="AI217" i="4"/>
  <c r="AH217" i="4"/>
  <c r="AG217" i="4"/>
  <c r="AJ217" i="4" s="1"/>
  <c r="AF217" i="4"/>
  <c r="AK217" i="4" s="1"/>
  <c r="AI216" i="4"/>
  <c r="AG216" i="4"/>
  <c r="AJ216" i="4" s="1"/>
  <c r="AF216" i="4"/>
  <c r="AK215" i="4"/>
  <c r="AH215" i="4"/>
  <c r="AG215" i="4"/>
  <c r="AI215" i="4" s="1"/>
  <c r="AF215" i="4"/>
  <c r="AK214" i="4"/>
  <c r="AJ214" i="4"/>
  <c r="AI214" i="4"/>
  <c r="AH214" i="4"/>
  <c r="AG214" i="4"/>
  <c r="AF214" i="4"/>
  <c r="AH213" i="4"/>
  <c r="AG213" i="4"/>
  <c r="AJ213" i="4" s="1"/>
  <c r="AF213" i="4"/>
  <c r="AJ212" i="4"/>
  <c r="AG212" i="4"/>
  <c r="AI212" i="4" s="1"/>
  <c r="AF212" i="4"/>
  <c r="AK211" i="4"/>
  <c r="AJ211" i="4"/>
  <c r="AH211" i="4"/>
  <c r="AG211" i="4"/>
  <c r="AI211" i="4" s="1"/>
  <c r="AF211" i="4"/>
  <c r="AG210" i="4"/>
  <c r="AJ210" i="4" s="1"/>
  <c r="AF210" i="4"/>
  <c r="AK210" i="4" s="1"/>
  <c r="AJ209" i="4"/>
  <c r="AH209" i="4"/>
  <c r="AG209" i="4"/>
  <c r="AI209" i="4" s="1"/>
  <c r="AF209" i="4"/>
  <c r="AK209" i="4" s="1"/>
  <c r="AK208" i="4"/>
  <c r="AJ208" i="4"/>
  <c r="AH208" i="4"/>
  <c r="AG208" i="4"/>
  <c r="AI208" i="4" s="1"/>
  <c r="AF208" i="4"/>
  <c r="AI207" i="4"/>
  <c r="AG207" i="4"/>
  <c r="AF207" i="4"/>
  <c r="AH207" i="4" s="1"/>
  <c r="AG206" i="4"/>
  <c r="AJ206" i="4" s="1"/>
  <c r="AF206" i="4"/>
  <c r="AK206" i="4" s="1"/>
  <c r="AJ205" i="4"/>
  <c r="AH205" i="4"/>
  <c r="AG205" i="4"/>
  <c r="AI205" i="4" s="1"/>
  <c r="AF205" i="4"/>
  <c r="AK205" i="4" s="1"/>
  <c r="AK204" i="4"/>
  <c r="AJ204" i="4"/>
  <c r="AH204" i="4"/>
  <c r="AG204" i="4"/>
  <c r="AI204" i="4" s="1"/>
  <c r="AF204" i="4"/>
  <c r="AI203" i="4"/>
  <c r="AG203" i="4"/>
  <c r="AF203" i="4"/>
  <c r="AH203" i="4" s="1"/>
  <c r="AG202" i="4"/>
  <c r="AJ202" i="4" s="1"/>
  <c r="AF202" i="4"/>
  <c r="AK202" i="4" s="1"/>
  <c r="AJ201" i="4"/>
  <c r="AH201" i="4"/>
  <c r="AG201" i="4"/>
  <c r="AI201" i="4" s="1"/>
  <c r="AF201" i="4"/>
  <c r="AK201" i="4" s="1"/>
  <c r="AK200" i="4"/>
  <c r="AJ200" i="4"/>
  <c r="AH200" i="4"/>
  <c r="AG200" i="4"/>
  <c r="AI200" i="4" s="1"/>
  <c r="AF200" i="4"/>
  <c r="AI199" i="4"/>
  <c r="AG199" i="4"/>
  <c r="AF199" i="4"/>
  <c r="AH199" i="4" s="1"/>
  <c r="AG198" i="4"/>
  <c r="AJ198" i="4" s="1"/>
  <c r="AF198" i="4"/>
  <c r="AK198" i="4" s="1"/>
  <c r="AJ197" i="4"/>
  <c r="AG197" i="4"/>
  <c r="AI197" i="4" s="1"/>
  <c r="AF197" i="4"/>
  <c r="AK197" i="4" s="1"/>
  <c r="AK196" i="4"/>
  <c r="AJ196" i="4"/>
  <c r="AH196" i="4"/>
  <c r="AG196" i="4"/>
  <c r="AI196" i="4" s="1"/>
  <c r="AF196" i="4"/>
  <c r="AI195" i="4"/>
  <c r="AG195" i="4"/>
  <c r="AF195" i="4"/>
  <c r="AH195" i="4" s="1"/>
  <c r="AG194" i="4"/>
  <c r="AJ194" i="4" s="1"/>
  <c r="AF194" i="4"/>
  <c r="AK194" i="4" s="1"/>
  <c r="AJ193" i="4"/>
  <c r="AG193" i="4"/>
  <c r="AI193" i="4" s="1"/>
  <c r="AF193" i="4"/>
  <c r="AK193" i="4" s="1"/>
  <c r="AK192" i="4"/>
  <c r="AJ192" i="4"/>
  <c r="AH192" i="4"/>
  <c r="AG192" i="4"/>
  <c r="AI192" i="4" s="1"/>
  <c r="AF192" i="4"/>
  <c r="AI191" i="4"/>
  <c r="AG191" i="4"/>
  <c r="AF191" i="4"/>
  <c r="AH191" i="4" s="1"/>
  <c r="AG190" i="4"/>
  <c r="AJ190" i="4" s="1"/>
  <c r="AF190" i="4"/>
  <c r="AK190" i="4" s="1"/>
  <c r="AJ189" i="4"/>
  <c r="AG189" i="4"/>
  <c r="AI189" i="4" s="1"/>
  <c r="AF189" i="4"/>
  <c r="AK189" i="4" s="1"/>
  <c r="AK188" i="4"/>
  <c r="AJ188" i="4"/>
  <c r="AH188" i="4"/>
  <c r="AG188" i="4"/>
  <c r="AI188" i="4" s="1"/>
  <c r="AF188" i="4"/>
  <c r="AI187" i="4"/>
  <c r="AG187" i="4"/>
  <c r="AF187" i="4"/>
  <c r="AH187" i="4" s="1"/>
  <c r="AG186" i="4"/>
  <c r="AJ186" i="4" s="1"/>
  <c r="AF186" i="4"/>
  <c r="AK186" i="4" s="1"/>
  <c r="AJ185" i="4"/>
  <c r="AH185" i="4"/>
  <c r="AG185" i="4"/>
  <c r="AI185" i="4" s="1"/>
  <c r="AF185" i="4"/>
  <c r="AK185" i="4" s="1"/>
  <c r="AK184" i="4"/>
  <c r="AJ184" i="4"/>
  <c r="AH184" i="4"/>
  <c r="AG184" i="4"/>
  <c r="AI184" i="4" s="1"/>
  <c r="AF184" i="4"/>
  <c r="AI183" i="4"/>
  <c r="AG183" i="4"/>
  <c r="AF183" i="4"/>
  <c r="AH183" i="4" s="1"/>
  <c r="AG182" i="4"/>
  <c r="AJ182" i="4" s="1"/>
  <c r="AF182" i="4"/>
  <c r="AK182" i="4" s="1"/>
  <c r="AJ181" i="4"/>
  <c r="AH181" i="4"/>
  <c r="AG181" i="4"/>
  <c r="AI181" i="4" s="1"/>
  <c r="AF181" i="4"/>
  <c r="AK181" i="4" s="1"/>
  <c r="AK180" i="4"/>
  <c r="AJ180" i="4"/>
  <c r="AH180" i="4"/>
  <c r="AG180" i="4"/>
  <c r="AI180" i="4" s="1"/>
  <c r="AF180" i="4"/>
  <c r="AI179" i="4"/>
  <c r="AG179" i="4"/>
  <c r="AF179" i="4"/>
  <c r="AH179" i="4" s="1"/>
  <c r="AG178" i="4"/>
  <c r="AJ178" i="4" s="1"/>
  <c r="AF178" i="4"/>
  <c r="AK178" i="4" s="1"/>
  <c r="AJ177" i="4"/>
  <c r="AH177" i="4"/>
  <c r="AG177" i="4"/>
  <c r="AI177" i="4" s="1"/>
  <c r="AF177" i="4"/>
  <c r="AK177" i="4" s="1"/>
  <c r="AK176" i="4"/>
  <c r="AJ176" i="4"/>
  <c r="AH176" i="4"/>
  <c r="AG176" i="4"/>
  <c r="AI176" i="4" s="1"/>
  <c r="AF176" i="4"/>
  <c r="AI175" i="4"/>
  <c r="AG175" i="4"/>
  <c r="AF175" i="4"/>
  <c r="AH175" i="4" s="1"/>
  <c r="AG174" i="4"/>
  <c r="AJ174" i="4" s="1"/>
  <c r="AF174" i="4"/>
  <c r="AK174" i="4" s="1"/>
  <c r="AJ173" i="4"/>
  <c r="AH173" i="4"/>
  <c r="AG173" i="4"/>
  <c r="AI173" i="4" s="1"/>
  <c r="AF173" i="4"/>
  <c r="AK173" i="4" s="1"/>
  <c r="AK172" i="4"/>
  <c r="AJ172" i="4"/>
  <c r="AH172" i="4"/>
  <c r="AG172" i="4"/>
  <c r="AI172" i="4" s="1"/>
  <c r="AF172" i="4"/>
  <c r="AI171" i="4"/>
  <c r="AG171" i="4"/>
  <c r="AF171" i="4"/>
  <c r="AH171" i="4" s="1"/>
  <c r="AG170" i="4"/>
  <c r="AJ170" i="4" s="1"/>
  <c r="AF170" i="4"/>
  <c r="AK170" i="4" s="1"/>
  <c r="AJ169" i="4"/>
  <c r="AH169" i="4"/>
  <c r="AG169" i="4"/>
  <c r="AI169" i="4" s="1"/>
  <c r="AF169" i="4"/>
  <c r="AK169" i="4" s="1"/>
  <c r="AK168" i="4"/>
  <c r="AJ168" i="4"/>
  <c r="AH168" i="4"/>
  <c r="AG168" i="4"/>
  <c r="AI168" i="4" s="1"/>
  <c r="AF168" i="4"/>
  <c r="AI167" i="4"/>
  <c r="AG167" i="4"/>
  <c r="AF167" i="4"/>
  <c r="AH167" i="4" s="1"/>
  <c r="AG166" i="4"/>
  <c r="AJ166" i="4" s="1"/>
  <c r="AF166" i="4"/>
  <c r="AK166" i="4" s="1"/>
  <c r="AJ165" i="4"/>
  <c r="AI165" i="4"/>
  <c r="AH165" i="4"/>
  <c r="AG165" i="4"/>
  <c r="AF165" i="4"/>
  <c r="AK165" i="4" s="1"/>
  <c r="AK164" i="4"/>
  <c r="AJ164" i="4"/>
  <c r="AH164" i="4"/>
  <c r="AG164" i="4"/>
  <c r="AI164" i="4" s="1"/>
  <c r="AF164" i="4"/>
  <c r="AI163" i="4"/>
  <c r="AG163" i="4"/>
  <c r="AF163" i="4"/>
  <c r="AH163" i="4" s="1"/>
  <c r="AG162" i="4"/>
  <c r="AJ162" i="4" s="1"/>
  <c r="AF162" i="4"/>
  <c r="AK162" i="4" s="1"/>
  <c r="AJ161" i="4"/>
  <c r="AI161" i="4"/>
  <c r="AH161" i="4"/>
  <c r="AG161" i="4"/>
  <c r="AF161" i="4"/>
  <c r="AK161" i="4" s="1"/>
  <c r="AK160" i="4"/>
  <c r="AJ160" i="4"/>
  <c r="AH160" i="4"/>
  <c r="AG160" i="4"/>
  <c r="AI160" i="4" s="1"/>
  <c r="AF160" i="4"/>
  <c r="AI159" i="4"/>
  <c r="AG159" i="4"/>
  <c r="AF159" i="4"/>
  <c r="AH159" i="4" s="1"/>
  <c r="AG158" i="4"/>
  <c r="AJ158" i="4" s="1"/>
  <c r="AF158" i="4"/>
  <c r="AK158" i="4" s="1"/>
  <c r="AJ157" i="4"/>
  <c r="AI157" i="4"/>
  <c r="AH157" i="4"/>
  <c r="AG157" i="4"/>
  <c r="AF157" i="4"/>
  <c r="AK157" i="4" s="1"/>
  <c r="AK156" i="4"/>
  <c r="AJ156" i="4"/>
  <c r="AI156" i="4"/>
  <c r="AH156" i="4"/>
  <c r="AG156" i="4"/>
  <c r="AF156" i="4"/>
  <c r="AI155" i="4"/>
  <c r="AH155" i="4"/>
  <c r="AG155" i="4"/>
  <c r="AF155" i="4"/>
  <c r="AK155" i="4" s="1"/>
  <c r="AG154" i="4"/>
  <c r="AJ154" i="4" s="1"/>
  <c r="AF154" i="4"/>
  <c r="AK154" i="4" s="1"/>
  <c r="AJ153" i="4"/>
  <c r="AI153" i="4"/>
  <c r="AH153" i="4"/>
  <c r="AG153" i="4"/>
  <c r="AF153" i="4"/>
  <c r="AK153" i="4" s="1"/>
  <c r="AK152" i="4"/>
  <c r="AJ152" i="4"/>
  <c r="AI152" i="4"/>
  <c r="AH152" i="4"/>
  <c r="AG152" i="4"/>
  <c r="AF152" i="4"/>
  <c r="AI151" i="4"/>
  <c r="AH151" i="4"/>
  <c r="AG151" i="4"/>
  <c r="AF151" i="4"/>
  <c r="AK151" i="4" s="1"/>
  <c r="AG150" i="4"/>
  <c r="AJ150" i="4" s="1"/>
  <c r="AF150" i="4"/>
  <c r="AK150" i="4" s="1"/>
  <c r="AJ149" i="4"/>
  <c r="AI149" i="4"/>
  <c r="AH149" i="4"/>
  <c r="AG149" i="4"/>
  <c r="AF149" i="4"/>
  <c r="AK149" i="4" s="1"/>
  <c r="AK148" i="4"/>
  <c r="AJ148" i="4"/>
  <c r="AI148" i="4"/>
  <c r="AH148" i="4"/>
  <c r="AG148" i="4"/>
  <c r="AF148" i="4"/>
  <c r="AI147" i="4"/>
  <c r="AH147" i="4"/>
  <c r="AG147" i="4"/>
  <c r="AF147" i="4"/>
  <c r="AK147" i="4" s="1"/>
  <c r="AG146" i="4"/>
  <c r="AJ146" i="4" s="1"/>
  <c r="AF146" i="4"/>
  <c r="AK146" i="4" s="1"/>
  <c r="AJ145" i="4"/>
  <c r="AI145" i="4"/>
  <c r="AH145" i="4"/>
  <c r="AG145" i="4"/>
  <c r="AF145" i="4"/>
  <c r="AK145" i="4" s="1"/>
  <c r="AK144" i="4"/>
  <c r="AJ144" i="4"/>
  <c r="AI144" i="4"/>
  <c r="AH144" i="4"/>
  <c r="AG144" i="4"/>
  <c r="AF144" i="4"/>
  <c r="AI143" i="4"/>
  <c r="AH143" i="4"/>
  <c r="AG143" i="4"/>
  <c r="AF143" i="4"/>
  <c r="AK143" i="4" s="1"/>
  <c r="AG142" i="4"/>
  <c r="AJ142" i="4" s="1"/>
  <c r="AF142" i="4"/>
  <c r="AK142" i="4" s="1"/>
  <c r="AJ141" i="4"/>
  <c r="AI141" i="4"/>
  <c r="AH141" i="4"/>
  <c r="AG141" i="4"/>
  <c r="AF141" i="4"/>
  <c r="AK141" i="4" s="1"/>
  <c r="AK140" i="4"/>
  <c r="AJ140" i="4"/>
  <c r="AH140" i="4"/>
  <c r="AG140" i="4"/>
  <c r="AI140" i="4" s="1"/>
  <c r="AF140" i="4"/>
  <c r="AI139" i="4"/>
  <c r="AH139" i="4"/>
  <c r="AG139" i="4"/>
  <c r="AF139" i="4"/>
  <c r="AK139" i="4" s="1"/>
  <c r="AG138" i="4"/>
  <c r="AJ138" i="4" s="1"/>
  <c r="AF138" i="4"/>
  <c r="AK138" i="4" s="1"/>
  <c r="AJ137" i="4"/>
  <c r="AI137" i="4"/>
  <c r="AH137" i="4"/>
  <c r="AG137" i="4"/>
  <c r="AF137" i="4"/>
  <c r="AK137" i="4" s="1"/>
  <c r="AK136" i="4"/>
  <c r="AJ136" i="4"/>
  <c r="AH136" i="4"/>
  <c r="AG136" i="4"/>
  <c r="AI136" i="4" s="1"/>
  <c r="AF136" i="4"/>
  <c r="AI135" i="4"/>
  <c r="AH135" i="4"/>
  <c r="AG135" i="4"/>
  <c r="AF135" i="4"/>
  <c r="AK135" i="4" s="1"/>
  <c r="AG134" i="4"/>
  <c r="AJ134" i="4" s="1"/>
  <c r="AF134" i="4"/>
  <c r="AK134" i="4" s="1"/>
  <c r="AJ133" i="4"/>
  <c r="AI133" i="4"/>
  <c r="AH133" i="4"/>
  <c r="AG133" i="4"/>
  <c r="AF133" i="4"/>
  <c r="AK133" i="4" s="1"/>
  <c r="AK132" i="4"/>
  <c r="AJ132" i="4"/>
  <c r="AH132" i="4"/>
  <c r="AG132" i="4"/>
  <c r="AI132" i="4" s="1"/>
  <c r="AF132" i="4"/>
  <c r="AI131" i="4"/>
  <c r="AH131" i="4"/>
  <c r="AG131" i="4"/>
  <c r="AF131" i="4"/>
  <c r="AK131" i="4" s="1"/>
  <c r="AG130" i="4"/>
  <c r="AJ130" i="4" s="1"/>
  <c r="AF130" i="4"/>
  <c r="AK130" i="4" s="1"/>
  <c r="AJ129" i="4"/>
  <c r="AI129" i="4"/>
  <c r="AH129" i="4"/>
  <c r="AG129" i="4"/>
  <c r="AF129" i="4"/>
  <c r="AK129" i="4" s="1"/>
  <c r="AK128" i="4"/>
  <c r="AJ128" i="4"/>
  <c r="AH128" i="4"/>
  <c r="AG128" i="4"/>
  <c r="AI128" i="4" s="1"/>
  <c r="AF128" i="4"/>
  <c r="AI127" i="4"/>
  <c r="AH127" i="4"/>
  <c r="AG127" i="4"/>
  <c r="AF127" i="4"/>
  <c r="AK127" i="4" s="1"/>
  <c r="AG126" i="4"/>
  <c r="AJ126" i="4" s="1"/>
  <c r="AF126" i="4"/>
  <c r="AK126" i="4" s="1"/>
  <c r="AJ125" i="4"/>
  <c r="AI125" i="4"/>
  <c r="AH125" i="4"/>
  <c r="AG125" i="4"/>
  <c r="AF125" i="4"/>
  <c r="AK125" i="4" s="1"/>
  <c r="AK124" i="4"/>
  <c r="AJ124" i="4"/>
  <c r="AH124" i="4"/>
  <c r="AG124" i="4"/>
  <c r="AI124" i="4" s="1"/>
  <c r="AF124" i="4"/>
  <c r="AI123" i="4"/>
  <c r="AH123" i="4"/>
  <c r="AG123" i="4"/>
  <c r="AF123" i="4"/>
  <c r="AK123" i="4" s="1"/>
  <c r="AG122" i="4"/>
  <c r="AJ122" i="4" s="1"/>
  <c r="AF122" i="4"/>
  <c r="AK122" i="4" s="1"/>
  <c r="AJ121" i="4"/>
  <c r="AI121" i="4"/>
  <c r="AH121" i="4"/>
  <c r="AG121" i="4"/>
  <c r="AF121" i="4"/>
  <c r="AK121" i="4" s="1"/>
  <c r="AK120" i="4"/>
  <c r="AJ120" i="4"/>
  <c r="AH120" i="4"/>
  <c r="AG120" i="4"/>
  <c r="AI120" i="4" s="1"/>
  <c r="AF120" i="4"/>
  <c r="AI119" i="4"/>
  <c r="AH119" i="4"/>
  <c r="AG119" i="4"/>
  <c r="AF119" i="4"/>
  <c r="AK119" i="4" s="1"/>
  <c r="AG118" i="4"/>
  <c r="AJ118" i="4" s="1"/>
  <c r="AF118" i="4"/>
  <c r="AK118" i="4" s="1"/>
  <c r="AJ117" i="4"/>
  <c r="AI117" i="4"/>
  <c r="AH117" i="4"/>
  <c r="AG117" i="4"/>
  <c r="AF117" i="4"/>
  <c r="AK117" i="4" s="1"/>
  <c r="AK116" i="4"/>
  <c r="AJ116" i="4"/>
  <c r="AH116" i="4"/>
  <c r="AG116" i="4"/>
  <c r="AI116" i="4" s="1"/>
  <c r="AF116" i="4"/>
  <c r="AI115" i="4"/>
  <c r="AH115" i="4"/>
  <c r="AG115" i="4"/>
  <c r="AF115" i="4"/>
  <c r="AK115" i="4" s="1"/>
  <c r="AG114" i="4"/>
  <c r="AJ114" i="4" s="1"/>
  <c r="AF114" i="4"/>
  <c r="AK114" i="4" s="1"/>
  <c r="AJ113" i="4"/>
  <c r="AI113" i="4"/>
  <c r="AH113" i="4"/>
  <c r="AG113" i="4"/>
  <c r="AF113" i="4"/>
  <c r="AK113" i="4" s="1"/>
  <c r="AK112" i="4"/>
  <c r="AJ112" i="4"/>
  <c r="AH112" i="4"/>
  <c r="AG112" i="4"/>
  <c r="AI112" i="4" s="1"/>
  <c r="AF112" i="4"/>
  <c r="AI111" i="4"/>
  <c r="AH111" i="4"/>
  <c r="AG111" i="4"/>
  <c r="AF111" i="4"/>
  <c r="AK111" i="4" s="1"/>
  <c r="AG110" i="4"/>
  <c r="AJ110" i="4" s="1"/>
  <c r="AF110" i="4"/>
  <c r="AK110" i="4" s="1"/>
  <c r="AJ109" i="4"/>
  <c r="AI109" i="4"/>
  <c r="AH109" i="4"/>
  <c r="AG109" i="4"/>
  <c r="AF109" i="4"/>
  <c r="AK109" i="4" s="1"/>
  <c r="AK108" i="4"/>
  <c r="AJ108" i="4"/>
  <c r="AH108" i="4"/>
  <c r="AG108" i="4"/>
  <c r="AI108" i="4" s="1"/>
  <c r="AF108" i="4"/>
  <c r="AI107" i="4"/>
  <c r="AH107" i="4"/>
  <c r="AG107" i="4"/>
  <c r="AF107" i="4"/>
  <c r="AK107" i="4" s="1"/>
  <c r="AG106" i="4"/>
  <c r="AJ106" i="4" s="1"/>
  <c r="AF106" i="4"/>
  <c r="AK106" i="4" s="1"/>
  <c r="AJ105" i="4"/>
  <c r="AI105" i="4"/>
  <c r="AH105" i="4"/>
  <c r="AG105" i="4"/>
  <c r="AF105" i="4"/>
  <c r="AK105" i="4" s="1"/>
  <c r="AK104" i="4"/>
  <c r="AJ104" i="4"/>
  <c r="AH104" i="4"/>
  <c r="AG104" i="4"/>
  <c r="AI104" i="4" s="1"/>
  <c r="AF104" i="4"/>
  <c r="AI103" i="4"/>
  <c r="AH103" i="4"/>
  <c r="AG103" i="4"/>
  <c r="AF103" i="4"/>
  <c r="AK103" i="4" s="1"/>
  <c r="AG102" i="4"/>
  <c r="AJ102" i="4" s="1"/>
  <c r="AF102" i="4"/>
  <c r="AK102" i="4" s="1"/>
  <c r="AJ101" i="4"/>
  <c r="AI101" i="4"/>
  <c r="AH101" i="4"/>
  <c r="AG101" i="4"/>
  <c r="AF101" i="4"/>
  <c r="AK101" i="4" s="1"/>
  <c r="AK100" i="4"/>
  <c r="AJ100" i="4"/>
  <c r="AH100" i="4"/>
  <c r="AG100" i="4"/>
  <c r="AI100" i="4" s="1"/>
  <c r="AF100" i="4"/>
  <c r="AI99" i="4"/>
  <c r="AH99" i="4"/>
  <c r="AG99" i="4"/>
  <c r="AF99" i="4"/>
  <c r="AK99" i="4" s="1"/>
  <c r="AG98" i="4"/>
  <c r="AJ98" i="4" s="1"/>
  <c r="AF98" i="4"/>
  <c r="AK98" i="4" s="1"/>
  <c r="AJ97" i="4"/>
  <c r="AI97" i="4"/>
  <c r="AH97" i="4"/>
  <c r="AG97" i="4"/>
  <c r="AF97" i="4"/>
  <c r="AK97" i="4" s="1"/>
  <c r="AK96" i="4"/>
  <c r="AJ96" i="4"/>
  <c r="AH96" i="4"/>
  <c r="AG96" i="4"/>
  <c r="AI96" i="4" s="1"/>
  <c r="AF96" i="4"/>
  <c r="AI95" i="4"/>
  <c r="AH95" i="4"/>
  <c r="AG95" i="4"/>
  <c r="AJ95" i="4" s="1"/>
  <c r="AF95" i="4"/>
  <c r="AK95" i="4" s="1"/>
  <c r="AG94" i="4"/>
  <c r="AJ94" i="4" s="1"/>
  <c r="AF94" i="4"/>
  <c r="AK94" i="4" s="1"/>
  <c r="AK93" i="4"/>
  <c r="AJ93" i="4"/>
  <c r="AI93" i="4"/>
  <c r="AH93" i="4"/>
  <c r="AG93" i="4"/>
  <c r="AF93" i="4"/>
  <c r="AK92" i="4"/>
  <c r="AJ92" i="4"/>
  <c r="AH92" i="4"/>
  <c r="AG92" i="4"/>
  <c r="AI92" i="4" s="1"/>
  <c r="AF92" i="4"/>
  <c r="AI91" i="4"/>
  <c r="AH91" i="4"/>
  <c r="AG91" i="4"/>
  <c r="AJ91" i="4" s="1"/>
  <c r="AF91" i="4"/>
  <c r="AK91" i="4" s="1"/>
  <c r="AG90" i="4"/>
  <c r="AJ90" i="4" s="1"/>
  <c r="AF90" i="4"/>
  <c r="AK90" i="4" s="1"/>
  <c r="AK89" i="4"/>
  <c r="AJ89" i="4"/>
  <c r="AI89" i="4"/>
  <c r="AH89" i="4"/>
  <c r="AG89" i="4"/>
  <c r="AF89" i="4"/>
  <c r="AK88" i="4"/>
  <c r="AJ88" i="4"/>
  <c r="AH88" i="4"/>
  <c r="AG88" i="4"/>
  <c r="AI88" i="4" s="1"/>
  <c r="AF88" i="4"/>
  <c r="AI87" i="4"/>
  <c r="AH87" i="4"/>
  <c r="AG87" i="4"/>
  <c r="AJ87" i="4" s="1"/>
  <c r="AF87" i="4"/>
  <c r="AK87" i="4" s="1"/>
  <c r="AG86" i="4"/>
  <c r="AJ86" i="4" s="1"/>
  <c r="AF86" i="4"/>
  <c r="AK86" i="4" s="1"/>
  <c r="AJ85" i="4"/>
  <c r="AI85" i="4"/>
  <c r="AH85" i="4"/>
  <c r="AG85" i="4"/>
  <c r="AF85" i="4"/>
  <c r="AK85" i="4" s="1"/>
  <c r="AK84" i="4"/>
  <c r="AJ84" i="4"/>
  <c r="AH84" i="4"/>
  <c r="AG84" i="4"/>
  <c r="AI84" i="4" s="1"/>
  <c r="AF84" i="4"/>
  <c r="AI83" i="4"/>
  <c r="AH83" i="4"/>
  <c r="AG83" i="4"/>
  <c r="AJ83" i="4" s="1"/>
  <c r="AF83" i="4"/>
  <c r="AK83" i="4" s="1"/>
  <c r="AG82" i="4"/>
  <c r="AJ82" i="4" s="1"/>
  <c r="AF82" i="4"/>
  <c r="AK82" i="4" s="1"/>
  <c r="AK81" i="4"/>
  <c r="AJ81" i="4"/>
  <c r="AI81" i="4"/>
  <c r="AH81" i="4"/>
  <c r="AG81" i="4"/>
  <c r="AF81" i="4"/>
  <c r="AK80" i="4"/>
  <c r="AJ80" i="4"/>
  <c r="AH80" i="4"/>
  <c r="AG80" i="4"/>
  <c r="AI80" i="4" s="1"/>
  <c r="AF80" i="4"/>
  <c r="AI79" i="4"/>
  <c r="AH79" i="4"/>
  <c r="AG79" i="4"/>
  <c r="AJ79" i="4" s="1"/>
  <c r="AF79" i="4"/>
  <c r="AK79" i="4" s="1"/>
  <c r="AG78" i="4"/>
  <c r="AJ78" i="4" s="1"/>
  <c r="AF78" i="4"/>
  <c r="AK78" i="4" s="1"/>
  <c r="AJ77" i="4"/>
  <c r="AI77" i="4"/>
  <c r="AH77" i="4"/>
  <c r="AG77" i="4"/>
  <c r="AF77" i="4"/>
  <c r="AK77" i="4" s="1"/>
  <c r="AK76" i="4"/>
  <c r="AJ76" i="4"/>
  <c r="AH76" i="4"/>
  <c r="AG76" i="4"/>
  <c r="AI76" i="4" s="1"/>
  <c r="AF76" i="4"/>
  <c r="AI75" i="4"/>
  <c r="AH75" i="4"/>
  <c r="AG75" i="4"/>
  <c r="AJ75" i="4" s="1"/>
  <c r="AF75" i="4"/>
  <c r="AK75" i="4" s="1"/>
  <c r="AG74" i="4"/>
  <c r="AJ74" i="4" s="1"/>
  <c r="AF74" i="4"/>
  <c r="AK74" i="4" s="1"/>
  <c r="AJ73" i="4"/>
  <c r="AI73" i="4"/>
  <c r="AH73" i="4"/>
  <c r="AG73" i="4"/>
  <c r="AF73" i="4"/>
  <c r="AK73" i="4" s="1"/>
  <c r="AK72" i="4"/>
  <c r="AJ72" i="4"/>
  <c r="AH72" i="4"/>
  <c r="AG72" i="4"/>
  <c r="AI72" i="4" s="1"/>
  <c r="AF72" i="4"/>
  <c r="AI71" i="4"/>
  <c r="AH71" i="4"/>
  <c r="AG71" i="4"/>
  <c r="AJ71" i="4" s="1"/>
  <c r="AF71" i="4"/>
  <c r="AK71" i="4" s="1"/>
  <c r="AG70" i="4"/>
  <c r="AJ70" i="4" s="1"/>
  <c r="AF70" i="4"/>
  <c r="AK70" i="4" s="1"/>
  <c r="AJ69" i="4"/>
  <c r="AI69" i="4"/>
  <c r="AH69" i="4"/>
  <c r="AG69" i="4"/>
  <c r="AF69" i="4"/>
  <c r="AK69" i="4" s="1"/>
  <c r="AK68" i="4"/>
  <c r="AJ68" i="4"/>
  <c r="AH68" i="4"/>
  <c r="AG68" i="4"/>
  <c r="AI68" i="4" s="1"/>
  <c r="AF68" i="4"/>
  <c r="AI67" i="4"/>
  <c r="AH67" i="4"/>
  <c r="AG67" i="4"/>
  <c r="AF67" i="4"/>
  <c r="AK67" i="4" s="1"/>
  <c r="AG66" i="4"/>
  <c r="AJ66" i="4" s="1"/>
  <c r="AF66" i="4"/>
  <c r="AK66" i="4" s="1"/>
  <c r="AJ65" i="4"/>
  <c r="AI65" i="4"/>
  <c r="AH65" i="4"/>
  <c r="AG65" i="4"/>
  <c r="AF65" i="4"/>
  <c r="AK65" i="4" s="1"/>
  <c r="AK64" i="4"/>
  <c r="AJ64" i="4"/>
  <c r="AH64" i="4"/>
  <c r="AG64" i="4"/>
  <c r="AI64" i="4" s="1"/>
  <c r="AF64" i="4"/>
  <c r="AI63" i="4"/>
  <c r="AH63" i="4"/>
  <c r="AG63" i="4"/>
  <c r="AF63" i="4"/>
  <c r="AK63" i="4" s="1"/>
  <c r="AG62" i="4"/>
  <c r="AJ62" i="4" s="1"/>
  <c r="AF62" i="4"/>
  <c r="AK62" i="4" s="1"/>
  <c r="AJ61" i="4"/>
  <c r="AI61" i="4"/>
  <c r="AG61" i="4"/>
  <c r="AF61" i="4"/>
  <c r="AK61" i="4" s="1"/>
  <c r="AK60" i="4"/>
  <c r="AJ60" i="4"/>
  <c r="AH60" i="4"/>
  <c r="AG60" i="4"/>
  <c r="AI60" i="4" s="1"/>
  <c r="AF60" i="4"/>
  <c r="AI59" i="4"/>
  <c r="AH59" i="4"/>
  <c r="AG59" i="4"/>
  <c r="AF59" i="4"/>
  <c r="AK59" i="4" s="1"/>
  <c r="AG58" i="4"/>
  <c r="AJ58" i="4" s="1"/>
  <c r="AF58" i="4"/>
  <c r="AK58" i="4" s="1"/>
  <c r="AJ57" i="4"/>
  <c r="AI57" i="4"/>
  <c r="AG57" i="4"/>
  <c r="AF57" i="4"/>
  <c r="AK57" i="4" s="1"/>
  <c r="AK56" i="4"/>
  <c r="AJ56" i="4"/>
  <c r="AH56" i="4"/>
  <c r="AG56" i="4"/>
  <c r="AI56" i="4" s="1"/>
  <c r="AF56" i="4"/>
  <c r="AI55" i="4"/>
  <c r="AH55" i="4"/>
  <c r="AG55" i="4"/>
  <c r="AF55" i="4"/>
  <c r="AK55" i="4" s="1"/>
  <c r="AG54" i="4"/>
  <c r="AJ54" i="4" s="1"/>
  <c r="AF54" i="4"/>
  <c r="AK54" i="4" s="1"/>
  <c r="AJ53" i="4"/>
  <c r="AI53" i="4"/>
  <c r="AG53" i="4"/>
  <c r="AF53" i="4"/>
  <c r="AK53" i="4" s="1"/>
  <c r="AK52" i="4"/>
  <c r="AJ52" i="4"/>
  <c r="AH52" i="4"/>
  <c r="AG52" i="4"/>
  <c r="AI52" i="4" s="1"/>
  <c r="AF52" i="4"/>
  <c r="AI51" i="4"/>
  <c r="AH51" i="4"/>
  <c r="AG51" i="4"/>
  <c r="AF51" i="4"/>
  <c r="AK51" i="4" s="1"/>
  <c r="AG50" i="4"/>
  <c r="AJ50" i="4" s="1"/>
  <c r="AF50" i="4"/>
  <c r="AK50" i="4" s="1"/>
  <c r="AJ49" i="4"/>
  <c r="AI49" i="4"/>
  <c r="AG49" i="4"/>
  <c r="AF49" i="4"/>
  <c r="AK49" i="4" s="1"/>
  <c r="AK48" i="4"/>
  <c r="AJ48" i="4"/>
  <c r="AH48" i="4"/>
  <c r="AG48" i="4"/>
  <c r="AI48" i="4" s="1"/>
  <c r="AF48" i="4"/>
  <c r="AI47" i="4"/>
  <c r="AH47" i="4"/>
  <c r="AG47" i="4"/>
  <c r="AF47" i="4"/>
  <c r="AK47" i="4" s="1"/>
  <c r="AG46" i="4"/>
  <c r="AJ46" i="4" s="1"/>
  <c r="AF46" i="4"/>
  <c r="AK46" i="4" s="1"/>
  <c r="AJ45" i="4"/>
  <c r="AI45" i="4"/>
  <c r="AH45" i="4"/>
  <c r="AG45" i="4"/>
  <c r="AF45" i="4"/>
  <c r="AK45" i="4" s="1"/>
  <c r="AK44" i="4"/>
  <c r="AJ44" i="4"/>
  <c r="AH44" i="4"/>
  <c r="AG44" i="4"/>
  <c r="AI44" i="4" s="1"/>
  <c r="AF44" i="4"/>
  <c r="AI43" i="4"/>
  <c r="AH43" i="4"/>
  <c r="AG43" i="4"/>
  <c r="AJ43" i="4" s="1"/>
  <c r="AF43" i="4"/>
  <c r="AK43" i="4" s="1"/>
  <c r="AG42" i="4"/>
  <c r="AJ42" i="4" s="1"/>
  <c r="AF42" i="4"/>
  <c r="AK42" i="4" s="1"/>
  <c r="AJ41" i="4"/>
  <c r="AI41" i="4"/>
  <c r="AH41" i="4"/>
  <c r="AG41" i="4"/>
  <c r="AF41" i="4"/>
  <c r="AK41" i="4" s="1"/>
  <c r="AK40" i="4"/>
  <c r="AJ40" i="4"/>
  <c r="AH40" i="4"/>
  <c r="AG40" i="4"/>
  <c r="AI40" i="4" s="1"/>
  <c r="AF40" i="4"/>
  <c r="AI39" i="4"/>
  <c r="AH39" i="4"/>
  <c r="AG39" i="4"/>
  <c r="AJ39" i="4" s="1"/>
  <c r="AF39" i="4"/>
  <c r="AK39" i="4" s="1"/>
  <c r="AG38" i="4"/>
  <c r="AJ38" i="4" s="1"/>
  <c r="AF38" i="4"/>
  <c r="AK38" i="4" s="1"/>
  <c r="AJ37" i="4"/>
  <c r="AI37" i="4"/>
  <c r="AG37" i="4"/>
  <c r="AF37" i="4"/>
  <c r="AK37" i="4" s="1"/>
  <c r="AK36" i="4"/>
  <c r="AJ36" i="4"/>
  <c r="AH36" i="4"/>
  <c r="AG36" i="4"/>
  <c r="AI36" i="4" s="1"/>
  <c r="AF36" i="4"/>
  <c r="AI35" i="4"/>
  <c r="AH35" i="4"/>
  <c r="AG35" i="4"/>
  <c r="AJ35" i="4" s="1"/>
  <c r="AF35" i="4"/>
  <c r="AK35" i="4" s="1"/>
  <c r="AG34" i="4"/>
  <c r="AJ34" i="4" s="1"/>
  <c r="AF34" i="4"/>
  <c r="AK34" i="4" s="1"/>
  <c r="AJ33" i="4"/>
  <c r="AI33" i="4"/>
  <c r="AG33" i="4"/>
  <c r="AF33" i="4"/>
  <c r="AK33" i="4" s="1"/>
  <c r="AK32" i="4"/>
  <c r="AJ32" i="4"/>
  <c r="AH32" i="4"/>
  <c r="AG32" i="4"/>
  <c r="AI32" i="4" s="1"/>
  <c r="AF32" i="4"/>
  <c r="AI31" i="4"/>
  <c r="AH31" i="4"/>
  <c r="AG31" i="4"/>
  <c r="AJ31" i="4" s="1"/>
  <c r="AF31" i="4"/>
  <c r="AK31" i="4" s="1"/>
  <c r="AG30" i="4"/>
  <c r="AJ30" i="4" s="1"/>
  <c r="AF30" i="4"/>
  <c r="AK30" i="4" s="1"/>
  <c r="AJ29" i="4"/>
  <c r="AI29" i="4"/>
  <c r="AG29" i="4"/>
  <c r="AF29" i="4"/>
  <c r="AK29" i="4" s="1"/>
  <c r="AK28" i="4"/>
  <c r="AJ28" i="4"/>
  <c r="AH28" i="4"/>
  <c r="AG28" i="4"/>
  <c r="AI28" i="4" s="1"/>
  <c r="AF28" i="4"/>
  <c r="AI27" i="4"/>
  <c r="AH27" i="4"/>
  <c r="AG27" i="4"/>
  <c r="AF27" i="4"/>
  <c r="AK27" i="4" s="1"/>
  <c r="AG26" i="4"/>
  <c r="AJ26" i="4" s="1"/>
  <c r="AF26" i="4"/>
  <c r="AK26" i="4" s="1"/>
  <c r="AJ25" i="4"/>
  <c r="AI25" i="4"/>
  <c r="AG25" i="4"/>
  <c r="AF25" i="4"/>
  <c r="AK25" i="4" s="1"/>
  <c r="AK24" i="4"/>
  <c r="AJ24" i="4"/>
  <c r="AH24" i="4"/>
  <c r="AG24" i="4"/>
  <c r="AI24" i="4" s="1"/>
  <c r="AF24" i="4"/>
  <c r="AI23" i="4"/>
  <c r="AG23" i="4"/>
  <c r="AF23" i="4"/>
  <c r="AH23" i="4" s="1"/>
  <c r="AG22" i="4"/>
  <c r="AJ22" i="4" s="1"/>
  <c r="AF22" i="4"/>
  <c r="AK22" i="4" s="1"/>
  <c r="AJ21" i="4"/>
  <c r="AI21" i="4"/>
  <c r="AG21" i="4"/>
  <c r="AF21" i="4"/>
  <c r="AK21" i="4" s="1"/>
  <c r="AK20" i="4"/>
  <c r="AJ20" i="4"/>
  <c r="AH20" i="4"/>
  <c r="AG20" i="4"/>
  <c r="AI20" i="4" s="1"/>
  <c r="AF20" i="4"/>
  <c r="AI19" i="4"/>
  <c r="AH19" i="4"/>
  <c r="AG19" i="4"/>
  <c r="AF19" i="4"/>
  <c r="AK19" i="4" s="1"/>
  <c r="AG18" i="4"/>
  <c r="AJ18" i="4" s="1"/>
  <c r="AF18" i="4"/>
  <c r="AK18" i="4" s="1"/>
  <c r="AJ17" i="4"/>
  <c r="AI17" i="4"/>
  <c r="AG17" i="4"/>
  <c r="AF17" i="4"/>
  <c r="AK17" i="4" s="1"/>
  <c r="AK16" i="4"/>
  <c r="AJ16" i="4"/>
  <c r="AH16" i="4"/>
  <c r="AG16" i="4"/>
  <c r="AI16" i="4" s="1"/>
  <c r="AF16" i="4"/>
  <c r="AI15" i="4"/>
  <c r="AH15" i="4"/>
  <c r="AG15" i="4"/>
  <c r="AF15" i="4"/>
  <c r="AK15" i="4" s="1"/>
  <c r="AG14" i="4"/>
  <c r="AJ14" i="4" s="1"/>
  <c r="AF14" i="4"/>
  <c r="AK14" i="4" s="1"/>
  <c r="AJ13" i="4"/>
  <c r="AI13" i="4"/>
  <c r="AG13" i="4"/>
  <c r="AF13" i="4"/>
  <c r="AK13" i="4" s="1"/>
  <c r="AK12" i="4"/>
  <c r="AJ12" i="4"/>
  <c r="AH12" i="4"/>
  <c r="AG12" i="4"/>
  <c r="AI12" i="4" s="1"/>
  <c r="AF12" i="4"/>
  <c r="AI11" i="4"/>
  <c r="AH11" i="4"/>
  <c r="AG11" i="4"/>
  <c r="AF11" i="4"/>
  <c r="AK11" i="4" s="1"/>
  <c r="AG10" i="4"/>
  <c r="AJ10" i="4" s="1"/>
  <c r="AF10" i="4"/>
  <c r="AK10" i="4" s="1"/>
  <c r="AJ9" i="4"/>
  <c r="AI9" i="4"/>
  <c r="AG9" i="4"/>
  <c r="AF9" i="4"/>
  <c r="AK9" i="4" s="1"/>
  <c r="AK8" i="4"/>
  <c r="AJ8" i="4"/>
  <c r="AH8" i="4"/>
  <c r="AG8" i="4"/>
  <c r="AI8" i="4" s="1"/>
  <c r="AF8" i="4"/>
  <c r="AI7" i="4"/>
  <c r="AH7" i="4"/>
  <c r="AG7" i="4"/>
  <c r="AJ7" i="4" s="1"/>
  <c r="AF7" i="4"/>
  <c r="AK7" i="4" s="1"/>
  <c r="AG6" i="4"/>
  <c r="AJ6" i="4" s="1"/>
  <c r="AF6" i="4"/>
  <c r="AK6" i="4" s="1"/>
  <c r="AJ5" i="4"/>
  <c r="AI5" i="4"/>
  <c r="AG5" i="4"/>
  <c r="AF5" i="4"/>
  <c r="AK5" i="4" s="1"/>
  <c r="AK4" i="4"/>
  <c r="AJ4" i="4"/>
  <c r="AH4" i="4"/>
  <c r="AG4" i="4"/>
  <c r="AI4" i="4" s="1"/>
  <c r="AF4" i="4"/>
  <c r="AI3" i="4"/>
  <c r="AH3" i="4"/>
  <c r="AG3" i="4"/>
  <c r="AF3" i="4"/>
  <c r="AK3" i="4" s="1"/>
  <c r="AG2" i="4"/>
  <c r="AJ2" i="4" s="1"/>
  <c r="AF2" i="4"/>
  <c r="AK2" i="4" s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2" i="1"/>
  <c r="AH120" i="1"/>
  <c r="AH218" i="1"/>
  <c r="AH315" i="1"/>
  <c r="AH510" i="1"/>
  <c r="AH773" i="1"/>
  <c r="AH846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2" i="1"/>
  <c r="AF3" i="1"/>
  <c r="AH3" i="1" s="1"/>
  <c r="AF4" i="1"/>
  <c r="AH4" i="1" s="1"/>
  <c r="AF5" i="1"/>
  <c r="AH5" i="1" s="1"/>
  <c r="AF6" i="1"/>
  <c r="AH6" i="1" s="1"/>
  <c r="AF7" i="1"/>
  <c r="AH7" i="1" s="1"/>
  <c r="AF8" i="1"/>
  <c r="AH8" i="1" s="1"/>
  <c r="AF9" i="1"/>
  <c r="AH9" i="1" s="1"/>
  <c r="AF10" i="1"/>
  <c r="AH10" i="1" s="1"/>
  <c r="AF11" i="1"/>
  <c r="AH11" i="1" s="1"/>
  <c r="AF12" i="1"/>
  <c r="AH12" i="1" s="1"/>
  <c r="AF13" i="1"/>
  <c r="AH13" i="1" s="1"/>
  <c r="AF14" i="1"/>
  <c r="AH14" i="1" s="1"/>
  <c r="AF15" i="1"/>
  <c r="AH15" i="1" s="1"/>
  <c r="AF16" i="1"/>
  <c r="AH16" i="1" s="1"/>
  <c r="AF17" i="1"/>
  <c r="AH17" i="1" s="1"/>
  <c r="AF18" i="1"/>
  <c r="AH18" i="1" s="1"/>
  <c r="AF19" i="1"/>
  <c r="AH19" i="1" s="1"/>
  <c r="AF20" i="1"/>
  <c r="AH20" i="1" s="1"/>
  <c r="AF21" i="1"/>
  <c r="AH21" i="1" s="1"/>
  <c r="AF22" i="1"/>
  <c r="AH22" i="1" s="1"/>
  <c r="AF23" i="1"/>
  <c r="AH23" i="1" s="1"/>
  <c r="AF24" i="1"/>
  <c r="AH24" i="1" s="1"/>
  <c r="AF25" i="1"/>
  <c r="AH25" i="1" s="1"/>
  <c r="AF26" i="1"/>
  <c r="AH26" i="1" s="1"/>
  <c r="AF27" i="1"/>
  <c r="AH27" i="1" s="1"/>
  <c r="AF28" i="1"/>
  <c r="AH28" i="1" s="1"/>
  <c r="AF29" i="1"/>
  <c r="AH29" i="1" s="1"/>
  <c r="AF30" i="1"/>
  <c r="AH30" i="1" s="1"/>
  <c r="AF31" i="1"/>
  <c r="AF32" i="1"/>
  <c r="AH32" i="1" s="1"/>
  <c r="AF33" i="1"/>
  <c r="AH33" i="1" s="1"/>
  <c r="AF34" i="1"/>
  <c r="AH34" i="1" s="1"/>
  <c r="AF35" i="1"/>
  <c r="AH35" i="1" s="1"/>
  <c r="AF36" i="1"/>
  <c r="AH36" i="1" s="1"/>
  <c r="AF37" i="1"/>
  <c r="AH37" i="1" s="1"/>
  <c r="AF38" i="1"/>
  <c r="AH38" i="1" s="1"/>
  <c r="AF39" i="1"/>
  <c r="AH39" i="1" s="1"/>
  <c r="AF40" i="1"/>
  <c r="AH40" i="1" s="1"/>
  <c r="AF41" i="1"/>
  <c r="AH41" i="1" s="1"/>
  <c r="AF42" i="1"/>
  <c r="AH42" i="1" s="1"/>
  <c r="AF43" i="1"/>
  <c r="AH43" i="1" s="1"/>
  <c r="AF44" i="1"/>
  <c r="AH44" i="1" s="1"/>
  <c r="AF45" i="1"/>
  <c r="AH45" i="1" s="1"/>
  <c r="AF46" i="1"/>
  <c r="AH46" i="1" s="1"/>
  <c r="AF47" i="1"/>
  <c r="AH47" i="1" s="1"/>
  <c r="AF48" i="1"/>
  <c r="AH48" i="1" s="1"/>
  <c r="AF49" i="1"/>
  <c r="AH49" i="1" s="1"/>
  <c r="AF50" i="1"/>
  <c r="AH50" i="1" s="1"/>
  <c r="AF51" i="1"/>
  <c r="AH51" i="1" s="1"/>
  <c r="AF52" i="1"/>
  <c r="AH52" i="1" s="1"/>
  <c r="AF53" i="1"/>
  <c r="AH53" i="1" s="1"/>
  <c r="AF54" i="1"/>
  <c r="AF55" i="1"/>
  <c r="AH55" i="1" s="1"/>
  <c r="AF56" i="1"/>
  <c r="AH56" i="1" s="1"/>
  <c r="AF57" i="1"/>
  <c r="AH57" i="1" s="1"/>
  <c r="AF58" i="1"/>
  <c r="AH58" i="1" s="1"/>
  <c r="AF59" i="1"/>
  <c r="AH59" i="1" s="1"/>
  <c r="AF60" i="1"/>
  <c r="AH60" i="1" s="1"/>
  <c r="AF61" i="1"/>
  <c r="AH61" i="1" s="1"/>
  <c r="AF62" i="1"/>
  <c r="AH62" i="1" s="1"/>
  <c r="AF63" i="1"/>
  <c r="AH63" i="1" s="1"/>
  <c r="AF64" i="1"/>
  <c r="AH64" i="1" s="1"/>
  <c r="AF65" i="1"/>
  <c r="AH65" i="1" s="1"/>
  <c r="AF66" i="1"/>
  <c r="AH66" i="1" s="1"/>
  <c r="AF67" i="1"/>
  <c r="AH67" i="1" s="1"/>
  <c r="AF68" i="1"/>
  <c r="AH68" i="1" s="1"/>
  <c r="AF69" i="1"/>
  <c r="AH69" i="1" s="1"/>
  <c r="AF70" i="1"/>
  <c r="AH70" i="1" s="1"/>
  <c r="AF71" i="1"/>
  <c r="AH71" i="1" s="1"/>
  <c r="AF72" i="1"/>
  <c r="AH72" i="1" s="1"/>
  <c r="AF73" i="1"/>
  <c r="AH73" i="1" s="1"/>
  <c r="AF74" i="1"/>
  <c r="AH74" i="1" s="1"/>
  <c r="AF75" i="1"/>
  <c r="AH75" i="1" s="1"/>
  <c r="AF76" i="1"/>
  <c r="AH76" i="1" s="1"/>
  <c r="AF77" i="1"/>
  <c r="AH77" i="1" s="1"/>
  <c r="AF78" i="1"/>
  <c r="AH78" i="1" s="1"/>
  <c r="AF79" i="1"/>
  <c r="AF80" i="1"/>
  <c r="AH80" i="1" s="1"/>
  <c r="AF81" i="1"/>
  <c r="AH81" i="1" s="1"/>
  <c r="AF82" i="1"/>
  <c r="AH82" i="1" s="1"/>
  <c r="AF83" i="1"/>
  <c r="AH83" i="1" s="1"/>
  <c r="AF84" i="1"/>
  <c r="AH84" i="1" s="1"/>
  <c r="AF85" i="1"/>
  <c r="AH85" i="1" s="1"/>
  <c r="AF86" i="1"/>
  <c r="AH86" i="1" s="1"/>
  <c r="AF87" i="1"/>
  <c r="AH87" i="1" s="1"/>
  <c r="AF88" i="1"/>
  <c r="AH88" i="1" s="1"/>
  <c r="AF89" i="1"/>
  <c r="AH89" i="1" s="1"/>
  <c r="AF90" i="1"/>
  <c r="AH90" i="1" s="1"/>
  <c r="AF91" i="1"/>
  <c r="AH91" i="1" s="1"/>
  <c r="AF92" i="1"/>
  <c r="AH92" i="1" s="1"/>
  <c r="AF93" i="1"/>
  <c r="AH93" i="1" s="1"/>
  <c r="AF94" i="1"/>
  <c r="AH94" i="1" s="1"/>
  <c r="AF95" i="1"/>
  <c r="AH95" i="1" s="1"/>
  <c r="AF96" i="1"/>
  <c r="AH96" i="1" s="1"/>
  <c r="AF97" i="1"/>
  <c r="AH97" i="1" s="1"/>
  <c r="AF98" i="1"/>
  <c r="AH98" i="1" s="1"/>
  <c r="AF99" i="1"/>
  <c r="AH99" i="1" s="1"/>
  <c r="AF100" i="1"/>
  <c r="AH100" i="1" s="1"/>
  <c r="AF101" i="1"/>
  <c r="AH101" i="1" s="1"/>
  <c r="AF102" i="1"/>
  <c r="AH102" i="1" s="1"/>
  <c r="AF103" i="1"/>
  <c r="AH103" i="1" s="1"/>
  <c r="AF104" i="1"/>
  <c r="AH104" i="1" s="1"/>
  <c r="AF105" i="1"/>
  <c r="AH105" i="1" s="1"/>
  <c r="AF106" i="1"/>
  <c r="AH106" i="1" s="1"/>
  <c r="AF107" i="1"/>
  <c r="AH107" i="1" s="1"/>
  <c r="AF108" i="1"/>
  <c r="AH108" i="1" s="1"/>
  <c r="AF109" i="1"/>
  <c r="AH109" i="1" s="1"/>
  <c r="AF110" i="1"/>
  <c r="AH110" i="1" s="1"/>
  <c r="AF111" i="1"/>
  <c r="AH111" i="1" s="1"/>
  <c r="AF112" i="1"/>
  <c r="AH112" i="1" s="1"/>
  <c r="AF113" i="1"/>
  <c r="AH113" i="1" s="1"/>
  <c r="AF114" i="1"/>
  <c r="AH114" i="1" s="1"/>
  <c r="AF115" i="1"/>
  <c r="AH115" i="1" s="1"/>
  <c r="AF116" i="1"/>
  <c r="AH116" i="1" s="1"/>
  <c r="AF117" i="1"/>
  <c r="AH117" i="1" s="1"/>
  <c r="AF118" i="1"/>
  <c r="AH118" i="1" s="1"/>
  <c r="AF119" i="1"/>
  <c r="AH119" i="1" s="1"/>
  <c r="AF120" i="1"/>
  <c r="AF121" i="1"/>
  <c r="AH121" i="1" s="1"/>
  <c r="AF122" i="1"/>
  <c r="AH122" i="1" s="1"/>
  <c r="AF123" i="1"/>
  <c r="AH123" i="1" s="1"/>
  <c r="AF124" i="1"/>
  <c r="AH124" i="1" s="1"/>
  <c r="AF125" i="1"/>
  <c r="AH125" i="1" s="1"/>
  <c r="AF126" i="1"/>
  <c r="AH126" i="1" s="1"/>
  <c r="AF127" i="1"/>
  <c r="AH127" i="1" s="1"/>
  <c r="AF128" i="1"/>
  <c r="AH128" i="1" s="1"/>
  <c r="AF129" i="1"/>
  <c r="AH129" i="1" s="1"/>
  <c r="AF130" i="1"/>
  <c r="AH130" i="1" s="1"/>
  <c r="AF131" i="1"/>
  <c r="AH131" i="1" s="1"/>
  <c r="AF132" i="1"/>
  <c r="AH132" i="1" s="1"/>
  <c r="AF133" i="1"/>
  <c r="AH133" i="1" s="1"/>
  <c r="AF134" i="1"/>
  <c r="AH134" i="1" s="1"/>
  <c r="AF135" i="1"/>
  <c r="AH135" i="1" s="1"/>
  <c r="AF136" i="1"/>
  <c r="AH136" i="1" s="1"/>
  <c r="AF137" i="1"/>
  <c r="AH137" i="1" s="1"/>
  <c r="AF138" i="1"/>
  <c r="AH138" i="1" s="1"/>
  <c r="AF139" i="1"/>
  <c r="AH139" i="1" s="1"/>
  <c r="AF140" i="1"/>
  <c r="AH140" i="1" s="1"/>
  <c r="AF141" i="1"/>
  <c r="AH141" i="1" s="1"/>
  <c r="AF142" i="1"/>
  <c r="AH142" i="1" s="1"/>
  <c r="AF143" i="1"/>
  <c r="AH143" i="1" s="1"/>
  <c r="AF144" i="1"/>
  <c r="AH144" i="1" s="1"/>
  <c r="AF145" i="1"/>
  <c r="AH145" i="1" s="1"/>
  <c r="AF146" i="1"/>
  <c r="AH146" i="1" s="1"/>
  <c r="AF147" i="1"/>
  <c r="AH147" i="1" s="1"/>
  <c r="AF148" i="1"/>
  <c r="AH148" i="1" s="1"/>
  <c r="AF149" i="1"/>
  <c r="AH149" i="1" s="1"/>
  <c r="AF150" i="1"/>
  <c r="AH150" i="1" s="1"/>
  <c r="AF151" i="1"/>
  <c r="AH151" i="1" s="1"/>
  <c r="AF152" i="1"/>
  <c r="AH152" i="1" s="1"/>
  <c r="AF153" i="1"/>
  <c r="AH153" i="1" s="1"/>
  <c r="AF154" i="1"/>
  <c r="AH154" i="1" s="1"/>
  <c r="AF155" i="1"/>
  <c r="AH155" i="1" s="1"/>
  <c r="AF156" i="1"/>
  <c r="AH156" i="1" s="1"/>
  <c r="AF157" i="1"/>
  <c r="AH157" i="1" s="1"/>
  <c r="AF158" i="1"/>
  <c r="AH158" i="1" s="1"/>
  <c r="AF159" i="1"/>
  <c r="AH159" i="1" s="1"/>
  <c r="AF160" i="1"/>
  <c r="AH160" i="1" s="1"/>
  <c r="AF161" i="1"/>
  <c r="AH161" i="1" s="1"/>
  <c r="AF162" i="1"/>
  <c r="AH162" i="1" s="1"/>
  <c r="AF163" i="1"/>
  <c r="AH163" i="1" s="1"/>
  <c r="AF164" i="1"/>
  <c r="AH164" i="1" s="1"/>
  <c r="AF165" i="1"/>
  <c r="AH165" i="1" s="1"/>
  <c r="AF166" i="1"/>
  <c r="AH166" i="1" s="1"/>
  <c r="AF167" i="1"/>
  <c r="AH167" i="1" s="1"/>
  <c r="AF168" i="1"/>
  <c r="AH168" i="1" s="1"/>
  <c r="AF169" i="1"/>
  <c r="AH169" i="1" s="1"/>
  <c r="AF170" i="1"/>
  <c r="AH170" i="1" s="1"/>
  <c r="AF171" i="1"/>
  <c r="AF172" i="1"/>
  <c r="AH172" i="1" s="1"/>
  <c r="AF173" i="1"/>
  <c r="AH173" i="1" s="1"/>
  <c r="AF174" i="1"/>
  <c r="AH174" i="1" s="1"/>
  <c r="AF175" i="1"/>
  <c r="AH175" i="1" s="1"/>
  <c r="AF176" i="1"/>
  <c r="AH176" i="1" s="1"/>
  <c r="AF177" i="1"/>
  <c r="AH177" i="1" s="1"/>
  <c r="AF178" i="1"/>
  <c r="AH178" i="1" s="1"/>
  <c r="AF179" i="1"/>
  <c r="AH179" i="1" s="1"/>
  <c r="AF180" i="1"/>
  <c r="AH180" i="1" s="1"/>
  <c r="AF181" i="1"/>
  <c r="AH181" i="1" s="1"/>
  <c r="AF182" i="1"/>
  <c r="AH182" i="1" s="1"/>
  <c r="AF183" i="1"/>
  <c r="AH183" i="1" s="1"/>
  <c r="AF184" i="1"/>
  <c r="AH184" i="1" s="1"/>
  <c r="AF185" i="1"/>
  <c r="AH185" i="1" s="1"/>
  <c r="AF186" i="1"/>
  <c r="AH186" i="1" s="1"/>
  <c r="AF187" i="1"/>
  <c r="AH187" i="1" s="1"/>
  <c r="AF188" i="1"/>
  <c r="AH188" i="1" s="1"/>
  <c r="AF189" i="1"/>
  <c r="AH189" i="1" s="1"/>
  <c r="AF190" i="1"/>
  <c r="AH190" i="1" s="1"/>
  <c r="AF191" i="1"/>
  <c r="AH191" i="1" s="1"/>
  <c r="AF192" i="1"/>
  <c r="AH192" i="1" s="1"/>
  <c r="AF193" i="1"/>
  <c r="AH193" i="1" s="1"/>
  <c r="AF194" i="1"/>
  <c r="AH194" i="1" s="1"/>
  <c r="AF195" i="1"/>
  <c r="AH195" i="1" s="1"/>
  <c r="AF196" i="1"/>
  <c r="AH196" i="1" s="1"/>
  <c r="AF197" i="1"/>
  <c r="AH197" i="1" s="1"/>
  <c r="AF198" i="1"/>
  <c r="AH198" i="1" s="1"/>
  <c r="AF199" i="1"/>
  <c r="AH199" i="1" s="1"/>
  <c r="AF200" i="1"/>
  <c r="AH200" i="1" s="1"/>
  <c r="AF201" i="1"/>
  <c r="AH201" i="1" s="1"/>
  <c r="AF202" i="1"/>
  <c r="AH202" i="1" s="1"/>
  <c r="AF203" i="1"/>
  <c r="AH203" i="1" s="1"/>
  <c r="AF204" i="1"/>
  <c r="AH204" i="1" s="1"/>
  <c r="AF205" i="1"/>
  <c r="AH205" i="1" s="1"/>
  <c r="AF206" i="1"/>
  <c r="AH206" i="1" s="1"/>
  <c r="AF207" i="1"/>
  <c r="AH207" i="1" s="1"/>
  <c r="AF208" i="1"/>
  <c r="AH208" i="1" s="1"/>
  <c r="AF209" i="1"/>
  <c r="AH209" i="1" s="1"/>
  <c r="AF210" i="1"/>
  <c r="AH210" i="1" s="1"/>
  <c r="AF211" i="1"/>
  <c r="AH211" i="1" s="1"/>
  <c r="AF212" i="1"/>
  <c r="AH212" i="1" s="1"/>
  <c r="AF213" i="1"/>
  <c r="AH213" i="1" s="1"/>
  <c r="AF214" i="1"/>
  <c r="AH214" i="1" s="1"/>
  <c r="AF215" i="1"/>
  <c r="AH215" i="1" s="1"/>
  <c r="AF216" i="1"/>
  <c r="AH216" i="1" s="1"/>
  <c r="AF217" i="1"/>
  <c r="AH217" i="1" s="1"/>
  <c r="AF218" i="1"/>
  <c r="AF219" i="1"/>
  <c r="AH219" i="1" s="1"/>
  <c r="AF220" i="1"/>
  <c r="AH220" i="1" s="1"/>
  <c r="AF221" i="1"/>
  <c r="AH221" i="1" s="1"/>
  <c r="AF222" i="1"/>
  <c r="AH222" i="1" s="1"/>
  <c r="AF223" i="1"/>
  <c r="AH223" i="1" s="1"/>
  <c r="AF224" i="1"/>
  <c r="AH224" i="1" s="1"/>
  <c r="AF225" i="1"/>
  <c r="AH225" i="1" s="1"/>
  <c r="AF226" i="1"/>
  <c r="AH226" i="1" s="1"/>
  <c r="AF227" i="1"/>
  <c r="AH227" i="1" s="1"/>
  <c r="AF228" i="1"/>
  <c r="AH228" i="1" s="1"/>
  <c r="AF229" i="1"/>
  <c r="AH229" i="1" s="1"/>
  <c r="AF230" i="1"/>
  <c r="AH230" i="1" s="1"/>
  <c r="AF231" i="1"/>
  <c r="AH231" i="1" s="1"/>
  <c r="AF232" i="1"/>
  <c r="AH232" i="1" s="1"/>
  <c r="AF233" i="1"/>
  <c r="AH233" i="1" s="1"/>
  <c r="AF234" i="1"/>
  <c r="AH234" i="1" s="1"/>
  <c r="AF235" i="1"/>
  <c r="AH235" i="1" s="1"/>
  <c r="AF236" i="1"/>
  <c r="AH236" i="1" s="1"/>
  <c r="AF237" i="1"/>
  <c r="AH237" i="1" s="1"/>
  <c r="AF238" i="1"/>
  <c r="AH238" i="1" s="1"/>
  <c r="AF239" i="1"/>
  <c r="AH239" i="1" s="1"/>
  <c r="AF240" i="1"/>
  <c r="AH240" i="1" s="1"/>
  <c r="AF241" i="1"/>
  <c r="AH241" i="1" s="1"/>
  <c r="AF242" i="1"/>
  <c r="AH242" i="1" s="1"/>
  <c r="AF243" i="1"/>
  <c r="AH243" i="1" s="1"/>
  <c r="AF244" i="1"/>
  <c r="AH244" i="1" s="1"/>
  <c r="AF245" i="1"/>
  <c r="AH245" i="1" s="1"/>
  <c r="AF246" i="1"/>
  <c r="AH246" i="1" s="1"/>
  <c r="AF247" i="1"/>
  <c r="AH247" i="1" s="1"/>
  <c r="AF248" i="1"/>
  <c r="AH248" i="1" s="1"/>
  <c r="AF249" i="1"/>
  <c r="AH249" i="1" s="1"/>
  <c r="AF250" i="1"/>
  <c r="AH250" i="1" s="1"/>
  <c r="AF251" i="1"/>
  <c r="AH251" i="1" s="1"/>
  <c r="AF252" i="1"/>
  <c r="AH252" i="1" s="1"/>
  <c r="AF253" i="1"/>
  <c r="AH253" i="1" s="1"/>
  <c r="AF254" i="1"/>
  <c r="AH254" i="1" s="1"/>
  <c r="AF255" i="1"/>
  <c r="AH255" i="1" s="1"/>
  <c r="AF256" i="1"/>
  <c r="AH256" i="1" s="1"/>
  <c r="AF257" i="1"/>
  <c r="AH257" i="1" s="1"/>
  <c r="AF258" i="1"/>
  <c r="AH258" i="1" s="1"/>
  <c r="AF259" i="1"/>
  <c r="AH259" i="1" s="1"/>
  <c r="AF260" i="1"/>
  <c r="AH260" i="1" s="1"/>
  <c r="AF261" i="1"/>
  <c r="AH261" i="1" s="1"/>
  <c r="AF262" i="1"/>
  <c r="AH262" i="1" s="1"/>
  <c r="AF263" i="1"/>
  <c r="AH263" i="1" s="1"/>
  <c r="AF264" i="1"/>
  <c r="AH264" i="1" s="1"/>
  <c r="AF265" i="1"/>
  <c r="AH265" i="1" s="1"/>
  <c r="AF266" i="1"/>
  <c r="AH266" i="1" s="1"/>
  <c r="AF267" i="1"/>
  <c r="AH267" i="1" s="1"/>
  <c r="AF268" i="1"/>
  <c r="AH268" i="1" s="1"/>
  <c r="AF269" i="1"/>
  <c r="AH269" i="1" s="1"/>
  <c r="AF270" i="1"/>
  <c r="AH270" i="1" s="1"/>
  <c r="AF271" i="1"/>
  <c r="AH271" i="1" s="1"/>
  <c r="AF272" i="1"/>
  <c r="AH272" i="1" s="1"/>
  <c r="AF273" i="1"/>
  <c r="AH273" i="1" s="1"/>
  <c r="AF274" i="1"/>
  <c r="AH274" i="1" s="1"/>
  <c r="AF275" i="1"/>
  <c r="AH275" i="1" s="1"/>
  <c r="AF276" i="1"/>
  <c r="AH276" i="1" s="1"/>
  <c r="AF277" i="1"/>
  <c r="AH277" i="1" s="1"/>
  <c r="AF278" i="1"/>
  <c r="AH278" i="1" s="1"/>
  <c r="AF279" i="1"/>
  <c r="AH279" i="1" s="1"/>
  <c r="AF280" i="1"/>
  <c r="AH280" i="1" s="1"/>
  <c r="AF281" i="1"/>
  <c r="AH281" i="1" s="1"/>
  <c r="AF282" i="1"/>
  <c r="AH282" i="1" s="1"/>
  <c r="AF283" i="1"/>
  <c r="AH283" i="1" s="1"/>
  <c r="AF284" i="1"/>
  <c r="AH284" i="1" s="1"/>
  <c r="AF285" i="1"/>
  <c r="AH285" i="1" s="1"/>
  <c r="AF286" i="1"/>
  <c r="AH286" i="1" s="1"/>
  <c r="AF287" i="1"/>
  <c r="AF288" i="1"/>
  <c r="AH288" i="1" s="1"/>
  <c r="AF289" i="1"/>
  <c r="AH289" i="1" s="1"/>
  <c r="AF290" i="1"/>
  <c r="AH290" i="1" s="1"/>
  <c r="AF291" i="1"/>
  <c r="AH291" i="1" s="1"/>
  <c r="AF292" i="1"/>
  <c r="AH292" i="1" s="1"/>
  <c r="AF293" i="1"/>
  <c r="AH293" i="1" s="1"/>
  <c r="AF294" i="1"/>
  <c r="AH294" i="1" s="1"/>
  <c r="AF295" i="1"/>
  <c r="AH295" i="1" s="1"/>
  <c r="AF296" i="1"/>
  <c r="AH296" i="1" s="1"/>
  <c r="AF297" i="1"/>
  <c r="AH297" i="1" s="1"/>
  <c r="AF298" i="1"/>
  <c r="AH298" i="1" s="1"/>
  <c r="AF299" i="1"/>
  <c r="AH299" i="1" s="1"/>
  <c r="AF300" i="1"/>
  <c r="AH300" i="1" s="1"/>
  <c r="AF301" i="1"/>
  <c r="AH301" i="1" s="1"/>
  <c r="AF302" i="1"/>
  <c r="AH302" i="1" s="1"/>
  <c r="AF303" i="1"/>
  <c r="AH303" i="1" s="1"/>
  <c r="AF304" i="1"/>
  <c r="AH304" i="1" s="1"/>
  <c r="AF305" i="1"/>
  <c r="AH305" i="1" s="1"/>
  <c r="AF306" i="1"/>
  <c r="AH306" i="1" s="1"/>
  <c r="AF307" i="1"/>
  <c r="AH307" i="1" s="1"/>
  <c r="AF308" i="1"/>
  <c r="AH308" i="1" s="1"/>
  <c r="AF309" i="1"/>
  <c r="AH309" i="1" s="1"/>
  <c r="AF310" i="1"/>
  <c r="AH310" i="1" s="1"/>
  <c r="AF311" i="1"/>
  <c r="AH311" i="1" s="1"/>
  <c r="AF312" i="1"/>
  <c r="AH312" i="1" s="1"/>
  <c r="AF313" i="1"/>
  <c r="AH313" i="1" s="1"/>
  <c r="AF314" i="1"/>
  <c r="AH314" i="1" s="1"/>
  <c r="AF315" i="1"/>
  <c r="AF316" i="1"/>
  <c r="AH316" i="1" s="1"/>
  <c r="AF317" i="1"/>
  <c r="AH317" i="1" s="1"/>
  <c r="AF318" i="1"/>
  <c r="AH318" i="1" s="1"/>
  <c r="AF319" i="1"/>
  <c r="AH319" i="1" s="1"/>
  <c r="AF320" i="1"/>
  <c r="AH320" i="1" s="1"/>
  <c r="AF321" i="1"/>
  <c r="AH321" i="1" s="1"/>
  <c r="AF322" i="1"/>
  <c r="AH322" i="1" s="1"/>
  <c r="AF323" i="1"/>
  <c r="AH323" i="1" s="1"/>
  <c r="AF324" i="1"/>
  <c r="AH324" i="1" s="1"/>
  <c r="AF325" i="1"/>
  <c r="AH325" i="1" s="1"/>
  <c r="AF326" i="1"/>
  <c r="AH326" i="1" s="1"/>
  <c r="AF327" i="1"/>
  <c r="AH327" i="1" s="1"/>
  <c r="AF328" i="1"/>
  <c r="AH328" i="1" s="1"/>
  <c r="AF329" i="1"/>
  <c r="AH329" i="1" s="1"/>
  <c r="AF330" i="1"/>
  <c r="AH330" i="1" s="1"/>
  <c r="AF331" i="1"/>
  <c r="AH331" i="1" s="1"/>
  <c r="AF332" i="1"/>
  <c r="AH332" i="1" s="1"/>
  <c r="AF333" i="1"/>
  <c r="AH333" i="1" s="1"/>
  <c r="AF334" i="1"/>
  <c r="AH334" i="1" s="1"/>
  <c r="AF335" i="1"/>
  <c r="AH335" i="1" s="1"/>
  <c r="AF336" i="1"/>
  <c r="AH336" i="1" s="1"/>
  <c r="AF337" i="1"/>
  <c r="AH337" i="1" s="1"/>
  <c r="AF338" i="1"/>
  <c r="AH338" i="1" s="1"/>
  <c r="AF339" i="1"/>
  <c r="AH339" i="1" s="1"/>
  <c r="AF340" i="1"/>
  <c r="AH340" i="1" s="1"/>
  <c r="AF341" i="1"/>
  <c r="AH341" i="1" s="1"/>
  <c r="AF342" i="1"/>
  <c r="AH342" i="1" s="1"/>
  <c r="AF343" i="1"/>
  <c r="AH343" i="1" s="1"/>
  <c r="AF344" i="1"/>
  <c r="AH344" i="1" s="1"/>
  <c r="AF345" i="1"/>
  <c r="AH345" i="1" s="1"/>
  <c r="AF346" i="1"/>
  <c r="AH346" i="1" s="1"/>
  <c r="AF347" i="1"/>
  <c r="AH347" i="1" s="1"/>
  <c r="AF348" i="1"/>
  <c r="AH348" i="1" s="1"/>
  <c r="AF349" i="1"/>
  <c r="AH349" i="1" s="1"/>
  <c r="AF350" i="1"/>
  <c r="AH350" i="1" s="1"/>
  <c r="AF351" i="1"/>
  <c r="AH351" i="1" s="1"/>
  <c r="AF352" i="1"/>
  <c r="AH352" i="1" s="1"/>
  <c r="AF353" i="1"/>
  <c r="AH353" i="1" s="1"/>
  <c r="AF354" i="1"/>
  <c r="AH354" i="1" s="1"/>
  <c r="AF355" i="1"/>
  <c r="AH355" i="1" s="1"/>
  <c r="AF356" i="1"/>
  <c r="AH356" i="1" s="1"/>
  <c r="AF357" i="1"/>
  <c r="AH357" i="1" s="1"/>
  <c r="AF358" i="1"/>
  <c r="AH358" i="1" s="1"/>
  <c r="AF359" i="1"/>
  <c r="AH359" i="1" s="1"/>
  <c r="AF360" i="1"/>
  <c r="AH360" i="1" s="1"/>
  <c r="AF361" i="1"/>
  <c r="AH361" i="1" s="1"/>
  <c r="AF362" i="1"/>
  <c r="AH362" i="1" s="1"/>
  <c r="AF363" i="1"/>
  <c r="AH363" i="1" s="1"/>
  <c r="AF364" i="1"/>
  <c r="AH364" i="1" s="1"/>
  <c r="AF365" i="1"/>
  <c r="AH365" i="1" s="1"/>
  <c r="AF366" i="1"/>
  <c r="AH366" i="1" s="1"/>
  <c r="AF367" i="1"/>
  <c r="AH367" i="1" s="1"/>
  <c r="AF368" i="1"/>
  <c r="AH368" i="1" s="1"/>
  <c r="AF369" i="1"/>
  <c r="AH369" i="1" s="1"/>
  <c r="AF370" i="1"/>
  <c r="AH370" i="1" s="1"/>
  <c r="AF371" i="1"/>
  <c r="AH371" i="1" s="1"/>
  <c r="AF372" i="1"/>
  <c r="AH372" i="1" s="1"/>
  <c r="AF373" i="1"/>
  <c r="AH373" i="1" s="1"/>
  <c r="AF374" i="1"/>
  <c r="AH374" i="1" s="1"/>
  <c r="AF375" i="1"/>
  <c r="AH375" i="1" s="1"/>
  <c r="AF376" i="1"/>
  <c r="AH376" i="1" s="1"/>
  <c r="AF377" i="1"/>
  <c r="AH377" i="1" s="1"/>
  <c r="AF378" i="1"/>
  <c r="AH378" i="1" s="1"/>
  <c r="AF379" i="1"/>
  <c r="AH379" i="1" s="1"/>
  <c r="AF380" i="1"/>
  <c r="AH380" i="1" s="1"/>
  <c r="AF381" i="1"/>
  <c r="AH381" i="1" s="1"/>
  <c r="AF382" i="1"/>
  <c r="AH382" i="1" s="1"/>
  <c r="AF383" i="1"/>
  <c r="AH383" i="1" s="1"/>
  <c r="AF384" i="1"/>
  <c r="AH384" i="1" s="1"/>
  <c r="AF385" i="1"/>
  <c r="AH385" i="1" s="1"/>
  <c r="AF386" i="1"/>
  <c r="AH386" i="1" s="1"/>
  <c r="AF387" i="1"/>
  <c r="AH387" i="1" s="1"/>
  <c r="AF388" i="1"/>
  <c r="AH388" i="1" s="1"/>
  <c r="AF389" i="1"/>
  <c r="AH389" i="1" s="1"/>
  <c r="AF390" i="1"/>
  <c r="AH390" i="1" s="1"/>
  <c r="AF391" i="1"/>
  <c r="AH391" i="1" s="1"/>
  <c r="AF392" i="1"/>
  <c r="AH392" i="1" s="1"/>
  <c r="AF393" i="1"/>
  <c r="AH393" i="1" s="1"/>
  <c r="AF394" i="1"/>
  <c r="AH394" i="1" s="1"/>
  <c r="AF395" i="1"/>
  <c r="AF396" i="1"/>
  <c r="AH396" i="1" s="1"/>
  <c r="AF397" i="1"/>
  <c r="AH397" i="1" s="1"/>
  <c r="AF398" i="1"/>
  <c r="AH398" i="1" s="1"/>
  <c r="AF399" i="1"/>
  <c r="AH399" i="1" s="1"/>
  <c r="AF400" i="1"/>
  <c r="AH400" i="1" s="1"/>
  <c r="AF401" i="1"/>
  <c r="AH401" i="1" s="1"/>
  <c r="AF402" i="1"/>
  <c r="AH402" i="1" s="1"/>
  <c r="AF403" i="1"/>
  <c r="AH403" i="1" s="1"/>
  <c r="AF404" i="1"/>
  <c r="AH404" i="1" s="1"/>
  <c r="AF405" i="1"/>
  <c r="AH405" i="1" s="1"/>
  <c r="AF406" i="1"/>
  <c r="AH406" i="1" s="1"/>
  <c r="AF407" i="1"/>
  <c r="AH407" i="1" s="1"/>
  <c r="AF408" i="1"/>
  <c r="AH408" i="1" s="1"/>
  <c r="AF409" i="1"/>
  <c r="AH409" i="1" s="1"/>
  <c r="AF410" i="1"/>
  <c r="AH410" i="1" s="1"/>
  <c r="AF411" i="1"/>
  <c r="AH411" i="1" s="1"/>
  <c r="AF412" i="1"/>
  <c r="AH412" i="1" s="1"/>
  <c r="AF413" i="1"/>
  <c r="AH413" i="1" s="1"/>
  <c r="AF414" i="1"/>
  <c r="AH414" i="1" s="1"/>
  <c r="AF415" i="1"/>
  <c r="AH415" i="1" s="1"/>
  <c r="AF416" i="1"/>
  <c r="AH416" i="1" s="1"/>
  <c r="AF417" i="1"/>
  <c r="AH417" i="1" s="1"/>
  <c r="AF418" i="1"/>
  <c r="AH418" i="1" s="1"/>
  <c r="AF419" i="1"/>
  <c r="AH419" i="1" s="1"/>
  <c r="AF420" i="1"/>
  <c r="AH420" i="1" s="1"/>
  <c r="AF421" i="1"/>
  <c r="AH421" i="1" s="1"/>
  <c r="AF422" i="1"/>
  <c r="AH422" i="1" s="1"/>
  <c r="AF423" i="1"/>
  <c r="AH423" i="1" s="1"/>
  <c r="AF424" i="1"/>
  <c r="AH424" i="1" s="1"/>
  <c r="AF425" i="1"/>
  <c r="AH425" i="1" s="1"/>
  <c r="AF426" i="1"/>
  <c r="AH426" i="1" s="1"/>
  <c r="AF427" i="1"/>
  <c r="AH427" i="1" s="1"/>
  <c r="AF428" i="1"/>
  <c r="AH428" i="1" s="1"/>
  <c r="AF429" i="1"/>
  <c r="AH429" i="1" s="1"/>
  <c r="AF430" i="1"/>
  <c r="AH430" i="1" s="1"/>
  <c r="AF431" i="1"/>
  <c r="AH431" i="1" s="1"/>
  <c r="AF432" i="1"/>
  <c r="AH432" i="1" s="1"/>
  <c r="AF433" i="1"/>
  <c r="AH433" i="1" s="1"/>
  <c r="AF434" i="1"/>
  <c r="AH434" i="1" s="1"/>
  <c r="AF435" i="1"/>
  <c r="AH435" i="1" s="1"/>
  <c r="AF436" i="1"/>
  <c r="AH436" i="1" s="1"/>
  <c r="AF437" i="1"/>
  <c r="AH437" i="1" s="1"/>
  <c r="AF438" i="1"/>
  <c r="AH438" i="1" s="1"/>
  <c r="AF439" i="1"/>
  <c r="AH439" i="1" s="1"/>
  <c r="AF440" i="1"/>
  <c r="AH440" i="1" s="1"/>
  <c r="AF441" i="1"/>
  <c r="AH441" i="1" s="1"/>
  <c r="AF442" i="1"/>
  <c r="AH442" i="1" s="1"/>
  <c r="AF443" i="1"/>
  <c r="AH443" i="1" s="1"/>
  <c r="AF444" i="1"/>
  <c r="AH444" i="1" s="1"/>
  <c r="AF445" i="1"/>
  <c r="AH445" i="1" s="1"/>
  <c r="AF446" i="1"/>
  <c r="AH446" i="1" s="1"/>
  <c r="AF447" i="1"/>
  <c r="AH447" i="1" s="1"/>
  <c r="AF448" i="1"/>
  <c r="AH448" i="1" s="1"/>
  <c r="AF449" i="1"/>
  <c r="AH449" i="1" s="1"/>
  <c r="AF450" i="1"/>
  <c r="AH450" i="1" s="1"/>
  <c r="AF451" i="1"/>
  <c r="AH451" i="1" s="1"/>
  <c r="AF452" i="1"/>
  <c r="AH452" i="1" s="1"/>
  <c r="AF453" i="1"/>
  <c r="AH453" i="1" s="1"/>
  <c r="AF454" i="1"/>
  <c r="AH454" i="1" s="1"/>
  <c r="AF455" i="1"/>
  <c r="AH455" i="1" s="1"/>
  <c r="AF456" i="1"/>
  <c r="AH456" i="1" s="1"/>
  <c r="AF457" i="1"/>
  <c r="AH457" i="1" s="1"/>
  <c r="AF458" i="1"/>
  <c r="AH458" i="1" s="1"/>
  <c r="AF459" i="1"/>
  <c r="AH459" i="1" s="1"/>
  <c r="AF460" i="1"/>
  <c r="AH460" i="1" s="1"/>
  <c r="AF461" i="1"/>
  <c r="AH461" i="1" s="1"/>
  <c r="AF462" i="1"/>
  <c r="AH462" i="1" s="1"/>
  <c r="AF463" i="1"/>
  <c r="AH463" i="1" s="1"/>
  <c r="AF464" i="1"/>
  <c r="AH464" i="1" s="1"/>
  <c r="AF465" i="1"/>
  <c r="AH465" i="1" s="1"/>
  <c r="AF466" i="1"/>
  <c r="AH466" i="1" s="1"/>
  <c r="AF467" i="1"/>
  <c r="AH467" i="1" s="1"/>
  <c r="AF468" i="1"/>
  <c r="AH468" i="1" s="1"/>
  <c r="AF469" i="1"/>
  <c r="AH469" i="1" s="1"/>
  <c r="AF470" i="1"/>
  <c r="AH470" i="1" s="1"/>
  <c r="AF471" i="1"/>
  <c r="AH471" i="1" s="1"/>
  <c r="AF472" i="1"/>
  <c r="AH472" i="1" s="1"/>
  <c r="AF473" i="1"/>
  <c r="AH473" i="1" s="1"/>
  <c r="AF474" i="1"/>
  <c r="AH474" i="1" s="1"/>
  <c r="AF475" i="1"/>
  <c r="AH475" i="1" s="1"/>
  <c r="AF476" i="1"/>
  <c r="AH476" i="1" s="1"/>
  <c r="AF477" i="1"/>
  <c r="AH477" i="1" s="1"/>
  <c r="AF478" i="1"/>
  <c r="AH478" i="1" s="1"/>
  <c r="AF479" i="1"/>
  <c r="AH479" i="1" s="1"/>
  <c r="AF480" i="1"/>
  <c r="AH480" i="1" s="1"/>
  <c r="AF481" i="1"/>
  <c r="AH481" i="1" s="1"/>
  <c r="AF482" i="1"/>
  <c r="AH482" i="1" s="1"/>
  <c r="AF483" i="1"/>
  <c r="AH483" i="1" s="1"/>
  <c r="AF484" i="1"/>
  <c r="AH484" i="1" s="1"/>
  <c r="AF485" i="1"/>
  <c r="AH485" i="1" s="1"/>
  <c r="AF486" i="1"/>
  <c r="AH486" i="1" s="1"/>
  <c r="AF487" i="1"/>
  <c r="AH487" i="1" s="1"/>
  <c r="AF488" i="1"/>
  <c r="AH488" i="1" s="1"/>
  <c r="AF489" i="1"/>
  <c r="AH489" i="1" s="1"/>
  <c r="AF490" i="1"/>
  <c r="AH490" i="1" s="1"/>
  <c r="AF491" i="1"/>
  <c r="AH491" i="1" s="1"/>
  <c r="AF492" i="1"/>
  <c r="AF493" i="1"/>
  <c r="AH493" i="1" s="1"/>
  <c r="AF494" i="1"/>
  <c r="AH494" i="1" s="1"/>
  <c r="AF495" i="1"/>
  <c r="AH495" i="1" s="1"/>
  <c r="AF496" i="1"/>
  <c r="AH496" i="1" s="1"/>
  <c r="AF497" i="1"/>
  <c r="AH497" i="1" s="1"/>
  <c r="AF498" i="1"/>
  <c r="AH498" i="1" s="1"/>
  <c r="AF499" i="1"/>
  <c r="AH499" i="1" s="1"/>
  <c r="AF500" i="1"/>
  <c r="AH500" i="1" s="1"/>
  <c r="AF501" i="1"/>
  <c r="AH501" i="1" s="1"/>
  <c r="AF502" i="1"/>
  <c r="AH502" i="1" s="1"/>
  <c r="AF503" i="1"/>
  <c r="AH503" i="1" s="1"/>
  <c r="AF504" i="1"/>
  <c r="AH504" i="1" s="1"/>
  <c r="AF505" i="1"/>
  <c r="AH505" i="1" s="1"/>
  <c r="AF506" i="1"/>
  <c r="AH506" i="1" s="1"/>
  <c r="AF507" i="1"/>
  <c r="AH507" i="1" s="1"/>
  <c r="AF508" i="1"/>
  <c r="AH508" i="1" s="1"/>
  <c r="AF509" i="1"/>
  <c r="AH509" i="1" s="1"/>
  <c r="AF510" i="1"/>
  <c r="AF511" i="1"/>
  <c r="AH511" i="1" s="1"/>
  <c r="AF512" i="1"/>
  <c r="AH512" i="1" s="1"/>
  <c r="AF513" i="1"/>
  <c r="AH513" i="1" s="1"/>
  <c r="AF514" i="1"/>
  <c r="AH514" i="1" s="1"/>
  <c r="AF515" i="1"/>
  <c r="AH515" i="1" s="1"/>
  <c r="AF516" i="1"/>
  <c r="AH516" i="1" s="1"/>
  <c r="AF517" i="1"/>
  <c r="AH517" i="1" s="1"/>
  <c r="AF518" i="1"/>
  <c r="AH518" i="1" s="1"/>
  <c r="AF519" i="1"/>
  <c r="AH519" i="1" s="1"/>
  <c r="AF520" i="1"/>
  <c r="AH520" i="1" s="1"/>
  <c r="AF521" i="1"/>
  <c r="AH521" i="1" s="1"/>
  <c r="AF522" i="1"/>
  <c r="AH522" i="1" s="1"/>
  <c r="AF523" i="1"/>
  <c r="AH523" i="1" s="1"/>
  <c r="AF524" i="1"/>
  <c r="AH524" i="1" s="1"/>
  <c r="AF525" i="1"/>
  <c r="AH525" i="1" s="1"/>
  <c r="AF526" i="1"/>
  <c r="AH526" i="1" s="1"/>
  <c r="AF527" i="1"/>
  <c r="AH527" i="1" s="1"/>
  <c r="AF528" i="1"/>
  <c r="AH528" i="1" s="1"/>
  <c r="AF529" i="1"/>
  <c r="AH529" i="1" s="1"/>
  <c r="AF530" i="1"/>
  <c r="AH530" i="1" s="1"/>
  <c r="AF531" i="1"/>
  <c r="AH531" i="1" s="1"/>
  <c r="AF532" i="1"/>
  <c r="AH532" i="1" s="1"/>
  <c r="AF533" i="1"/>
  <c r="AH533" i="1" s="1"/>
  <c r="AF534" i="1"/>
  <c r="AH534" i="1" s="1"/>
  <c r="AF535" i="1"/>
  <c r="AH535" i="1" s="1"/>
  <c r="AF536" i="1"/>
  <c r="AH536" i="1" s="1"/>
  <c r="AF537" i="1"/>
  <c r="AH537" i="1" s="1"/>
  <c r="AF538" i="1"/>
  <c r="AH538" i="1" s="1"/>
  <c r="AF539" i="1"/>
  <c r="AH539" i="1" s="1"/>
  <c r="AF540" i="1"/>
  <c r="AH540" i="1" s="1"/>
  <c r="AF541" i="1"/>
  <c r="AH541" i="1" s="1"/>
  <c r="AF542" i="1"/>
  <c r="AH542" i="1" s="1"/>
  <c r="AF543" i="1"/>
  <c r="AH543" i="1" s="1"/>
  <c r="AF544" i="1"/>
  <c r="AH544" i="1" s="1"/>
  <c r="AF545" i="1"/>
  <c r="AH545" i="1" s="1"/>
  <c r="AF546" i="1"/>
  <c r="AH546" i="1" s="1"/>
  <c r="AF547" i="1"/>
  <c r="AH547" i="1" s="1"/>
  <c r="AF548" i="1"/>
  <c r="AH548" i="1" s="1"/>
  <c r="AF549" i="1"/>
  <c r="AH549" i="1" s="1"/>
  <c r="AF550" i="1"/>
  <c r="AH550" i="1" s="1"/>
  <c r="AF551" i="1"/>
  <c r="AH551" i="1" s="1"/>
  <c r="AF552" i="1"/>
  <c r="AH552" i="1" s="1"/>
  <c r="AF553" i="1"/>
  <c r="AH553" i="1" s="1"/>
  <c r="AF554" i="1"/>
  <c r="AH554" i="1" s="1"/>
  <c r="AF555" i="1"/>
  <c r="AH555" i="1" s="1"/>
  <c r="AF556" i="1"/>
  <c r="AH556" i="1" s="1"/>
  <c r="AF557" i="1"/>
  <c r="AH557" i="1" s="1"/>
  <c r="AF558" i="1"/>
  <c r="AH558" i="1" s="1"/>
  <c r="AF559" i="1"/>
  <c r="AH559" i="1" s="1"/>
  <c r="AF560" i="1"/>
  <c r="AH560" i="1" s="1"/>
  <c r="AF561" i="1"/>
  <c r="AH561" i="1" s="1"/>
  <c r="AF562" i="1"/>
  <c r="AH562" i="1" s="1"/>
  <c r="AF563" i="1"/>
  <c r="AH563" i="1" s="1"/>
  <c r="AF564" i="1"/>
  <c r="AH564" i="1" s="1"/>
  <c r="AF565" i="1"/>
  <c r="AH565" i="1" s="1"/>
  <c r="AF566" i="1"/>
  <c r="AH566" i="1" s="1"/>
  <c r="AF567" i="1"/>
  <c r="AH567" i="1" s="1"/>
  <c r="AF568" i="1"/>
  <c r="AH568" i="1" s="1"/>
  <c r="AF569" i="1"/>
  <c r="AH569" i="1" s="1"/>
  <c r="AF570" i="1"/>
  <c r="AH570" i="1" s="1"/>
  <c r="AF571" i="1"/>
  <c r="AH571" i="1" s="1"/>
  <c r="AF572" i="1"/>
  <c r="AH572" i="1" s="1"/>
  <c r="AF573" i="1"/>
  <c r="AH573" i="1" s="1"/>
  <c r="AF574" i="1"/>
  <c r="AH574" i="1" s="1"/>
  <c r="AF575" i="1"/>
  <c r="AH575" i="1" s="1"/>
  <c r="AF576" i="1"/>
  <c r="AH576" i="1" s="1"/>
  <c r="AF577" i="1"/>
  <c r="AH577" i="1" s="1"/>
  <c r="AF578" i="1"/>
  <c r="AH578" i="1" s="1"/>
  <c r="AF579" i="1"/>
  <c r="AH579" i="1" s="1"/>
  <c r="AF580" i="1"/>
  <c r="AH580" i="1" s="1"/>
  <c r="AF581" i="1"/>
  <c r="AH581" i="1" s="1"/>
  <c r="AF582" i="1"/>
  <c r="AH582" i="1" s="1"/>
  <c r="AF583" i="1"/>
  <c r="AH583" i="1" s="1"/>
  <c r="AF584" i="1"/>
  <c r="AH584" i="1" s="1"/>
  <c r="AF585" i="1"/>
  <c r="AH585" i="1" s="1"/>
  <c r="AF586" i="1"/>
  <c r="AH586" i="1" s="1"/>
  <c r="AF587" i="1"/>
  <c r="AH587" i="1" s="1"/>
  <c r="AF588" i="1"/>
  <c r="AH588" i="1" s="1"/>
  <c r="AF589" i="1"/>
  <c r="AF590" i="1"/>
  <c r="AH590" i="1" s="1"/>
  <c r="AF591" i="1"/>
  <c r="AH591" i="1" s="1"/>
  <c r="AF592" i="1"/>
  <c r="AH592" i="1" s="1"/>
  <c r="AF593" i="1"/>
  <c r="AH593" i="1" s="1"/>
  <c r="AF594" i="1"/>
  <c r="AH594" i="1" s="1"/>
  <c r="AF595" i="1"/>
  <c r="AH595" i="1" s="1"/>
  <c r="AF596" i="1"/>
  <c r="AH596" i="1" s="1"/>
  <c r="AF597" i="1"/>
  <c r="AH597" i="1" s="1"/>
  <c r="AF598" i="1"/>
  <c r="AH598" i="1" s="1"/>
  <c r="AF599" i="1"/>
  <c r="AH599" i="1" s="1"/>
  <c r="AF600" i="1"/>
  <c r="AH600" i="1" s="1"/>
  <c r="AF601" i="1"/>
  <c r="AH601" i="1" s="1"/>
  <c r="AF602" i="1"/>
  <c r="AH602" i="1" s="1"/>
  <c r="AF603" i="1"/>
  <c r="AH603" i="1" s="1"/>
  <c r="AF604" i="1"/>
  <c r="AH604" i="1" s="1"/>
  <c r="AF605" i="1"/>
  <c r="AH605" i="1" s="1"/>
  <c r="AF606" i="1"/>
  <c r="AH606" i="1" s="1"/>
  <c r="AF607" i="1"/>
  <c r="AH607" i="1" s="1"/>
  <c r="AF608" i="1"/>
  <c r="AH608" i="1" s="1"/>
  <c r="AF609" i="1"/>
  <c r="AH609" i="1" s="1"/>
  <c r="AF610" i="1"/>
  <c r="AH610" i="1" s="1"/>
  <c r="AF611" i="1"/>
  <c r="AH611" i="1" s="1"/>
  <c r="AF612" i="1"/>
  <c r="AH612" i="1" s="1"/>
  <c r="AF613" i="1"/>
  <c r="AH613" i="1" s="1"/>
  <c r="AF614" i="1"/>
  <c r="AH614" i="1" s="1"/>
  <c r="AF615" i="1"/>
  <c r="AH615" i="1" s="1"/>
  <c r="AF616" i="1"/>
  <c r="AH616" i="1" s="1"/>
  <c r="AF617" i="1"/>
  <c r="AH617" i="1" s="1"/>
  <c r="AF618" i="1"/>
  <c r="AH618" i="1" s="1"/>
  <c r="AF619" i="1"/>
  <c r="AH619" i="1" s="1"/>
  <c r="AF620" i="1"/>
  <c r="AH620" i="1" s="1"/>
  <c r="AF621" i="1"/>
  <c r="AH621" i="1" s="1"/>
  <c r="AF622" i="1"/>
  <c r="AH622" i="1" s="1"/>
  <c r="AF623" i="1"/>
  <c r="AH623" i="1" s="1"/>
  <c r="AF624" i="1"/>
  <c r="AH624" i="1" s="1"/>
  <c r="AF625" i="1"/>
  <c r="AH625" i="1" s="1"/>
  <c r="AF626" i="1"/>
  <c r="AH626" i="1" s="1"/>
  <c r="AF627" i="1"/>
  <c r="AH627" i="1" s="1"/>
  <c r="AF628" i="1"/>
  <c r="AH628" i="1" s="1"/>
  <c r="AF629" i="1"/>
  <c r="AH629" i="1" s="1"/>
  <c r="AF630" i="1"/>
  <c r="AH630" i="1" s="1"/>
  <c r="AF631" i="1"/>
  <c r="AH631" i="1" s="1"/>
  <c r="AF632" i="1"/>
  <c r="AH632" i="1" s="1"/>
  <c r="AF633" i="1"/>
  <c r="AH633" i="1" s="1"/>
  <c r="AF634" i="1"/>
  <c r="AH634" i="1" s="1"/>
  <c r="AF635" i="1"/>
  <c r="AH635" i="1" s="1"/>
  <c r="AF636" i="1"/>
  <c r="AH636" i="1" s="1"/>
  <c r="AF637" i="1"/>
  <c r="AH637" i="1" s="1"/>
  <c r="AF638" i="1"/>
  <c r="AH638" i="1" s="1"/>
  <c r="AF639" i="1"/>
  <c r="AH639" i="1" s="1"/>
  <c r="AF640" i="1"/>
  <c r="AH640" i="1" s="1"/>
  <c r="AF641" i="1"/>
  <c r="AH641" i="1" s="1"/>
  <c r="AF642" i="1"/>
  <c r="AH642" i="1" s="1"/>
  <c r="AF643" i="1"/>
  <c r="AH643" i="1" s="1"/>
  <c r="AF644" i="1"/>
  <c r="AH644" i="1" s="1"/>
  <c r="AF645" i="1"/>
  <c r="AH645" i="1" s="1"/>
  <c r="AF646" i="1"/>
  <c r="AH646" i="1" s="1"/>
  <c r="AF647" i="1"/>
  <c r="AH647" i="1" s="1"/>
  <c r="AF648" i="1"/>
  <c r="AH648" i="1" s="1"/>
  <c r="AF649" i="1"/>
  <c r="AH649" i="1" s="1"/>
  <c r="AF650" i="1"/>
  <c r="AH650" i="1" s="1"/>
  <c r="AF651" i="1"/>
  <c r="AH651" i="1" s="1"/>
  <c r="AF652" i="1"/>
  <c r="AH652" i="1" s="1"/>
  <c r="AF653" i="1"/>
  <c r="AH653" i="1" s="1"/>
  <c r="AF654" i="1"/>
  <c r="AH654" i="1" s="1"/>
  <c r="AF655" i="1"/>
  <c r="AH655" i="1" s="1"/>
  <c r="AF656" i="1"/>
  <c r="AH656" i="1" s="1"/>
  <c r="AF657" i="1"/>
  <c r="AH657" i="1" s="1"/>
  <c r="AF658" i="1"/>
  <c r="AH658" i="1" s="1"/>
  <c r="AF659" i="1"/>
  <c r="AH659" i="1" s="1"/>
  <c r="AF660" i="1"/>
  <c r="AH660" i="1" s="1"/>
  <c r="AF661" i="1"/>
  <c r="AH661" i="1" s="1"/>
  <c r="AF662" i="1"/>
  <c r="AH662" i="1" s="1"/>
  <c r="AF663" i="1"/>
  <c r="AH663" i="1" s="1"/>
  <c r="AF664" i="1"/>
  <c r="AH664" i="1" s="1"/>
  <c r="AF665" i="1"/>
  <c r="AH665" i="1" s="1"/>
  <c r="AF666" i="1"/>
  <c r="AH666" i="1" s="1"/>
  <c r="AF667" i="1"/>
  <c r="AH667" i="1" s="1"/>
  <c r="AF668" i="1"/>
  <c r="AH668" i="1" s="1"/>
  <c r="AF669" i="1"/>
  <c r="AH669" i="1" s="1"/>
  <c r="AF670" i="1"/>
  <c r="AH670" i="1" s="1"/>
  <c r="AF671" i="1"/>
  <c r="AH671" i="1" s="1"/>
  <c r="AF672" i="1"/>
  <c r="AH672" i="1" s="1"/>
  <c r="AF673" i="1"/>
  <c r="AH673" i="1" s="1"/>
  <c r="AF674" i="1"/>
  <c r="AH674" i="1" s="1"/>
  <c r="AF675" i="1"/>
  <c r="AH675" i="1" s="1"/>
  <c r="AF676" i="1"/>
  <c r="AH676" i="1" s="1"/>
  <c r="AF677" i="1"/>
  <c r="AH677" i="1" s="1"/>
  <c r="AF678" i="1"/>
  <c r="AH678" i="1" s="1"/>
  <c r="AF679" i="1"/>
  <c r="AH679" i="1" s="1"/>
  <c r="AF680" i="1"/>
  <c r="AH680" i="1" s="1"/>
  <c r="AF681" i="1"/>
  <c r="AH681" i="1" s="1"/>
  <c r="AF682" i="1"/>
  <c r="AH682" i="1" s="1"/>
  <c r="AF683" i="1"/>
  <c r="AH683" i="1" s="1"/>
  <c r="AF684" i="1"/>
  <c r="AH684" i="1" s="1"/>
  <c r="AF685" i="1"/>
  <c r="AH685" i="1" s="1"/>
  <c r="AF686" i="1"/>
  <c r="AH686" i="1" s="1"/>
  <c r="AF687" i="1"/>
  <c r="AF688" i="1"/>
  <c r="AH688" i="1" s="1"/>
  <c r="AF689" i="1"/>
  <c r="AH689" i="1" s="1"/>
  <c r="AF690" i="1"/>
  <c r="AH690" i="1" s="1"/>
  <c r="AF691" i="1"/>
  <c r="AH691" i="1" s="1"/>
  <c r="AF692" i="1"/>
  <c r="AH692" i="1" s="1"/>
  <c r="AF693" i="1"/>
  <c r="AH693" i="1" s="1"/>
  <c r="AF694" i="1"/>
  <c r="AH694" i="1" s="1"/>
  <c r="AF695" i="1"/>
  <c r="AH695" i="1" s="1"/>
  <c r="AF696" i="1"/>
  <c r="AH696" i="1" s="1"/>
  <c r="AF697" i="1"/>
  <c r="AH697" i="1" s="1"/>
  <c r="AF698" i="1"/>
  <c r="AH698" i="1" s="1"/>
  <c r="AF699" i="1"/>
  <c r="AH699" i="1" s="1"/>
  <c r="AF700" i="1"/>
  <c r="AH700" i="1" s="1"/>
  <c r="AF701" i="1"/>
  <c r="AH701" i="1" s="1"/>
  <c r="AF702" i="1"/>
  <c r="AH702" i="1" s="1"/>
  <c r="AF703" i="1"/>
  <c r="AH703" i="1" s="1"/>
  <c r="AF704" i="1"/>
  <c r="AH704" i="1" s="1"/>
  <c r="AF705" i="1"/>
  <c r="AH705" i="1" s="1"/>
  <c r="AF706" i="1"/>
  <c r="AH706" i="1" s="1"/>
  <c r="AF707" i="1"/>
  <c r="AH707" i="1" s="1"/>
  <c r="AF708" i="1"/>
  <c r="AH708" i="1" s="1"/>
  <c r="AF709" i="1"/>
  <c r="AH709" i="1" s="1"/>
  <c r="AF710" i="1"/>
  <c r="AH710" i="1" s="1"/>
  <c r="AF711" i="1"/>
  <c r="AH711" i="1" s="1"/>
  <c r="AF712" i="1"/>
  <c r="AH712" i="1" s="1"/>
  <c r="AF713" i="1"/>
  <c r="AH713" i="1" s="1"/>
  <c r="AF714" i="1"/>
  <c r="AH714" i="1" s="1"/>
  <c r="AF715" i="1"/>
  <c r="AH715" i="1" s="1"/>
  <c r="AF716" i="1"/>
  <c r="AH716" i="1" s="1"/>
  <c r="AF717" i="1"/>
  <c r="AH717" i="1" s="1"/>
  <c r="AF718" i="1"/>
  <c r="AH718" i="1" s="1"/>
  <c r="AF719" i="1"/>
  <c r="AH719" i="1" s="1"/>
  <c r="AF720" i="1"/>
  <c r="AH720" i="1" s="1"/>
  <c r="AF721" i="1"/>
  <c r="AH721" i="1" s="1"/>
  <c r="AF722" i="1"/>
  <c r="AH722" i="1" s="1"/>
  <c r="AF723" i="1"/>
  <c r="AH723" i="1" s="1"/>
  <c r="AF724" i="1"/>
  <c r="AH724" i="1" s="1"/>
  <c r="AF725" i="1"/>
  <c r="AH725" i="1" s="1"/>
  <c r="AF726" i="1"/>
  <c r="AH726" i="1" s="1"/>
  <c r="AF727" i="1"/>
  <c r="AH727" i="1" s="1"/>
  <c r="AF728" i="1"/>
  <c r="AH728" i="1" s="1"/>
  <c r="AF729" i="1"/>
  <c r="AH729" i="1" s="1"/>
  <c r="AF730" i="1"/>
  <c r="AH730" i="1" s="1"/>
  <c r="AF731" i="1"/>
  <c r="AH731" i="1" s="1"/>
  <c r="AF732" i="1"/>
  <c r="AH732" i="1" s="1"/>
  <c r="AF733" i="1"/>
  <c r="AH733" i="1" s="1"/>
  <c r="AF734" i="1"/>
  <c r="AH734" i="1" s="1"/>
  <c r="AF735" i="1"/>
  <c r="AH735" i="1" s="1"/>
  <c r="AF736" i="1"/>
  <c r="AH736" i="1" s="1"/>
  <c r="AF737" i="1"/>
  <c r="AH737" i="1" s="1"/>
  <c r="AF738" i="1"/>
  <c r="AH738" i="1" s="1"/>
  <c r="AF739" i="1"/>
  <c r="AH739" i="1" s="1"/>
  <c r="AF740" i="1"/>
  <c r="AH740" i="1" s="1"/>
  <c r="AF741" i="1"/>
  <c r="AH741" i="1" s="1"/>
  <c r="AF742" i="1"/>
  <c r="AH742" i="1" s="1"/>
  <c r="AF743" i="1"/>
  <c r="AH743" i="1" s="1"/>
  <c r="AF744" i="1"/>
  <c r="AH744" i="1" s="1"/>
  <c r="AF745" i="1"/>
  <c r="AH745" i="1" s="1"/>
  <c r="AF746" i="1"/>
  <c r="AH746" i="1" s="1"/>
  <c r="AF747" i="1"/>
  <c r="AH747" i="1" s="1"/>
  <c r="AF748" i="1"/>
  <c r="AH748" i="1" s="1"/>
  <c r="AF749" i="1"/>
  <c r="AH749" i="1" s="1"/>
  <c r="AF750" i="1"/>
  <c r="AH750" i="1" s="1"/>
  <c r="AF751" i="1"/>
  <c r="AH751" i="1" s="1"/>
  <c r="AF752" i="1"/>
  <c r="AH752" i="1" s="1"/>
  <c r="AF753" i="1"/>
  <c r="AH753" i="1" s="1"/>
  <c r="AF754" i="1"/>
  <c r="AH754" i="1" s="1"/>
  <c r="AF755" i="1"/>
  <c r="AH755" i="1" s="1"/>
  <c r="AF756" i="1"/>
  <c r="AH756" i="1" s="1"/>
  <c r="AF757" i="1"/>
  <c r="AH757" i="1" s="1"/>
  <c r="AF758" i="1"/>
  <c r="AH758" i="1" s="1"/>
  <c r="AF759" i="1"/>
  <c r="AH759" i="1" s="1"/>
  <c r="AF760" i="1"/>
  <c r="AH760" i="1" s="1"/>
  <c r="AF761" i="1"/>
  <c r="AH761" i="1" s="1"/>
  <c r="AF762" i="1"/>
  <c r="AH762" i="1" s="1"/>
  <c r="AF763" i="1"/>
  <c r="AH763" i="1" s="1"/>
  <c r="AF764" i="1"/>
  <c r="AH764" i="1" s="1"/>
  <c r="AF765" i="1"/>
  <c r="AH765" i="1" s="1"/>
  <c r="AF766" i="1"/>
  <c r="AH766" i="1" s="1"/>
  <c r="AF767" i="1"/>
  <c r="AH767" i="1" s="1"/>
  <c r="AF768" i="1"/>
  <c r="AH768" i="1" s="1"/>
  <c r="AF769" i="1"/>
  <c r="AH769" i="1" s="1"/>
  <c r="AF770" i="1"/>
  <c r="AH770" i="1" s="1"/>
  <c r="AF771" i="1"/>
  <c r="AH771" i="1" s="1"/>
  <c r="AF772" i="1"/>
  <c r="AH772" i="1" s="1"/>
  <c r="AF773" i="1"/>
  <c r="AF774" i="1"/>
  <c r="AH774" i="1" s="1"/>
  <c r="AF775" i="1"/>
  <c r="AH775" i="1" s="1"/>
  <c r="AF776" i="1"/>
  <c r="AH776" i="1" s="1"/>
  <c r="AF777" i="1"/>
  <c r="AH777" i="1" s="1"/>
  <c r="AF778" i="1"/>
  <c r="AH778" i="1" s="1"/>
  <c r="AF779" i="1"/>
  <c r="AH779" i="1" s="1"/>
  <c r="AF780" i="1"/>
  <c r="AH780" i="1" s="1"/>
  <c r="AF781" i="1"/>
  <c r="AH781" i="1" s="1"/>
  <c r="AF782" i="1"/>
  <c r="AH782" i="1" s="1"/>
  <c r="AF783" i="1"/>
  <c r="AH783" i="1" s="1"/>
  <c r="AF784" i="1"/>
  <c r="AH784" i="1" s="1"/>
  <c r="AF785" i="1"/>
  <c r="AH785" i="1" s="1"/>
  <c r="AF786" i="1"/>
  <c r="AH786" i="1" s="1"/>
  <c r="AF787" i="1"/>
  <c r="AH787" i="1" s="1"/>
  <c r="AF788" i="1"/>
  <c r="AH788" i="1" s="1"/>
  <c r="AF789" i="1"/>
  <c r="AH789" i="1" s="1"/>
  <c r="AF790" i="1"/>
  <c r="AH790" i="1" s="1"/>
  <c r="AF791" i="1"/>
  <c r="AH791" i="1" s="1"/>
  <c r="AF792" i="1"/>
  <c r="AH792" i="1" s="1"/>
  <c r="AF793" i="1"/>
  <c r="AH793" i="1" s="1"/>
  <c r="AF794" i="1"/>
  <c r="AH794" i="1" s="1"/>
  <c r="AF795" i="1"/>
  <c r="AH795" i="1" s="1"/>
  <c r="AF796" i="1"/>
  <c r="AH796" i="1" s="1"/>
  <c r="AF797" i="1"/>
  <c r="AH797" i="1" s="1"/>
  <c r="AF798" i="1"/>
  <c r="AH798" i="1" s="1"/>
  <c r="AF799" i="1"/>
  <c r="AH799" i="1" s="1"/>
  <c r="AF800" i="1"/>
  <c r="AH800" i="1" s="1"/>
  <c r="AF801" i="1"/>
  <c r="AH801" i="1" s="1"/>
  <c r="AF802" i="1"/>
  <c r="AH802" i="1" s="1"/>
  <c r="AF803" i="1"/>
  <c r="AH803" i="1" s="1"/>
  <c r="AF804" i="1"/>
  <c r="AH804" i="1" s="1"/>
  <c r="AF805" i="1"/>
  <c r="AH805" i="1" s="1"/>
  <c r="AF806" i="1"/>
  <c r="AH806" i="1" s="1"/>
  <c r="AF807" i="1"/>
  <c r="AH807" i="1" s="1"/>
  <c r="AF808" i="1"/>
  <c r="AH808" i="1" s="1"/>
  <c r="AF809" i="1"/>
  <c r="AH809" i="1" s="1"/>
  <c r="AF810" i="1"/>
  <c r="AH810" i="1" s="1"/>
  <c r="AF811" i="1"/>
  <c r="AH811" i="1" s="1"/>
  <c r="AF812" i="1"/>
  <c r="AH812" i="1" s="1"/>
  <c r="AF813" i="1"/>
  <c r="AH813" i="1" s="1"/>
  <c r="AF814" i="1"/>
  <c r="AH814" i="1" s="1"/>
  <c r="AF815" i="1"/>
  <c r="AH815" i="1" s="1"/>
  <c r="AF816" i="1"/>
  <c r="AH816" i="1" s="1"/>
  <c r="AF817" i="1"/>
  <c r="AH817" i="1" s="1"/>
  <c r="AF818" i="1"/>
  <c r="AH818" i="1" s="1"/>
  <c r="AF819" i="1"/>
  <c r="AH819" i="1" s="1"/>
  <c r="AF820" i="1"/>
  <c r="AH820" i="1" s="1"/>
  <c r="AF821" i="1"/>
  <c r="AH821" i="1" s="1"/>
  <c r="AF822" i="1"/>
  <c r="AH822" i="1" s="1"/>
  <c r="AF823" i="1"/>
  <c r="AH823" i="1" s="1"/>
  <c r="AF824" i="1"/>
  <c r="AH824" i="1" s="1"/>
  <c r="AF825" i="1"/>
  <c r="AH825" i="1" s="1"/>
  <c r="AF826" i="1"/>
  <c r="AH826" i="1" s="1"/>
  <c r="AF827" i="1"/>
  <c r="AH827" i="1" s="1"/>
  <c r="AF828" i="1"/>
  <c r="AH828" i="1" s="1"/>
  <c r="AF829" i="1"/>
  <c r="AH829" i="1" s="1"/>
  <c r="AF830" i="1"/>
  <c r="AH830" i="1" s="1"/>
  <c r="AF831" i="1"/>
  <c r="AH831" i="1" s="1"/>
  <c r="AF832" i="1"/>
  <c r="AH832" i="1" s="1"/>
  <c r="AF833" i="1"/>
  <c r="AH833" i="1" s="1"/>
  <c r="AF834" i="1"/>
  <c r="AH834" i="1" s="1"/>
  <c r="AF835" i="1"/>
  <c r="AH835" i="1" s="1"/>
  <c r="AF836" i="1"/>
  <c r="AH836" i="1" s="1"/>
  <c r="AF837" i="1"/>
  <c r="AH837" i="1" s="1"/>
  <c r="AF838" i="1"/>
  <c r="AH838" i="1" s="1"/>
  <c r="AF839" i="1"/>
  <c r="AH839" i="1" s="1"/>
  <c r="AF840" i="1"/>
  <c r="AH840" i="1" s="1"/>
  <c r="AF841" i="1"/>
  <c r="AH841" i="1" s="1"/>
  <c r="AF842" i="1"/>
  <c r="AH842" i="1" s="1"/>
  <c r="AF843" i="1"/>
  <c r="AH843" i="1" s="1"/>
  <c r="AF844" i="1"/>
  <c r="AH844" i="1" s="1"/>
  <c r="AF845" i="1"/>
  <c r="AH845" i="1" s="1"/>
  <c r="AF846" i="1"/>
  <c r="AF847" i="1"/>
  <c r="AH847" i="1" s="1"/>
  <c r="AF848" i="1"/>
  <c r="AH848" i="1" s="1"/>
  <c r="AF849" i="1"/>
  <c r="AH849" i="1" s="1"/>
  <c r="AF850" i="1"/>
  <c r="AH850" i="1" s="1"/>
  <c r="AF851" i="1"/>
  <c r="AH851" i="1" s="1"/>
  <c r="AF852" i="1"/>
  <c r="AH852" i="1" s="1"/>
  <c r="AF853" i="1"/>
  <c r="AH853" i="1" s="1"/>
  <c r="AF854" i="1"/>
  <c r="AH854" i="1" s="1"/>
  <c r="AF855" i="1"/>
  <c r="AH855" i="1" s="1"/>
  <c r="AF856" i="1"/>
  <c r="AH856" i="1" s="1"/>
  <c r="AF857" i="1"/>
  <c r="AH857" i="1" s="1"/>
  <c r="AF858" i="1"/>
  <c r="AH858" i="1" s="1"/>
  <c r="AF859" i="1"/>
  <c r="AH859" i="1" s="1"/>
  <c r="AF860" i="1"/>
  <c r="AH860" i="1" s="1"/>
  <c r="AF861" i="1"/>
  <c r="AH861" i="1" s="1"/>
  <c r="AF862" i="1"/>
  <c r="AH862" i="1" s="1"/>
  <c r="AF863" i="1"/>
  <c r="AH863" i="1" s="1"/>
  <c r="AF864" i="1"/>
  <c r="AH864" i="1" s="1"/>
  <c r="AF865" i="1"/>
  <c r="AH865" i="1" s="1"/>
  <c r="AF866" i="1"/>
  <c r="AH866" i="1" s="1"/>
  <c r="AF867" i="1"/>
  <c r="AH867" i="1" s="1"/>
  <c r="AF868" i="1"/>
  <c r="AH868" i="1" s="1"/>
  <c r="AF869" i="1"/>
  <c r="AH869" i="1" s="1"/>
  <c r="AF870" i="1"/>
  <c r="AH870" i="1" s="1"/>
  <c r="AF871" i="1"/>
  <c r="AH871" i="1" s="1"/>
  <c r="AF872" i="1"/>
  <c r="AH872" i="1" s="1"/>
  <c r="AF873" i="1"/>
  <c r="AH873" i="1" s="1"/>
  <c r="AF874" i="1"/>
  <c r="AH874" i="1" s="1"/>
  <c r="AF875" i="1"/>
  <c r="AH875" i="1" s="1"/>
  <c r="AF876" i="1"/>
  <c r="AH876" i="1" s="1"/>
  <c r="AF877" i="1"/>
  <c r="AH877" i="1" s="1"/>
  <c r="AF878" i="1"/>
  <c r="AH878" i="1" s="1"/>
  <c r="AF879" i="1"/>
  <c r="AH879" i="1" s="1"/>
  <c r="AF880" i="1"/>
  <c r="AH880" i="1" s="1"/>
  <c r="AF881" i="1"/>
  <c r="AH881" i="1" s="1"/>
  <c r="AF882" i="1"/>
  <c r="AH882" i="1" s="1"/>
  <c r="AF883" i="1"/>
  <c r="AH883" i="1" s="1"/>
  <c r="AF884" i="1"/>
  <c r="AH884" i="1" s="1"/>
  <c r="AF885" i="1"/>
  <c r="AH885" i="1" s="1"/>
  <c r="AF886" i="1"/>
  <c r="AH886" i="1" s="1"/>
  <c r="AF887" i="1"/>
  <c r="AH887" i="1" s="1"/>
  <c r="AF888" i="1"/>
  <c r="AH888" i="1" s="1"/>
  <c r="AF889" i="1"/>
  <c r="AH889" i="1" s="1"/>
  <c r="AF890" i="1"/>
  <c r="AH890" i="1" s="1"/>
  <c r="AF891" i="1"/>
  <c r="AH891" i="1" s="1"/>
  <c r="AF892" i="1"/>
  <c r="AH892" i="1" s="1"/>
  <c r="AF893" i="1"/>
  <c r="AH893" i="1" s="1"/>
  <c r="AF894" i="1"/>
  <c r="AH894" i="1" s="1"/>
  <c r="AF895" i="1"/>
  <c r="AH895" i="1" s="1"/>
  <c r="AF896" i="1"/>
  <c r="AH896" i="1" s="1"/>
  <c r="AF897" i="1"/>
  <c r="AH897" i="1" s="1"/>
  <c r="AF898" i="1"/>
  <c r="AH898" i="1" s="1"/>
  <c r="AF899" i="1"/>
  <c r="AH899" i="1" s="1"/>
  <c r="AF900" i="1"/>
  <c r="AH900" i="1" s="1"/>
  <c r="AF901" i="1"/>
  <c r="AH901" i="1" s="1"/>
  <c r="AF902" i="1"/>
  <c r="AH902" i="1" s="1"/>
  <c r="AF903" i="1"/>
  <c r="AH903" i="1" s="1"/>
  <c r="AF904" i="1"/>
  <c r="AH904" i="1" s="1"/>
  <c r="AF905" i="1"/>
  <c r="AH905" i="1" s="1"/>
  <c r="AF906" i="1"/>
  <c r="AH906" i="1" s="1"/>
  <c r="AF907" i="1"/>
  <c r="AH907" i="1" s="1"/>
  <c r="AF908" i="1"/>
  <c r="AH908" i="1" s="1"/>
  <c r="AF909" i="1"/>
  <c r="AH909" i="1" s="1"/>
  <c r="AF910" i="1"/>
  <c r="AH910" i="1" s="1"/>
  <c r="AF911" i="1"/>
  <c r="AH911" i="1" s="1"/>
  <c r="AF912" i="1"/>
  <c r="AH912" i="1" s="1"/>
  <c r="AF913" i="1"/>
  <c r="AH913" i="1" s="1"/>
  <c r="AF914" i="1"/>
  <c r="AH914" i="1" s="1"/>
  <c r="AF915" i="1"/>
  <c r="AH915" i="1" s="1"/>
  <c r="AF916" i="1"/>
  <c r="AH916" i="1" s="1"/>
  <c r="AF917" i="1"/>
  <c r="AH917" i="1" s="1"/>
  <c r="AF918" i="1"/>
  <c r="AH918" i="1" s="1"/>
  <c r="AF919" i="1"/>
  <c r="AH919" i="1" s="1"/>
  <c r="AF920" i="1"/>
  <c r="AH920" i="1" s="1"/>
  <c r="AF921" i="1"/>
  <c r="AH921" i="1" s="1"/>
  <c r="AF922" i="1"/>
  <c r="AH922" i="1" s="1"/>
  <c r="AF923" i="1"/>
  <c r="AH923" i="1" s="1"/>
  <c r="AF924" i="1"/>
  <c r="AH924" i="1" s="1"/>
  <c r="AF925" i="1"/>
  <c r="AH925" i="1" s="1"/>
  <c r="AF926" i="1"/>
  <c r="AH926" i="1" s="1"/>
  <c r="AF927" i="1"/>
  <c r="AH927" i="1" s="1"/>
  <c r="AF928" i="1"/>
  <c r="AH928" i="1" s="1"/>
  <c r="AF929" i="1"/>
  <c r="AH929" i="1" s="1"/>
  <c r="AF930" i="1"/>
  <c r="AH930" i="1" s="1"/>
  <c r="AF931" i="1"/>
  <c r="AH931" i="1" s="1"/>
  <c r="AF932" i="1"/>
  <c r="AH932" i="1" s="1"/>
  <c r="AF933" i="1"/>
  <c r="AH933" i="1" s="1"/>
  <c r="AF2" i="1"/>
  <c r="AH2" i="1" s="1"/>
  <c r="AH248" i="4" l="1"/>
  <c r="AK248" i="4"/>
  <c r="AJ248" i="4"/>
  <c r="AJ383" i="4"/>
  <c r="AI383" i="4"/>
  <c r="AK467" i="4"/>
  <c r="AH467" i="4"/>
  <c r="AK495" i="4"/>
  <c r="AH495" i="4"/>
  <c r="AK733" i="4"/>
  <c r="AJ733" i="4"/>
  <c r="AI733" i="4"/>
  <c r="AH2" i="4"/>
  <c r="AJ3" i="4"/>
  <c r="AH6" i="4"/>
  <c r="AH10" i="4"/>
  <c r="AJ11" i="4"/>
  <c r="AH14" i="4"/>
  <c r="AJ15" i="4"/>
  <c r="AH18" i="4"/>
  <c r="AJ19" i="4"/>
  <c r="AH22" i="4"/>
  <c r="AJ23" i="4"/>
  <c r="AH26" i="4"/>
  <c r="AJ27" i="4"/>
  <c r="AH30" i="4"/>
  <c r="AH34" i="4"/>
  <c r="AH38" i="4"/>
  <c r="AH42" i="4"/>
  <c r="AH46" i="4"/>
  <c r="AJ47" i="4"/>
  <c r="AH50" i="4"/>
  <c r="AJ51" i="4"/>
  <c r="AH54" i="4"/>
  <c r="AJ55" i="4"/>
  <c r="AH58" i="4"/>
  <c r="AJ59" i="4"/>
  <c r="AH62" i="4"/>
  <c r="AJ63" i="4"/>
  <c r="AH66" i="4"/>
  <c r="AJ67" i="4"/>
  <c r="AH70" i="4"/>
  <c r="AH74" i="4"/>
  <c r="AH78" i="4"/>
  <c r="AH82" i="4"/>
  <c r="AH86" i="4"/>
  <c r="AH90" i="4"/>
  <c r="AH94" i="4"/>
  <c r="AH98" i="4"/>
  <c r="AJ99" i="4"/>
  <c r="AH102" i="4"/>
  <c r="AJ103" i="4"/>
  <c r="AH106" i="4"/>
  <c r="AJ107" i="4"/>
  <c r="AH110" i="4"/>
  <c r="AJ111" i="4"/>
  <c r="AH114" i="4"/>
  <c r="AJ115" i="4"/>
  <c r="AH118" i="4"/>
  <c r="AJ119" i="4"/>
  <c r="AH122" i="4"/>
  <c r="AJ123" i="4"/>
  <c r="AH126" i="4"/>
  <c r="AJ127" i="4"/>
  <c r="AH130" i="4"/>
  <c r="AJ131" i="4"/>
  <c r="AH134" i="4"/>
  <c r="AJ135" i="4"/>
  <c r="AH138" i="4"/>
  <c r="AJ139" i="4"/>
  <c r="AH142" i="4"/>
  <c r="AJ143" i="4"/>
  <c r="AH146" i="4"/>
  <c r="AJ147" i="4"/>
  <c r="AH150" i="4"/>
  <c r="AJ151" i="4"/>
  <c r="AH154" i="4"/>
  <c r="AJ155" i="4"/>
  <c r="AH158" i="4"/>
  <c r="AJ159" i="4"/>
  <c r="AH162" i="4"/>
  <c r="AJ163" i="4"/>
  <c r="AH166" i="4"/>
  <c r="AJ167" i="4"/>
  <c r="AH170" i="4"/>
  <c r="AJ171" i="4"/>
  <c r="AH174" i="4"/>
  <c r="AJ175" i="4"/>
  <c r="AH178" i="4"/>
  <c r="AJ179" i="4"/>
  <c r="AH182" i="4"/>
  <c r="AJ183" i="4"/>
  <c r="AH186" i="4"/>
  <c r="AJ187" i="4"/>
  <c r="AH190" i="4"/>
  <c r="AJ191" i="4"/>
  <c r="AH194" i="4"/>
  <c r="AJ195" i="4"/>
  <c r="AH198" i="4"/>
  <c r="AJ199" i="4"/>
  <c r="AH202" i="4"/>
  <c r="AJ203" i="4"/>
  <c r="AH206" i="4"/>
  <c r="AJ207" i="4"/>
  <c r="AH210" i="4"/>
  <c r="AI213" i="4"/>
  <c r="AH218" i="4"/>
  <c r="AJ225" i="4"/>
  <c r="AI225" i="4"/>
  <c r="AJ227" i="4"/>
  <c r="AI227" i="4"/>
  <c r="AJ229" i="4"/>
  <c r="AI229" i="4"/>
  <c r="AJ231" i="4"/>
  <c r="AI231" i="4"/>
  <c r="AH244" i="4"/>
  <c r="AK244" i="4"/>
  <c r="AJ244" i="4"/>
  <c r="AK263" i="4"/>
  <c r="AJ263" i="4"/>
  <c r="AI263" i="4"/>
  <c r="AH268" i="4"/>
  <c r="AK268" i="4"/>
  <c r="AJ268" i="4"/>
  <c r="AK279" i="4"/>
  <c r="AJ279" i="4"/>
  <c r="AI279" i="4"/>
  <c r="AK303" i="4"/>
  <c r="AJ303" i="4"/>
  <c r="AI303" i="4"/>
  <c r="AK323" i="4"/>
  <c r="AJ323" i="4"/>
  <c r="AI323" i="4"/>
  <c r="AK343" i="4"/>
  <c r="AJ343" i="4"/>
  <c r="AI343" i="4"/>
  <c r="AJ374" i="4"/>
  <c r="AI374" i="4"/>
  <c r="AK379" i="4"/>
  <c r="AH379" i="4"/>
  <c r="AJ403" i="4"/>
  <c r="AI403" i="4"/>
  <c r="AK435" i="4"/>
  <c r="AH435" i="4"/>
  <c r="AK596" i="4"/>
  <c r="AH596" i="4"/>
  <c r="AH706" i="4"/>
  <c r="AK706" i="4"/>
  <c r="AK858" i="4"/>
  <c r="AH858" i="4"/>
  <c r="AK874" i="4"/>
  <c r="AH874" i="4"/>
  <c r="AK906" i="4"/>
  <c r="AH906" i="4"/>
  <c r="AI2" i="4"/>
  <c r="AI6" i="4"/>
  <c r="AI10" i="4"/>
  <c r="AI14" i="4"/>
  <c r="AI18" i="4"/>
  <c r="AI22" i="4"/>
  <c r="AK23" i="4"/>
  <c r="AI26" i="4"/>
  <c r="AI30" i="4"/>
  <c r="AI34" i="4"/>
  <c r="AI38" i="4"/>
  <c r="AI42" i="4"/>
  <c r="AI46" i="4"/>
  <c r="AI50" i="4"/>
  <c r="AI54" i="4"/>
  <c r="AI58" i="4"/>
  <c r="AI62" i="4"/>
  <c r="AI66" i="4"/>
  <c r="AI70" i="4"/>
  <c r="AI74" i="4"/>
  <c r="AI78" i="4"/>
  <c r="AI82" i="4"/>
  <c r="AI86" i="4"/>
  <c r="AI90" i="4"/>
  <c r="AI94" i="4"/>
  <c r="AI98" i="4"/>
  <c r="AI102" i="4"/>
  <c r="AI106" i="4"/>
  <c r="AI110" i="4"/>
  <c r="AI114" i="4"/>
  <c r="AI118" i="4"/>
  <c r="AI122" i="4"/>
  <c r="AI126" i="4"/>
  <c r="AI130" i="4"/>
  <c r="AI134" i="4"/>
  <c r="AI138" i="4"/>
  <c r="AI142" i="4"/>
  <c r="AI146" i="4"/>
  <c r="AI150" i="4"/>
  <c r="AI154" i="4"/>
  <c r="AI158" i="4"/>
  <c r="AK159" i="4"/>
  <c r="AI162" i="4"/>
  <c r="AK163" i="4"/>
  <c r="AI166" i="4"/>
  <c r="AK167" i="4"/>
  <c r="AI170" i="4"/>
  <c r="AK171" i="4"/>
  <c r="AI174" i="4"/>
  <c r="AK175" i="4"/>
  <c r="AI178" i="4"/>
  <c r="AK179" i="4"/>
  <c r="AI182" i="4"/>
  <c r="AK183" i="4"/>
  <c r="AI186" i="4"/>
  <c r="AK187" i="4"/>
  <c r="AI190" i="4"/>
  <c r="AK191" i="4"/>
  <c r="AI194" i="4"/>
  <c r="AK195" i="4"/>
  <c r="AI198" i="4"/>
  <c r="AK199" i="4"/>
  <c r="AI202" i="4"/>
  <c r="AK203" i="4"/>
  <c r="AI206" i="4"/>
  <c r="AK207" i="4"/>
  <c r="AI210" i="4"/>
  <c r="AH212" i="4"/>
  <c r="AK212" i="4"/>
  <c r="AK213" i="4"/>
  <c r="AH220" i="4"/>
  <c r="AK220" i="4"/>
  <c r="AJ223" i="4"/>
  <c r="AH240" i="4"/>
  <c r="AK240" i="4"/>
  <c r="AJ240" i="4"/>
  <c r="AJ257" i="4"/>
  <c r="AI257" i="4"/>
  <c r="AJ259" i="4"/>
  <c r="AI259" i="4"/>
  <c r="AK299" i="4"/>
  <c r="AJ299" i="4"/>
  <c r="AI299" i="4"/>
  <c r="AK339" i="4"/>
  <c r="AJ339" i="4"/>
  <c r="AI339" i="4"/>
  <c r="AK362" i="4"/>
  <c r="AH362" i="4"/>
  <c r="AJ235" i="4"/>
  <c r="AI235" i="4"/>
  <c r="AK307" i="4"/>
  <c r="AJ307" i="4"/>
  <c r="AI307" i="4"/>
  <c r="AK347" i="4"/>
  <c r="AJ347" i="4"/>
  <c r="AI347" i="4"/>
  <c r="AK701" i="4"/>
  <c r="AJ701" i="4"/>
  <c r="AI701" i="4"/>
  <c r="AK766" i="4"/>
  <c r="AH766" i="4"/>
  <c r="AK926" i="4"/>
  <c r="AH926" i="4"/>
  <c r="AH5" i="4"/>
  <c r="AH9" i="4"/>
  <c r="AH13" i="4"/>
  <c r="AH17" i="4"/>
  <c r="AH21" i="4"/>
  <c r="AH25" i="4"/>
  <c r="AH29" i="4"/>
  <c r="AH33" i="4"/>
  <c r="AH37" i="4"/>
  <c r="AH49" i="4"/>
  <c r="AH53" i="4"/>
  <c r="AH57" i="4"/>
  <c r="AH61" i="4"/>
  <c r="AH189" i="4"/>
  <c r="AH193" i="4"/>
  <c r="AH197" i="4"/>
  <c r="AJ218" i="4"/>
  <c r="AK223" i="4"/>
  <c r="AK225" i="4"/>
  <c r="AK227" i="4"/>
  <c r="AH236" i="4"/>
  <c r="AK236" i="4"/>
  <c r="AJ236" i="4"/>
  <c r="AJ253" i="4"/>
  <c r="AI253" i="4"/>
  <c r="AJ255" i="4"/>
  <c r="AI255" i="4"/>
  <c r="AH264" i="4"/>
  <c r="AK264" i="4"/>
  <c r="AJ264" i="4"/>
  <c r="AK275" i="4"/>
  <c r="AJ275" i="4"/>
  <c r="AI275" i="4"/>
  <c r="AK295" i="4"/>
  <c r="AJ295" i="4"/>
  <c r="AI295" i="4"/>
  <c r="AK319" i="4"/>
  <c r="AJ319" i="4"/>
  <c r="AI319" i="4"/>
  <c r="AK335" i="4"/>
  <c r="AJ335" i="4"/>
  <c r="AI335" i="4"/>
  <c r="AH357" i="4"/>
  <c r="AK357" i="4"/>
  <c r="AJ367" i="4"/>
  <c r="AI367" i="4"/>
  <c r="AJ233" i="4"/>
  <c r="AI233" i="4"/>
  <c r="AK399" i="4"/>
  <c r="AH399" i="4"/>
  <c r="AK890" i="4"/>
  <c r="AH890" i="4"/>
  <c r="AJ215" i="4"/>
  <c r="AH224" i="4"/>
  <c r="AK224" i="4"/>
  <c r="AK226" i="4"/>
  <c r="AH226" i="4"/>
  <c r="AH228" i="4"/>
  <c r="AK228" i="4"/>
  <c r="AK230" i="4"/>
  <c r="AH230" i="4"/>
  <c r="AH232" i="4"/>
  <c r="AK232" i="4"/>
  <c r="AJ232" i="4"/>
  <c r="AJ249" i="4"/>
  <c r="AI249" i="4"/>
  <c r="AJ251" i="4"/>
  <c r="AI251" i="4"/>
  <c r="AK257" i="4"/>
  <c r="AK259" i="4"/>
  <c r="AK291" i="4"/>
  <c r="AJ291" i="4"/>
  <c r="AI291" i="4"/>
  <c r="AJ245" i="4"/>
  <c r="AI245" i="4"/>
  <c r="AJ247" i="4"/>
  <c r="AI247" i="4"/>
  <c r="AH260" i="4"/>
  <c r="AK260" i="4"/>
  <c r="AJ260" i="4"/>
  <c r="AK271" i="4"/>
  <c r="AJ271" i="4"/>
  <c r="AI271" i="4"/>
  <c r="AK287" i="4"/>
  <c r="AJ287" i="4"/>
  <c r="AI287" i="4"/>
  <c r="AK315" i="4"/>
  <c r="AJ315" i="4"/>
  <c r="AI315" i="4"/>
  <c r="AK331" i="4"/>
  <c r="AJ331" i="4"/>
  <c r="AI331" i="4"/>
  <c r="AH216" i="4"/>
  <c r="AK216" i="4"/>
  <c r="AJ222" i="4"/>
  <c r="AJ241" i="4"/>
  <c r="AI241" i="4"/>
  <c r="AJ243" i="4"/>
  <c r="AI243" i="4"/>
  <c r="AH256" i="4"/>
  <c r="AK256" i="4"/>
  <c r="AJ256" i="4"/>
  <c r="AH365" i="4"/>
  <c r="AK365" i="4"/>
  <c r="AJ221" i="4"/>
  <c r="AI221" i="4"/>
  <c r="AJ237" i="4"/>
  <c r="AI237" i="4"/>
  <c r="AJ239" i="4"/>
  <c r="AI239" i="4"/>
  <c r="AK245" i="4"/>
  <c r="AK247" i="4"/>
  <c r="AH252" i="4"/>
  <c r="AK252" i="4"/>
  <c r="AJ252" i="4"/>
  <c r="AK267" i="4"/>
  <c r="AJ267" i="4"/>
  <c r="AI267" i="4"/>
  <c r="AH272" i="4"/>
  <c r="AK272" i="4"/>
  <c r="AJ272" i="4"/>
  <c r="AK283" i="4"/>
  <c r="AJ283" i="4"/>
  <c r="AI283" i="4"/>
  <c r="AK311" i="4"/>
  <c r="AJ311" i="4"/>
  <c r="AI311" i="4"/>
  <c r="AK327" i="4"/>
  <c r="AJ327" i="4"/>
  <c r="AI327" i="4"/>
  <c r="AK351" i="4"/>
  <c r="AJ351" i="4"/>
  <c r="AI351" i="4"/>
  <c r="AK354" i="4"/>
  <c r="AH354" i="4"/>
  <c r="AK359" i="4"/>
  <c r="AJ359" i="4"/>
  <c r="AH359" i="4"/>
  <c r="AJ276" i="4"/>
  <c r="AJ280" i="4"/>
  <c r="AJ284" i="4"/>
  <c r="AJ288" i="4"/>
  <c r="AJ292" i="4"/>
  <c r="AJ296" i="4"/>
  <c r="AJ300" i="4"/>
  <c r="AJ304" i="4"/>
  <c r="AJ308" i="4"/>
  <c r="AJ312" i="4"/>
  <c r="AJ316" i="4"/>
  <c r="AJ320" i="4"/>
  <c r="AJ324" i="4"/>
  <c r="AJ328" i="4"/>
  <c r="AJ332" i="4"/>
  <c r="AJ336" i="4"/>
  <c r="AJ340" i="4"/>
  <c r="AJ344" i="4"/>
  <c r="AJ348" i="4"/>
  <c r="AJ352" i="4"/>
  <c r="AJ354" i="4"/>
  <c r="AK355" i="4"/>
  <c r="AJ362" i="4"/>
  <c r="AK363" i="4"/>
  <c r="AK371" i="4"/>
  <c r="AH371" i="4"/>
  <c r="AK375" i="4"/>
  <c r="AH375" i="4"/>
  <c r="AJ379" i="4"/>
  <c r="AJ399" i="4"/>
  <c r="AI399" i="4"/>
  <c r="AK431" i="4"/>
  <c r="AH431" i="4"/>
  <c r="AJ435" i="4"/>
  <c r="AK463" i="4"/>
  <c r="AH463" i="4"/>
  <c r="AJ467" i="4"/>
  <c r="AK491" i="4"/>
  <c r="AH491" i="4"/>
  <c r="AJ495" i="4"/>
  <c r="AK507" i="4"/>
  <c r="AH507" i="4"/>
  <c r="AI522" i="4"/>
  <c r="AK522" i="4"/>
  <c r="AJ522" i="4"/>
  <c r="AK276" i="4"/>
  <c r="AK280" i="4"/>
  <c r="AK284" i="4"/>
  <c r="AK288" i="4"/>
  <c r="AK292" i="4"/>
  <c r="AK296" i="4"/>
  <c r="AK300" i="4"/>
  <c r="AK304" i="4"/>
  <c r="AK308" i="4"/>
  <c r="AK312" i="4"/>
  <c r="AK316" i="4"/>
  <c r="AK320" i="4"/>
  <c r="AK324" i="4"/>
  <c r="AK328" i="4"/>
  <c r="AK332" i="4"/>
  <c r="AK336" i="4"/>
  <c r="AK340" i="4"/>
  <c r="AK344" i="4"/>
  <c r="AK348" i="4"/>
  <c r="AK352" i="4"/>
  <c r="AJ357" i="4"/>
  <c r="AJ365" i="4"/>
  <c r="AJ375" i="4"/>
  <c r="AI379" i="4"/>
  <c r="AK395" i="4"/>
  <c r="AH395" i="4"/>
  <c r="AK423" i="4"/>
  <c r="AH423" i="4"/>
  <c r="AK427" i="4"/>
  <c r="AH427" i="4"/>
  <c r="AJ431" i="4"/>
  <c r="AK459" i="4"/>
  <c r="AH459" i="4"/>
  <c r="AJ463" i="4"/>
  <c r="AJ491" i="4"/>
  <c r="AK583" i="4"/>
  <c r="AH583" i="4"/>
  <c r="AK632" i="4"/>
  <c r="AJ632" i="4"/>
  <c r="AI632" i="4"/>
  <c r="AJ645" i="4"/>
  <c r="AI645" i="4"/>
  <c r="AH234" i="4"/>
  <c r="AH238" i="4"/>
  <c r="AH242" i="4"/>
  <c r="AH246" i="4"/>
  <c r="AH250" i="4"/>
  <c r="AH254" i="4"/>
  <c r="AH258" i="4"/>
  <c r="AH262" i="4"/>
  <c r="AH266" i="4"/>
  <c r="AH270" i="4"/>
  <c r="AH274" i="4"/>
  <c r="AH278" i="4"/>
  <c r="AH282" i="4"/>
  <c r="AH286" i="4"/>
  <c r="AH314" i="4"/>
  <c r="AH318" i="4"/>
  <c r="AH322" i="4"/>
  <c r="AH326" i="4"/>
  <c r="AH330" i="4"/>
  <c r="AH334" i="4"/>
  <c r="AJ395" i="4"/>
  <c r="AI395" i="4"/>
  <c r="AK419" i="4"/>
  <c r="AH419" i="4"/>
  <c r="AK455" i="4"/>
  <c r="AH455" i="4"/>
  <c r="AK487" i="4"/>
  <c r="AH487" i="4"/>
  <c r="AH502" i="4"/>
  <c r="AK502" i="4"/>
  <c r="AI512" i="4"/>
  <c r="AK512" i="4"/>
  <c r="AJ512" i="4"/>
  <c r="AI540" i="4"/>
  <c r="AK540" i="4"/>
  <c r="AJ540" i="4"/>
  <c r="AK358" i="4"/>
  <c r="AK366" i="4"/>
  <c r="AK391" i="4"/>
  <c r="AH391" i="4"/>
  <c r="AK415" i="4"/>
  <c r="AH415" i="4"/>
  <c r="AJ419" i="4"/>
  <c r="AK451" i="4"/>
  <c r="AH451" i="4"/>
  <c r="AJ455" i="4"/>
  <c r="AJ487" i="4"/>
  <c r="AJ568" i="4"/>
  <c r="AI568" i="4"/>
  <c r="AJ366" i="4"/>
  <c r="AI366" i="4"/>
  <c r="AK387" i="4"/>
  <c r="AH387" i="4"/>
  <c r="AJ391" i="4"/>
  <c r="AI391" i="4"/>
  <c r="AK411" i="4"/>
  <c r="AH411" i="4"/>
  <c r="AK447" i="4"/>
  <c r="AH447" i="4"/>
  <c r="AK479" i="4"/>
  <c r="AH479" i="4"/>
  <c r="AK483" i="4"/>
  <c r="AH483" i="4"/>
  <c r="AK564" i="4"/>
  <c r="AH564" i="4"/>
  <c r="AK615" i="4"/>
  <c r="AH615" i="4"/>
  <c r="AI261" i="4"/>
  <c r="AI265" i="4"/>
  <c r="AI269" i="4"/>
  <c r="AI273" i="4"/>
  <c r="AI277" i="4"/>
  <c r="AI281" i="4"/>
  <c r="AI285" i="4"/>
  <c r="AI289" i="4"/>
  <c r="AI293" i="4"/>
  <c r="AI297" i="4"/>
  <c r="AI301" i="4"/>
  <c r="AI305" i="4"/>
  <c r="AI309" i="4"/>
  <c r="AI313" i="4"/>
  <c r="AI317" i="4"/>
  <c r="AI321" i="4"/>
  <c r="AI325" i="4"/>
  <c r="AI329" i="4"/>
  <c r="AI333" i="4"/>
  <c r="AI337" i="4"/>
  <c r="AI341" i="4"/>
  <c r="AI345" i="4"/>
  <c r="AI349" i="4"/>
  <c r="AJ353" i="4"/>
  <c r="AH358" i="4"/>
  <c r="AJ361" i="4"/>
  <c r="AH366" i="4"/>
  <c r="AJ387" i="4"/>
  <c r="AI387" i="4"/>
  <c r="AK407" i="4"/>
  <c r="AH407" i="4"/>
  <c r="AJ411" i="4"/>
  <c r="AK443" i="4"/>
  <c r="AH443" i="4"/>
  <c r="AJ447" i="4"/>
  <c r="AK475" i="4"/>
  <c r="AH475" i="4"/>
  <c r="AJ479" i="4"/>
  <c r="AJ483" i="4"/>
  <c r="AI510" i="4"/>
  <c r="AK510" i="4"/>
  <c r="AJ510" i="4"/>
  <c r="AI524" i="4"/>
  <c r="AK524" i="4"/>
  <c r="AJ524" i="4"/>
  <c r="AI538" i="4"/>
  <c r="AK538" i="4"/>
  <c r="AJ538" i="4"/>
  <c r="AI358" i="4"/>
  <c r="AK361" i="4"/>
  <c r="AK367" i="4"/>
  <c r="AJ370" i="4"/>
  <c r="AI370" i="4"/>
  <c r="AK374" i="4"/>
  <c r="AJ378" i="4"/>
  <c r="AI378" i="4"/>
  <c r="AK383" i="4"/>
  <c r="AH383" i="4"/>
  <c r="AK403" i="4"/>
  <c r="AH403" i="4"/>
  <c r="AJ407" i="4"/>
  <c r="AI407" i="4"/>
  <c r="AK439" i="4"/>
  <c r="AH439" i="4"/>
  <c r="AJ443" i="4"/>
  <c r="AK471" i="4"/>
  <c r="AH471" i="4"/>
  <c r="AJ475" i="4"/>
  <c r="AJ499" i="4"/>
  <c r="AK499" i="4"/>
  <c r="AI499" i="4"/>
  <c r="AK504" i="4"/>
  <c r="AH504" i="4"/>
  <c r="AJ600" i="4"/>
  <c r="AI600" i="4"/>
  <c r="AJ507" i="4"/>
  <c r="AJ564" i="4"/>
  <c r="AI564" i="4"/>
  <c r="AK579" i="4"/>
  <c r="AH579" i="4"/>
  <c r="AJ583" i="4"/>
  <c r="AJ596" i="4"/>
  <c r="AI596" i="4"/>
  <c r="AK611" i="4"/>
  <c r="AH611" i="4"/>
  <c r="AJ615" i="4"/>
  <c r="AK620" i="4"/>
  <c r="AJ620" i="4"/>
  <c r="AK622" i="4"/>
  <c r="AH622" i="4"/>
  <c r="AJ626" i="4"/>
  <c r="AI626" i="4"/>
  <c r="AK635" i="4"/>
  <c r="AH635" i="4"/>
  <c r="AJ659" i="4"/>
  <c r="AI659" i="4"/>
  <c r="AK697" i="4"/>
  <c r="AJ697" i="4"/>
  <c r="AI697" i="4"/>
  <c r="AH702" i="4"/>
  <c r="AK702" i="4"/>
  <c r="AJ706" i="4"/>
  <c r="AK729" i="4"/>
  <c r="AJ729" i="4"/>
  <c r="AI729" i="4"/>
  <c r="AJ761" i="4"/>
  <c r="AI761" i="4"/>
  <c r="AJ502" i="4"/>
  <c r="AJ519" i="4"/>
  <c r="AJ535" i="4"/>
  <c r="AJ544" i="4"/>
  <c r="AI544" i="4"/>
  <c r="AJ548" i="4"/>
  <c r="AI548" i="4"/>
  <c r="AK556" i="4"/>
  <c r="AJ560" i="4"/>
  <c r="AI560" i="4"/>
  <c r="AK575" i="4"/>
  <c r="AH575" i="4"/>
  <c r="AJ579" i="4"/>
  <c r="AK588" i="4"/>
  <c r="AJ592" i="4"/>
  <c r="AI592" i="4"/>
  <c r="AK607" i="4"/>
  <c r="AH607" i="4"/>
  <c r="AJ611" i="4"/>
  <c r="AJ635" i="4"/>
  <c r="AI635" i="4"/>
  <c r="AI411" i="4"/>
  <c r="AI415" i="4"/>
  <c r="AI419" i="4"/>
  <c r="AI423" i="4"/>
  <c r="AI427" i="4"/>
  <c r="AI431" i="4"/>
  <c r="AI435" i="4"/>
  <c r="AI439" i="4"/>
  <c r="AI443" i="4"/>
  <c r="AI447" i="4"/>
  <c r="AI451" i="4"/>
  <c r="AI455" i="4"/>
  <c r="AI459" i="4"/>
  <c r="AI463" i="4"/>
  <c r="AI467" i="4"/>
  <c r="AI471" i="4"/>
  <c r="AI475" i="4"/>
  <c r="AI479" i="4"/>
  <c r="AI483" i="4"/>
  <c r="AI487" i="4"/>
  <c r="AI491" i="4"/>
  <c r="AI495" i="4"/>
  <c r="AI504" i="4"/>
  <c r="AH519" i="4"/>
  <c r="AJ526" i="4"/>
  <c r="AH528" i="4"/>
  <c r="AH535" i="4"/>
  <c r="AJ542" i="4"/>
  <c r="AH544" i="4"/>
  <c r="AH548" i="4"/>
  <c r="AJ552" i="4"/>
  <c r="AI552" i="4"/>
  <c r="AJ556" i="4"/>
  <c r="AI556" i="4"/>
  <c r="AH560" i="4"/>
  <c r="AK571" i="4"/>
  <c r="AH571" i="4"/>
  <c r="AK584" i="4"/>
  <c r="AJ588" i="4"/>
  <c r="AI588" i="4"/>
  <c r="AH592" i="4"/>
  <c r="AK603" i="4"/>
  <c r="AH603" i="4"/>
  <c r="AJ607" i="4"/>
  <c r="AK616" i="4"/>
  <c r="AI620" i="4"/>
  <c r="AK648" i="4"/>
  <c r="AJ648" i="4"/>
  <c r="AI648" i="4"/>
  <c r="AI670" i="4"/>
  <c r="AI674" i="4"/>
  <c r="AH374" i="4"/>
  <c r="AH378" i="4"/>
  <c r="AH382" i="4"/>
  <c r="AH386" i="4"/>
  <c r="AH394" i="4"/>
  <c r="AH398" i="4"/>
  <c r="AH422" i="4"/>
  <c r="AJ511" i="4"/>
  <c r="AJ514" i="4"/>
  <c r="AH516" i="4"/>
  <c r="AK526" i="4"/>
  <c r="AJ528" i="4"/>
  <c r="AK542" i="4"/>
  <c r="AK567" i="4"/>
  <c r="AH567" i="4"/>
  <c r="AJ584" i="4"/>
  <c r="AI584" i="4"/>
  <c r="AK599" i="4"/>
  <c r="AH599" i="4"/>
  <c r="AJ616" i="4"/>
  <c r="AI616" i="4"/>
  <c r="AH629" i="4"/>
  <c r="AK629" i="4"/>
  <c r="AK638" i="4"/>
  <c r="AH638" i="4"/>
  <c r="AJ642" i="4"/>
  <c r="AI642" i="4"/>
  <c r="AK651" i="4"/>
  <c r="AH651" i="4"/>
  <c r="AI657" i="4"/>
  <c r="AK657" i="4"/>
  <c r="AJ657" i="4"/>
  <c r="AI382" i="4"/>
  <c r="AI386" i="4"/>
  <c r="AI390" i="4"/>
  <c r="AI394" i="4"/>
  <c r="AI398" i="4"/>
  <c r="AI402" i="4"/>
  <c r="AI406" i="4"/>
  <c r="AI410" i="4"/>
  <c r="AI414" i="4"/>
  <c r="AI418" i="4"/>
  <c r="AI430" i="4"/>
  <c r="AI434" i="4"/>
  <c r="AI438" i="4"/>
  <c r="AI442" i="4"/>
  <c r="AI446" i="4"/>
  <c r="AI450" i="4"/>
  <c r="AI454" i="4"/>
  <c r="AI458" i="4"/>
  <c r="AI462" i="4"/>
  <c r="AI466" i="4"/>
  <c r="AI470" i="4"/>
  <c r="AI478" i="4"/>
  <c r="AI486" i="4"/>
  <c r="AI490" i="4"/>
  <c r="AI494" i="4"/>
  <c r="AJ498" i="4"/>
  <c r="AJ503" i="4"/>
  <c r="AH511" i="4"/>
  <c r="AK514" i="4"/>
  <c r="AJ516" i="4"/>
  <c r="AH523" i="4"/>
  <c r="AJ530" i="4"/>
  <c r="AH532" i="4"/>
  <c r="AH539" i="4"/>
  <c r="AK546" i="4"/>
  <c r="AJ550" i="4"/>
  <c r="AK563" i="4"/>
  <c r="AH563" i="4"/>
  <c r="AJ567" i="4"/>
  <c r="AK576" i="4"/>
  <c r="AJ580" i="4"/>
  <c r="AI580" i="4"/>
  <c r="AH584" i="4"/>
  <c r="AK595" i="4"/>
  <c r="AH595" i="4"/>
  <c r="AJ599" i="4"/>
  <c r="AJ612" i="4"/>
  <c r="AI612" i="4"/>
  <c r="AH616" i="4"/>
  <c r="AK623" i="4"/>
  <c r="AJ623" i="4"/>
  <c r="AJ629" i="4"/>
  <c r="AI629" i="4"/>
  <c r="AJ651" i="4"/>
  <c r="AI651" i="4"/>
  <c r="AK667" i="4"/>
  <c r="AH667" i="4"/>
  <c r="AH503" i="4"/>
  <c r="AJ506" i="4"/>
  <c r="AK530" i="4"/>
  <c r="AJ532" i="4"/>
  <c r="AK547" i="4"/>
  <c r="AH547" i="4"/>
  <c r="AK550" i="4"/>
  <c r="AK559" i="4"/>
  <c r="AH559" i="4"/>
  <c r="AJ576" i="4"/>
  <c r="AI576" i="4"/>
  <c r="AH580" i="4"/>
  <c r="AK591" i="4"/>
  <c r="AH591" i="4"/>
  <c r="AJ608" i="4"/>
  <c r="AI608" i="4"/>
  <c r="AH612" i="4"/>
  <c r="AK619" i="4"/>
  <c r="AH619" i="4"/>
  <c r="AI503" i="4"/>
  <c r="AK506" i="4"/>
  <c r="AJ508" i="4"/>
  <c r="AJ515" i="4"/>
  <c r="AJ518" i="4"/>
  <c r="AH527" i="4"/>
  <c r="AJ534" i="4"/>
  <c r="AH543" i="4"/>
  <c r="AJ547" i="4"/>
  <c r="AK551" i="4"/>
  <c r="AH551" i="4"/>
  <c r="AK555" i="4"/>
  <c r="AH555" i="4"/>
  <c r="AJ559" i="4"/>
  <c r="AK568" i="4"/>
  <c r="AJ572" i="4"/>
  <c r="AI572" i="4"/>
  <c r="AH576" i="4"/>
  <c r="AK587" i="4"/>
  <c r="AH587" i="4"/>
  <c r="AJ591" i="4"/>
  <c r="AK600" i="4"/>
  <c r="AJ604" i="4"/>
  <c r="AI604" i="4"/>
  <c r="AH608" i="4"/>
  <c r="AJ619" i="4"/>
  <c r="AI619" i="4"/>
  <c r="AI623" i="4"/>
  <c r="AH645" i="4"/>
  <c r="AK645" i="4"/>
  <c r="AH654" i="4"/>
  <c r="AK654" i="4"/>
  <c r="AK663" i="4"/>
  <c r="AH663" i="4"/>
  <c r="AJ622" i="4"/>
  <c r="AJ636" i="4"/>
  <c r="AJ638" i="4"/>
  <c r="AJ639" i="4"/>
  <c r="AJ652" i="4"/>
  <c r="AJ654" i="4"/>
  <c r="AJ667" i="4"/>
  <c r="AK693" i="4"/>
  <c r="AJ693" i="4"/>
  <c r="AI693" i="4"/>
  <c r="AH698" i="4"/>
  <c r="AK698" i="4"/>
  <c r="AJ702" i="4"/>
  <c r="AK725" i="4"/>
  <c r="AJ725" i="4"/>
  <c r="AI725" i="4"/>
  <c r="AK757" i="4"/>
  <c r="AJ757" i="4"/>
  <c r="AI757" i="4"/>
  <c r="AK773" i="4"/>
  <c r="AH773" i="4"/>
  <c r="AJ773" i="4"/>
  <c r="AK790" i="4"/>
  <c r="AH790" i="4"/>
  <c r="AK805" i="4"/>
  <c r="AJ805" i="4"/>
  <c r="AH805" i="4"/>
  <c r="AK809" i="4"/>
  <c r="AJ809" i="4"/>
  <c r="AH809" i="4"/>
  <c r="AK813" i="4"/>
  <c r="AJ813" i="4"/>
  <c r="AH813" i="4"/>
  <c r="AK817" i="4"/>
  <c r="AJ817" i="4"/>
  <c r="AH817" i="4"/>
  <c r="AK821" i="4"/>
  <c r="AJ821" i="4"/>
  <c r="AH821" i="4"/>
  <c r="AK825" i="4"/>
  <c r="AJ825" i="4"/>
  <c r="AH825" i="4"/>
  <c r="AK829" i="4"/>
  <c r="AJ829" i="4"/>
  <c r="AH829" i="4"/>
  <c r="AK833" i="4"/>
  <c r="AJ833" i="4"/>
  <c r="AH833" i="4"/>
  <c r="AK837" i="4"/>
  <c r="AJ837" i="4"/>
  <c r="AH837" i="4"/>
  <c r="AK841" i="4"/>
  <c r="AJ841" i="4"/>
  <c r="AH841" i="4"/>
  <c r="AK845" i="4"/>
  <c r="AJ845" i="4"/>
  <c r="AH845" i="4"/>
  <c r="AI654" i="4"/>
  <c r="AK661" i="4"/>
  <c r="AI661" i="4"/>
  <c r="AK689" i="4"/>
  <c r="AJ689" i="4"/>
  <c r="AI689" i="4"/>
  <c r="AH694" i="4"/>
  <c r="AK694" i="4"/>
  <c r="AJ698" i="4"/>
  <c r="AK721" i="4"/>
  <c r="AJ721" i="4"/>
  <c r="AI721" i="4"/>
  <c r="AK753" i="4"/>
  <c r="AJ753" i="4"/>
  <c r="AI753" i="4"/>
  <c r="AI764" i="4"/>
  <c r="AK764" i="4"/>
  <c r="AJ764" i="4"/>
  <c r="AJ618" i="4"/>
  <c r="AI625" i="4"/>
  <c r="AJ634" i="4"/>
  <c r="AI641" i="4"/>
  <c r="AJ650" i="4"/>
  <c r="AH658" i="4"/>
  <c r="AK658" i="4"/>
  <c r="AK665" i="4"/>
  <c r="AI665" i="4"/>
  <c r="AK685" i="4"/>
  <c r="AJ685" i="4"/>
  <c r="AI685" i="4"/>
  <c r="AH690" i="4"/>
  <c r="AK690" i="4"/>
  <c r="AK717" i="4"/>
  <c r="AJ717" i="4"/>
  <c r="AI717" i="4"/>
  <c r="AK749" i="4"/>
  <c r="AJ749" i="4"/>
  <c r="AI749" i="4"/>
  <c r="AI628" i="4"/>
  <c r="AI631" i="4"/>
  <c r="AI644" i="4"/>
  <c r="AI647" i="4"/>
  <c r="AJ658" i="4"/>
  <c r="AH662" i="4"/>
  <c r="AK662" i="4"/>
  <c r="AJ665" i="4"/>
  <c r="AK669" i="4"/>
  <c r="AI669" i="4"/>
  <c r="AK681" i="4"/>
  <c r="AJ681" i="4"/>
  <c r="AI681" i="4"/>
  <c r="AH686" i="4"/>
  <c r="AK686" i="4"/>
  <c r="AJ690" i="4"/>
  <c r="AI694" i="4"/>
  <c r="AK713" i="4"/>
  <c r="AJ713" i="4"/>
  <c r="AI713" i="4"/>
  <c r="AH718" i="4"/>
  <c r="AK718" i="4"/>
  <c r="AK745" i="4"/>
  <c r="AJ745" i="4"/>
  <c r="AI745" i="4"/>
  <c r="AJ786" i="4"/>
  <c r="AI786" i="4"/>
  <c r="AI618" i="4"/>
  <c r="AK625" i="4"/>
  <c r="AI634" i="4"/>
  <c r="AK641" i="4"/>
  <c r="AI650" i="4"/>
  <c r="AH666" i="4"/>
  <c r="AK666" i="4"/>
  <c r="AK673" i="4"/>
  <c r="AJ673" i="4"/>
  <c r="AI673" i="4"/>
  <c r="AK677" i="4"/>
  <c r="AJ677" i="4"/>
  <c r="AI677" i="4"/>
  <c r="AH682" i="4"/>
  <c r="AK682" i="4"/>
  <c r="AJ686" i="4"/>
  <c r="AI690" i="4"/>
  <c r="AK709" i="4"/>
  <c r="AJ709" i="4"/>
  <c r="AI709" i="4"/>
  <c r="AH714" i="4"/>
  <c r="AK714" i="4"/>
  <c r="AJ718" i="4"/>
  <c r="AK741" i="4"/>
  <c r="AJ741" i="4"/>
  <c r="AI741" i="4"/>
  <c r="AH670" i="4"/>
  <c r="AK670" i="4"/>
  <c r="AH674" i="4"/>
  <c r="AK674" i="4"/>
  <c r="AH678" i="4"/>
  <c r="AK678" i="4"/>
  <c r="AK705" i="4"/>
  <c r="AJ705" i="4"/>
  <c r="AI705" i="4"/>
  <c r="AH710" i="4"/>
  <c r="AK710" i="4"/>
  <c r="AK737" i="4"/>
  <c r="AJ737" i="4"/>
  <c r="AI737" i="4"/>
  <c r="AK779" i="4"/>
  <c r="AJ779" i="4"/>
  <c r="AH779" i="4"/>
  <c r="AJ766" i="4"/>
  <c r="AI766" i="4"/>
  <c r="AH775" i="4"/>
  <c r="AK777" i="4"/>
  <c r="AH777" i="4"/>
  <c r="AJ790" i="4"/>
  <c r="AI790" i="4"/>
  <c r="AK794" i="4"/>
  <c r="AJ799" i="4"/>
  <c r="AJ858" i="4"/>
  <c r="AJ874" i="4"/>
  <c r="AJ890" i="4"/>
  <c r="AJ906" i="4"/>
  <c r="AK922" i="4"/>
  <c r="AH922" i="4"/>
  <c r="AJ926" i="4"/>
  <c r="AK722" i="4"/>
  <c r="AK726" i="4"/>
  <c r="AK730" i="4"/>
  <c r="AK734" i="4"/>
  <c r="AK738" i="4"/>
  <c r="AK742" i="4"/>
  <c r="AK746" i="4"/>
  <c r="AK750" i="4"/>
  <c r="AK754" i="4"/>
  <c r="AK758" i="4"/>
  <c r="AJ771" i="4"/>
  <c r="AK781" i="4"/>
  <c r="AH781" i="4"/>
  <c r="AJ794" i="4"/>
  <c r="AI794" i="4"/>
  <c r="AK870" i="4"/>
  <c r="AH870" i="4"/>
  <c r="AK886" i="4"/>
  <c r="AH886" i="4"/>
  <c r="AK902" i="4"/>
  <c r="AH902" i="4"/>
  <c r="AK918" i="4"/>
  <c r="AH918" i="4"/>
  <c r="AJ922" i="4"/>
  <c r="AJ770" i="4"/>
  <c r="AI770" i="4"/>
  <c r="AK785" i="4"/>
  <c r="AH785" i="4"/>
  <c r="AJ850" i="4"/>
  <c r="AH854" i="4"/>
  <c r="AJ870" i="4"/>
  <c r="AJ886" i="4"/>
  <c r="AJ902" i="4"/>
  <c r="AJ918" i="4"/>
  <c r="AH763" i="4"/>
  <c r="AK765" i="4"/>
  <c r="AH765" i="4"/>
  <c r="AJ768" i="4"/>
  <c r="AK774" i="4"/>
  <c r="AH787" i="4"/>
  <c r="AK789" i="4"/>
  <c r="AH789" i="4"/>
  <c r="AH798" i="4"/>
  <c r="AJ802" i="4"/>
  <c r="AJ806" i="4"/>
  <c r="AJ810" i="4"/>
  <c r="AJ814" i="4"/>
  <c r="AJ818" i="4"/>
  <c r="AJ822" i="4"/>
  <c r="AJ826" i="4"/>
  <c r="AJ830" i="4"/>
  <c r="AH850" i="4"/>
  <c r="AK866" i="4"/>
  <c r="AH866" i="4"/>
  <c r="AK882" i="4"/>
  <c r="AH882" i="4"/>
  <c r="AK898" i="4"/>
  <c r="AH898" i="4"/>
  <c r="AK914" i="4"/>
  <c r="AH914" i="4"/>
  <c r="AJ774" i="4"/>
  <c r="AI774" i="4"/>
  <c r="AH791" i="4"/>
  <c r="AK793" i="4"/>
  <c r="AH793" i="4"/>
  <c r="AH802" i="4"/>
  <c r="AK930" i="4"/>
  <c r="AH930" i="4"/>
  <c r="AK769" i="4"/>
  <c r="AH769" i="4"/>
  <c r="AJ778" i="4"/>
  <c r="AI778" i="4"/>
  <c r="AK797" i="4"/>
  <c r="AH797" i="4"/>
  <c r="AK853" i="4"/>
  <c r="AJ853" i="4"/>
  <c r="AH853" i="4"/>
  <c r="AK862" i="4"/>
  <c r="AH862" i="4"/>
  <c r="AK878" i="4"/>
  <c r="AH878" i="4"/>
  <c r="AK894" i="4"/>
  <c r="AH894" i="4"/>
  <c r="AK910" i="4"/>
  <c r="AH910" i="4"/>
  <c r="AJ930" i="4"/>
  <c r="AK761" i="4"/>
  <c r="AJ765" i="4"/>
  <c r="AH778" i="4"/>
  <c r="AJ782" i="4"/>
  <c r="AI782" i="4"/>
  <c r="AK786" i="4"/>
  <c r="AJ789" i="4"/>
  <c r="AJ791" i="4"/>
  <c r="AH799" i="4"/>
  <c r="AK801" i="4"/>
  <c r="AH801" i="4"/>
  <c r="AK849" i="4"/>
  <c r="AJ849" i="4"/>
  <c r="AH849" i="4"/>
  <c r="AJ862" i="4"/>
  <c r="AJ878" i="4"/>
  <c r="AJ894" i="4"/>
  <c r="AJ910" i="4"/>
  <c r="AK848" i="4"/>
  <c r="AK852" i="4"/>
  <c r="AK856" i="4"/>
  <c r="AK860" i="4"/>
  <c r="AK864" i="4"/>
  <c r="AK868" i="4"/>
  <c r="AK872" i="4"/>
  <c r="AK876" i="4"/>
  <c r="AK888" i="4"/>
  <c r="AK892" i="4"/>
  <c r="AK896" i="4"/>
  <c r="AK900" i="4"/>
  <c r="AK904" i="4"/>
  <c r="AK908" i="4"/>
  <c r="AK912" i="4"/>
  <c r="AK916" i="4"/>
  <c r="AK920" i="4"/>
  <c r="AK924" i="4"/>
  <c r="AK928" i="4"/>
  <c r="AI798" i="4"/>
  <c r="AI802" i="4"/>
  <c r="AI806" i="4"/>
  <c r="AI810" i="4"/>
  <c r="AI814" i="4"/>
  <c r="AI818" i="4"/>
  <c r="AI822" i="4"/>
  <c r="AI826" i="4"/>
  <c r="AI830" i="4"/>
  <c r="AI834" i="4"/>
  <c r="AI838" i="4"/>
  <c r="AI842" i="4"/>
  <c r="AI846" i="4"/>
  <c r="AI850" i="4"/>
  <c r="AI854" i="4"/>
  <c r="AI858" i="4"/>
  <c r="AI862" i="4"/>
  <c r="AI866" i="4"/>
  <c r="AI870" i="4"/>
  <c r="AI874" i="4"/>
  <c r="AI878" i="4"/>
  <c r="AI882" i="4"/>
  <c r="AI886" i="4"/>
  <c r="AI890" i="4"/>
  <c r="AI894" i="4"/>
  <c r="AI898" i="4"/>
  <c r="AI902" i="4"/>
  <c r="AI906" i="4"/>
  <c r="AI910" i="4"/>
  <c r="AI914" i="4"/>
  <c r="AI926" i="4"/>
  <c r="AI930" i="4"/>
  <c r="AH857" i="4"/>
  <c r="AH861" i="4"/>
  <c r="AH865" i="4"/>
  <c r="AH869" i="4"/>
  <c r="AH873" i="4"/>
  <c r="AH877" i="4"/>
  <c r="AH881" i="4"/>
  <c r="AH885" i="4"/>
  <c r="AH889" i="4"/>
  <c r="AH893" i="4"/>
  <c r="AH897" i="4"/>
  <c r="AH901" i="4"/>
  <c r="AH905" i="4"/>
  <c r="AH909" i="4"/>
  <c r="AH913" i="4"/>
  <c r="AH917" i="4"/>
  <c r="AH921" i="4"/>
  <c r="AH925" i="4"/>
  <c r="AH929" i="4"/>
  <c r="AJ857" i="4"/>
  <c r="AJ861" i="4"/>
  <c r="AJ865" i="4"/>
  <c r="AJ869" i="4"/>
  <c r="AJ873" i="4"/>
  <c r="AJ877" i="4"/>
  <c r="AJ881" i="4"/>
  <c r="AJ885" i="4"/>
  <c r="AJ889" i="4"/>
  <c r="AJ893" i="4"/>
  <c r="AJ897" i="4"/>
  <c r="AJ901" i="4"/>
  <c r="AJ905" i="4"/>
  <c r="AJ909" i="4"/>
  <c r="AJ913" i="4"/>
  <c r="AJ917" i="4"/>
  <c r="AJ921" i="4"/>
  <c r="AJ925" i="4"/>
  <c r="AJ929" i="4"/>
  <c r="AJ395" i="1"/>
  <c r="AH395" i="1"/>
  <c r="AJ171" i="1"/>
  <c r="AH171" i="1"/>
  <c r="AJ492" i="1"/>
  <c r="AH492" i="1"/>
  <c r="AJ900" i="1"/>
  <c r="AJ687" i="1"/>
  <c r="AH687" i="1"/>
  <c r="AJ79" i="1"/>
  <c r="AH79" i="1"/>
  <c r="AJ31" i="1"/>
  <c r="AH31" i="1"/>
  <c r="AJ287" i="1"/>
  <c r="AH287" i="1"/>
  <c r="AJ54" i="1"/>
  <c r="AH54" i="1"/>
  <c r="AJ930" i="1"/>
  <c r="AJ922" i="1"/>
  <c r="AJ914" i="1"/>
  <c r="AJ906" i="1"/>
  <c r="AJ898" i="1"/>
  <c r="AJ890" i="1"/>
  <c r="AJ882" i="1"/>
  <c r="AJ874" i="1"/>
  <c r="AJ866" i="1"/>
  <c r="AJ858" i="1"/>
  <c r="AJ850" i="1"/>
  <c r="AJ842" i="1"/>
  <c r="AJ834" i="1"/>
  <c r="AJ589" i="1"/>
  <c r="AH589" i="1"/>
  <c r="AJ826" i="1"/>
  <c r="AJ818" i="1"/>
  <c r="AJ810" i="1"/>
  <c r="AJ802" i="1"/>
  <c r="AJ794" i="1"/>
  <c r="AJ786" i="1"/>
  <c r="AJ778" i="1"/>
  <c r="AJ770" i="1"/>
  <c r="AJ762" i="1"/>
  <c r="AJ754" i="1"/>
  <c r="AJ746" i="1"/>
  <c r="AJ738" i="1"/>
  <c r="AJ730" i="1"/>
  <c r="AJ722" i="1"/>
  <c r="AJ714" i="1"/>
  <c r="AJ706" i="1"/>
  <c r="AJ698" i="1"/>
  <c r="AJ690" i="1"/>
  <c r="AJ682" i="1"/>
  <c r="AJ674" i="1"/>
  <c r="AJ666" i="1"/>
  <c r="AJ658" i="1"/>
  <c r="AJ650" i="1"/>
  <c r="AJ642" i="1"/>
  <c r="AJ634" i="1"/>
  <c r="AJ626" i="1"/>
  <c r="AJ618" i="1"/>
  <c r="AJ610" i="1"/>
  <c r="AJ602" i="1"/>
  <c r="AJ594" i="1"/>
  <c r="AJ586" i="1"/>
  <c r="AJ578" i="1"/>
  <c r="AJ570" i="1"/>
  <c r="AJ562" i="1"/>
  <c r="AJ554" i="1"/>
  <c r="AJ546" i="1"/>
  <c r="AJ538" i="1"/>
  <c r="AJ530" i="1"/>
  <c r="AJ522" i="1"/>
  <c r="AJ836" i="1"/>
  <c r="AJ772" i="1"/>
  <c r="AJ929" i="1"/>
  <c r="AJ921" i="1"/>
  <c r="AJ913" i="1"/>
  <c r="AJ905" i="1"/>
  <c r="AJ897" i="1"/>
  <c r="AJ889" i="1"/>
  <c r="AJ881" i="1"/>
  <c r="AJ873" i="1"/>
  <c r="AJ865" i="1"/>
  <c r="AJ857" i="1"/>
  <c r="AJ849" i="1"/>
  <c r="AJ841" i="1"/>
  <c r="AJ833" i="1"/>
  <c r="AJ825" i="1"/>
  <c r="AJ817" i="1"/>
  <c r="AJ809" i="1"/>
  <c r="AJ801" i="1"/>
  <c r="AJ793" i="1"/>
  <c r="AJ785" i="1"/>
  <c r="AJ777" i="1"/>
  <c r="AJ769" i="1"/>
  <c r="AJ761" i="1"/>
  <c r="AJ753" i="1"/>
  <c r="AJ745" i="1"/>
  <c r="AJ737" i="1"/>
  <c r="AJ729" i="1"/>
  <c r="AJ721" i="1"/>
  <c r="AJ713" i="1"/>
  <c r="AJ705" i="1"/>
  <c r="AJ697" i="1"/>
  <c r="AJ689" i="1"/>
  <c r="AJ681" i="1"/>
  <c r="AJ673" i="1"/>
  <c r="AJ665" i="1"/>
  <c r="AJ657" i="1"/>
  <c r="AJ649" i="1"/>
  <c r="AJ641" i="1"/>
  <c r="AJ633" i="1"/>
  <c r="AJ625" i="1"/>
  <c r="AJ928" i="1"/>
  <c r="AJ920" i="1"/>
  <c r="AJ912" i="1"/>
  <c r="AJ904" i="1"/>
  <c r="AJ896" i="1"/>
  <c r="AJ888" i="1"/>
  <c r="AJ880" i="1"/>
  <c r="AJ872" i="1"/>
  <c r="AJ864" i="1"/>
  <c r="AJ856" i="1"/>
  <c r="AJ848" i="1"/>
  <c r="AJ840" i="1"/>
  <c r="AJ832" i="1"/>
  <c r="AJ824" i="1"/>
  <c r="AJ816" i="1"/>
  <c r="AJ808" i="1"/>
  <c r="AJ800" i="1"/>
  <c r="AJ792" i="1"/>
  <c r="AJ784" i="1"/>
  <c r="AJ776" i="1"/>
  <c r="AJ768" i="1"/>
  <c r="AJ760" i="1"/>
  <c r="AJ752" i="1"/>
  <c r="AJ744" i="1"/>
  <c r="AJ736" i="1"/>
  <c r="AJ728" i="1"/>
  <c r="AJ720" i="1"/>
  <c r="AJ712" i="1"/>
  <c r="AJ704" i="1"/>
  <c r="AJ696" i="1"/>
  <c r="AJ688" i="1"/>
  <c r="AJ680" i="1"/>
  <c r="AJ672" i="1"/>
  <c r="AJ664" i="1"/>
  <c r="AJ656" i="1"/>
  <c r="AJ648" i="1"/>
  <c r="AJ640" i="1"/>
  <c r="AJ632" i="1"/>
  <c r="AJ624" i="1"/>
  <c r="AJ616" i="1"/>
  <c r="AJ608" i="1"/>
  <c r="AJ600" i="1"/>
  <c r="AJ592" i="1"/>
  <c r="AJ584" i="1"/>
  <c r="AJ576" i="1"/>
  <c r="AJ568" i="1"/>
  <c r="AJ560" i="1"/>
  <c r="AJ552" i="1"/>
  <c r="AJ544" i="1"/>
  <c r="AJ536" i="1"/>
  <c r="AJ528" i="1"/>
  <c r="AJ520" i="1"/>
  <c r="AJ512" i="1"/>
  <c r="AJ504" i="1"/>
  <c r="AJ496" i="1"/>
  <c r="AJ272" i="1"/>
  <c r="AJ104" i="1"/>
  <c r="AJ927" i="1"/>
  <c r="AJ919" i="1"/>
  <c r="AJ911" i="1"/>
  <c r="AJ903" i="1"/>
  <c r="AJ895" i="1"/>
  <c r="AJ887" i="1"/>
  <c r="AJ879" i="1"/>
  <c r="AJ871" i="1"/>
  <c r="AJ863" i="1"/>
  <c r="AJ855" i="1"/>
  <c r="AJ847" i="1"/>
  <c r="AJ839" i="1"/>
  <c r="AJ831" i="1"/>
  <c r="AJ823" i="1"/>
  <c r="AJ815" i="1"/>
  <c r="AJ807" i="1"/>
  <c r="AJ799" i="1"/>
  <c r="AJ791" i="1"/>
  <c r="AJ783" i="1"/>
  <c r="AJ775" i="1"/>
  <c r="AJ767" i="1"/>
  <c r="AJ759" i="1"/>
  <c r="AJ751" i="1"/>
  <c r="AJ719" i="1"/>
  <c r="AJ479" i="1"/>
  <c r="AJ455" i="1"/>
  <c r="AJ431" i="1"/>
  <c r="AJ199" i="1"/>
  <c r="AJ2" i="1"/>
  <c r="AJ926" i="1"/>
  <c r="AJ918" i="1"/>
  <c r="AJ910" i="1"/>
  <c r="AJ902" i="1"/>
  <c r="AJ894" i="1"/>
  <c r="AJ886" i="1"/>
  <c r="AJ878" i="1"/>
  <c r="AJ870" i="1"/>
  <c r="AJ862" i="1"/>
  <c r="AJ854" i="1"/>
  <c r="AJ846" i="1"/>
  <c r="AJ838" i="1"/>
  <c r="AJ830" i="1"/>
  <c r="AJ822" i="1"/>
  <c r="AJ814" i="1"/>
  <c r="AJ806" i="1"/>
  <c r="AJ798" i="1"/>
  <c r="AJ790" i="1"/>
  <c r="AJ782" i="1"/>
  <c r="AJ774" i="1"/>
  <c r="AJ766" i="1"/>
  <c r="AJ758" i="1"/>
  <c r="AJ750" i="1"/>
  <c r="AJ742" i="1"/>
  <c r="AJ734" i="1"/>
  <c r="AJ726" i="1"/>
  <c r="AJ718" i="1"/>
  <c r="AJ710" i="1"/>
  <c r="AJ702" i="1"/>
  <c r="AJ694" i="1"/>
  <c r="AJ686" i="1"/>
  <c r="AJ678" i="1"/>
  <c r="AJ670" i="1"/>
  <c r="AJ662" i="1"/>
  <c r="AJ654" i="1"/>
  <c r="AJ646" i="1"/>
  <c r="AJ638" i="1"/>
  <c r="AJ630" i="1"/>
  <c r="AJ622" i="1"/>
  <c r="AJ614" i="1"/>
  <c r="AJ606" i="1"/>
  <c r="AJ598" i="1"/>
  <c r="AJ590" i="1"/>
  <c r="AJ582" i="1"/>
  <c r="AJ574" i="1"/>
  <c r="AJ566" i="1"/>
  <c r="AJ558" i="1"/>
  <c r="AJ550" i="1"/>
  <c r="AJ542" i="1"/>
  <c r="AJ534" i="1"/>
  <c r="AJ526" i="1"/>
  <c r="AJ518" i="1"/>
  <c r="AJ510" i="1"/>
  <c r="AJ502" i="1"/>
  <c r="AJ494" i="1"/>
  <c r="AJ486" i="1"/>
  <c r="AJ478" i="1"/>
  <c r="AJ470" i="1"/>
  <c r="AJ462" i="1"/>
  <c r="AJ454" i="1"/>
  <c r="AJ446" i="1"/>
  <c r="AJ438" i="1"/>
  <c r="AJ430" i="1"/>
  <c r="AJ422" i="1"/>
  <c r="AJ414" i="1"/>
  <c r="AJ406" i="1"/>
  <c r="AJ398" i="1"/>
  <c r="AJ390" i="1"/>
  <c r="AJ382" i="1"/>
  <c r="AJ374" i="1"/>
  <c r="AJ366" i="1"/>
  <c r="AJ358" i="1"/>
  <c r="AJ350" i="1"/>
  <c r="AJ342" i="1"/>
  <c r="AJ334" i="1"/>
  <c r="AJ326" i="1"/>
  <c r="AJ318" i="1"/>
  <c r="AJ310" i="1"/>
  <c r="AJ302" i="1"/>
  <c r="AJ294" i="1"/>
  <c r="AJ286" i="1"/>
  <c r="AJ278" i="1"/>
  <c r="AJ270" i="1"/>
  <c r="AJ262" i="1"/>
  <c r="AJ254" i="1"/>
  <c r="AJ246" i="1"/>
  <c r="AJ238" i="1"/>
  <c r="AJ230" i="1"/>
  <c r="AJ222" i="1"/>
  <c r="AJ214" i="1"/>
  <c r="AJ206" i="1"/>
  <c r="AJ198" i="1"/>
  <c r="AJ190" i="1"/>
  <c r="AJ182" i="1"/>
  <c r="AJ174" i="1"/>
  <c r="AJ166" i="1"/>
  <c r="AJ158" i="1"/>
  <c r="AJ150" i="1"/>
  <c r="AJ142" i="1"/>
  <c r="AJ134" i="1"/>
  <c r="AJ126" i="1"/>
  <c r="AJ118" i="1"/>
  <c r="AJ110" i="1"/>
  <c r="AJ102" i="1"/>
  <c r="AJ94" i="1"/>
  <c r="AJ86" i="1"/>
  <c r="AJ78" i="1"/>
  <c r="AJ70" i="1"/>
  <c r="AJ62" i="1"/>
  <c r="AJ22" i="1"/>
  <c r="AJ933" i="1"/>
  <c r="AJ925" i="1"/>
  <c r="AJ917" i="1"/>
  <c r="AJ909" i="1"/>
  <c r="AJ901" i="1"/>
  <c r="AJ893" i="1"/>
  <c r="AJ885" i="1"/>
  <c r="AJ877" i="1"/>
  <c r="AJ869" i="1"/>
  <c r="AJ861" i="1"/>
  <c r="AJ853" i="1"/>
  <c r="AJ845" i="1"/>
  <c r="AJ837" i="1"/>
  <c r="AJ829" i="1"/>
  <c r="AJ821" i="1"/>
  <c r="AJ813" i="1"/>
  <c r="AJ805" i="1"/>
  <c r="AJ797" i="1"/>
  <c r="AJ789" i="1"/>
  <c r="AJ781" i="1"/>
  <c r="AJ773" i="1"/>
  <c r="AJ765" i="1"/>
  <c r="AJ757" i="1"/>
  <c r="AJ749" i="1"/>
  <c r="AJ741" i="1"/>
  <c r="AJ733" i="1"/>
  <c r="AJ725" i="1"/>
  <c r="AJ717" i="1"/>
  <c r="AJ709" i="1"/>
  <c r="AJ701" i="1"/>
  <c r="AJ693" i="1"/>
  <c r="AJ685" i="1"/>
  <c r="AJ677" i="1"/>
  <c r="AJ565" i="1"/>
  <c r="AJ541" i="1"/>
  <c r="AJ317" i="1"/>
  <c r="AJ301" i="1"/>
  <c r="AJ141" i="1"/>
  <c r="AJ932" i="1"/>
  <c r="AJ924" i="1"/>
  <c r="AJ916" i="1"/>
  <c r="AJ908" i="1"/>
  <c r="AJ892" i="1"/>
  <c r="AJ884" i="1"/>
  <c r="AJ876" i="1"/>
  <c r="AJ868" i="1"/>
  <c r="AJ860" i="1"/>
  <c r="AJ852" i="1"/>
  <c r="AJ844" i="1"/>
  <c r="AJ828" i="1"/>
  <c r="AJ820" i="1"/>
  <c r="AJ812" i="1"/>
  <c r="AJ804" i="1"/>
  <c r="AJ796" i="1"/>
  <c r="AJ788" i="1"/>
  <c r="AJ780" i="1"/>
  <c r="AJ764" i="1"/>
  <c r="AJ756" i="1"/>
  <c r="AJ748" i="1"/>
  <c r="AJ740" i="1"/>
  <c r="AJ732" i="1"/>
  <c r="AJ724" i="1"/>
  <c r="AJ716" i="1"/>
  <c r="AJ708" i="1"/>
  <c r="AJ700" i="1"/>
  <c r="AJ692" i="1"/>
  <c r="AJ684" i="1"/>
  <c r="AJ676" i="1"/>
  <c r="AJ516" i="1"/>
  <c r="AJ468" i="1"/>
  <c r="AJ332" i="1"/>
  <c r="AJ244" i="1"/>
  <c r="AJ228" i="1"/>
  <c r="AJ931" i="1"/>
  <c r="AJ923" i="1"/>
  <c r="AJ915" i="1"/>
  <c r="AJ907" i="1"/>
  <c r="AJ899" i="1"/>
  <c r="AJ891" i="1"/>
  <c r="AJ883" i="1"/>
  <c r="AJ875" i="1"/>
  <c r="AJ867" i="1"/>
  <c r="AJ859" i="1"/>
  <c r="AJ851" i="1"/>
  <c r="AJ843" i="1"/>
  <c r="AJ835" i="1"/>
  <c r="AJ827" i="1"/>
  <c r="AJ819" i="1"/>
  <c r="AJ811" i="1"/>
  <c r="AJ803" i="1"/>
  <c r="AJ795" i="1"/>
  <c r="AJ787" i="1"/>
  <c r="AJ779" i="1"/>
  <c r="AJ771" i="1"/>
  <c r="AJ763" i="1"/>
  <c r="AJ755" i="1"/>
  <c r="AJ747" i="1"/>
  <c r="AJ739" i="1"/>
  <c r="AJ731" i="1"/>
  <c r="AJ723" i="1"/>
  <c r="AJ715" i="1"/>
  <c r="AJ675" i="1"/>
  <c r="AJ651" i="1"/>
  <c r="AJ443" i="1"/>
  <c r="AJ419" i="1"/>
  <c r="AJ259" i="1"/>
  <c r="AJ155" i="1"/>
  <c r="AJ514" i="1"/>
  <c r="AJ506" i="1"/>
  <c r="AJ498" i="1"/>
  <c r="AJ490" i="1"/>
  <c r="AJ482" i="1"/>
  <c r="AJ474" i="1"/>
  <c r="AJ466" i="1"/>
  <c r="AJ458" i="1"/>
  <c r="AJ370" i="1"/>
  <c r="AJ346" i="1"/>
  <c r="AJ186" i="1"/>
  <c r="AJ669" i="1"/>
  <c r="AJ661" i="1"/>
  <c r="AJ653" i="1"/>
  <c r="AJ645" i="1"/>
  <c r="AJ637" i="1"/>
  <c r="AJ629" i="1"/>
  <c r="AJ621" i="1"/>
  <c r="AJ613" i="1"/>
  <c r="AJ605" i="1"/>
  <c r="AJ597" i="1"/>
  <c r="AJ581" i="1"/>
  <c r="AJ573" i="1"/>
  <c r="AJ557" i="1"/>
  <c r="AJ549" i="1"/>
  <c r="AJ533" i="1"/>
  <c r="AJ525" i="1"/>
  <c r="AJ517" i="1"/>
  <c r="AJ509" i="1"/>
  <c r="AJ501" i="1"/>
  <c r="AJ493" i="1"/>
  <c r="AJ485" i="1"/>
  <c r="AJ477" i="1"/>
  <c r="AJ469" i="1"/>
  <c r="AJ461" i="1"/>
  <c r="AJ453" i="1"/>
  <c r="AJ445" i="1"/>
  <c r="AJ437" i="1"/>
  <c r="AJ429" i="1"/>
  <c r="AJ421" i="1"/>
  <c r="AJ413" i="1"/>
  <c r="AJ405" i="1"/>
  <c r="AJ397" i="1"/>
  <c r="AJ389" i="1"/>
  <c r="AJ381" i="1"/>
  <c r="AJ373" i="1"/>
  <c r="AJ365" i="1"/>
  <c r="AJ357" i="1"/>
  <c r="AJ349" i="1"/>
  <c r="AJ341" i="1"/>
  <c r="AJ333" i="1"/>
  <c r="AJ325" i="1"/>
  <c r="AJ309" i="1"/>
  <c r="AJ293" i="1"/>
  <c r="AJ285" i="1"/>
  <c r="AJ277" i="1"/>
  <c r="AJ269" i="1"/>
  <c r="AJ261" i="1"/>
  <c r="AJ253" i="1"/>
  <c r="AJ245" i="1"/>
  <c r="AJ237" i="1"/>
  <c r="AJ229" i="1"/>
  <c r="AJ221" i="1"/>
  <c r="AJ213" i="1"/>
  <c r="AJ205" i="1"/>
  <c r="AJ197" i="1"/>
  <c r="AJ189" i="1"/>
  <c r="AJ181" i="1"/>
  <c r="AJ173" i="1"/>
  <c r="AJ165" i="1"/>
  <c r="AJ157" i="1"/>
  <c r="AJ149" i="1"/>
  <c r="AJ133" i="1"/>
  <c r="AJ125" i="1"/>
  <c r="AJ117" i="1"/>
  <c r="AJ109" i="1"/>
  <c r="AJ101" i="1"/>
  <c r="AJ93" i="1"/>
  <c r="AJ85" i="1"/>
  <c r="AJ77" i="1"/>
  <c r="AJ69" i="1"/>
  <c r="AJ61" i="1"/>
  <c r="AJ53" i="1"/>
  <c r="AJ45" i="1"/>
  <c r="AJ13" i="1"/>
  <c r="AJ5" i="1"/>
  <c r="AJ668" i="1"/>
  <c r="AJ660" i="1"/>
  <c r="AJ652" i="1"/>
  <c r="AJ644" i="1"/>
  <c r="AJ636" i="1"/>
  <c r="AJ628" i="1"/>
  <c r="AJ620" i="1"/>
  <c r="AJ612" i="1"/>
  <c r="AJ604" i="1"/>
  <c r="AJ596" i="1"/>
  <c r="AJ588" i="1"/>
  <c r="AJ580" i="1"/>
  <c r="AJ572" i="1"/>
  <c r="AJ564" i="1"/>
  <c r="AJ556" i="1"/>
  <c r="AJ548" i="1"/>
  <c r="AJ540" i="1"/>
  <c r="AJ532" i="1"/>
  <c r="AJ524" i="1"/>
  <c r="AJ508" i="1"/>
  <c r="AJ500" i="1"/>
  <c r="AJ484" i="1"/>
  <c r="AJ476" i="1"/>
  <c r="AJ460" i="1"/>
  <c r="AJ452" i="1"/>
  <c r="AJ444" i="1"/>
  <c r="AJ436" i="1"/>
  <c r="AJ428" i="1"/>
  <c r="AJ420" i="1"/>
  <c r="AJ412" i="1"/>
  <c r="AJ404" i="1"/>
  <c r="AJ396" i="1"/>
  <c r="AJ388" i="1"/>
  <c r="AJ380" i="1"/>
  <c r="AJ372" i="1"/>
  <c r="AJ364" i="1"/>
  <c r="AJ356" i="1"/>
  <c r="AJ348" i="1"/>
  <c r="AJ340" i="1"/>
  <c r="AJ324" i="1"/>
  <c r="AJ316" i="1"/>
  <c r="AJ308" i="1"/>
  <c r="AJ300" i="1"/>
  <c r="AJ292" i="1"/>
  <c r="AJ284" i="1"/>
  <c r="AJ276" i="1"/>
  <c r="AJ268" i="1"/>
  <c r="AJ260" i="1"/>
  <c r="AJ252" i="1"/>
  <c r="AJ236" i="1"/>
  <c r="AJ220" i="1"/>
  <c r="AJ212" i="1"/>
  <c r="AJ204" i="1"/>
  <c r="AJ196" i="1"/>
  <c r="AJ188" i="1"/>
  <c r="AJ180" i="1"/>
  <c r="AJ172" i="1"/>
  <c r="AJ164" i="1"/>
  <c r="AJ156" i="1"/>
  <c r="AJ148" i="1"/>
  <c r="AJ140" i="1"/>
  <c r="AJ132" i="1"/>
  <c r="AJ124" i="1"/>
  <c r="AJ116" i="1"/>
  <c r="AJ108" i="1"/>
  <c r="AJ100" i="1"/>
  <c r="AJ92" i="1"/>
  <c r="AJ84" i="1"/>
  <c r="AJ76" i="1"/>
  <c r="AJ68" i="1"/>
  <c r="AJ60" i="1"/>
  <c r="AJ52" i="1"/>
  <c r="AJ36" i="1"/>
  <c r="AJ707" i="1"/>
  <c r="AJ699" i="1"/>
  <c r="AJ691" i="1"/>
  <c r="AJ683" i="1"/>
  <c r="AJ667" i="1"/>
  <c r="AJ659" i="1"/>
  <c r="AJ643" i="1"/>
  <c r="AJ635" i="1"/>
  <c r="AJ627" i="1"/>
  <c r="AJ619" i="1"/>
  <c r="AJ611" i="1"/>
  <c r="AJ603" i="1"/>
  <c r="AJ595" i="1"/>
  <c r="AJ587" i="1"/>
  <c r="AJ579" i="1"/>
  <c r="AJ571" i="1"/>
  <c r="AJ563" i="1"/>
  <c r="AJ555" i="1"/>
  <c r="AJ547" i="1"/>
  <c r="AJ539" i="1"/>
  <c r="AJ531" i="1"/>
  <c r="AJ523" i="1"/>
  <c r="AJ515" i="1"/>
  <c r="AJ507" i="1"/>
  <c r="AJ499" i="1"/>
  <c r="AJ491" i="1"/>
  <c r="AJ483" i="1"/>
  <c r="AJ475" i="1"/>
  <c r="AJ467" i="1"/>
  <c r="AJ459" i="1"/>
  <c r="AJ451" i="1"/>
  <c r="AJ435" i="1"/>
  <c r="AJ427" i="1"/>
  <c r="AJ411" i="1"/>
  <c r="AJ403" i="1"/>
  <c r="AJ387" i="1"/>
  <c r="AJ379" i="1"/>
  <c r="AJ371" i="1"/>
  <c r="AJ363" i="1"/>
  <c r="AJ355" i="1"/>
  <c r="AJ347" i="1"/>
  <c r="AJ339" i="1"/>
  <c r="AJ331" i="1"/>
  <c r="AJ323" i="1"/>
  <c r="AJ315" i="1"/>
  <c r="AJ307" i="1"/>
  <c r="AJ299" i="1"/>
  <c r="AJ291" i="1"/>
  <c r="AJ283" i="1"/>
  <c r="AJ275" i="1"/>
  <c r="AJ267" i="1"/>
  <c r="AJ251" i="1"/>
  <c r="AJ243" i="1"/>
  <c r="AJ235" i="1"/>
  <c r="AJ227" i="1"/>
  <c r="AJ219" i="1"/>
  <c r="AJ211" i="1"/>
  <c r="AJ203" i="1"/>
  <c r="AJ195" i="1"/>
  <c r="AJ187" i="1"/>
  <c r="AJ179" i="1"/>
  <c r="AJ163" i="1"/>
  <c r="AJ147" i="1"/>
  <c r="AJ139" i="1"/>
  <c r="AJ131" i="1"/>
  <c r="AJ123" i="1"/>
  <c r="AJ115" i="1"/>
  <c r="AJ107" i="1"/>
  <c r="AJ99" i="1"/>
  <c r="AJ91" i="1"/>
  <c r="AJ83" i="1"/>
  <c r="AJ75" i="1"/>
  <c r="AJ67" i="1"/>
  <c r="AJ59" i="1"/>
  <c r="AJ43" i="1"/>
  <c r="AJ27" i="1"/>
  <c r="AJ450" i="1"/>
  <c r="AJ442" i="1"/>
  <c r="AJ434" i="1"/>
  <c r="AJ426" i="1"/>
  <c r="AJ418" i="1"/>
  <c r="AJ410" i="1"/>
  <c r="AJ402" i="1"/>
  <c r="AJ394" i="1"/>
  <c r="AJ386" i="1"/>
  <c r="AJ378" i="1"/>
  <c r="AJ362" i="1"/>
  <c r="AJ354" i="1"/>
  <c r="AJ338" i="1"/>
  <c r="AJ330" i="1"/>
  <c r="AJ322" i="1"/>
  <c r="AJ314" i="1"/>
  <c r="AJ306" i="1"/>
  <c r="AJ298" i="1"/>
  <c r="AJ290" i="1"/>
  <c r="AJ282" i="1"/>
  <c r="AJ274" i="1"/>
  <c r="AJ266" i="1"/>
  <c r="AJ258" i="1"/>
  <c r="AJ250" i="1"/>
  <c r="AJ242" i="1"/>
  <c r="AJ234" i="1"/>
  <c r="AJ226" i="1"/>
  <c r="AJ218" i="1"/>
  <c r="AJ210" i="1"/>
  <c r="AJ202" i="1"/>
  <c r="AJ194" i="1"/>
  <c r="AJ178" i="1"/>
  <c r="AJ170" i="1"/>
  <c r="AJ162" i="1"/>
  <c r="AJ154" i="1"/>
  <c r="AJ146" i="1"/>
  <c r="AJ138" i="1"/>
  <c r="AJ130" i="1"/>
  <c r="AJ122" i="1"/>
  <c r="AJ114" i="1"/>
  <c r="AJ106" i="1"/>
  <c r="AJ98" i="1"/>
  <c r="AJ90" i="1"/>
  <c r="AJ82" i="1"/>
  <c r="AJ74" i="1"/>
  <c r="AJ66" i="1"/>
  <c r="AJ58" i="1"/>
  <c r="AJ50" i="1"/>
  <c r="AJ42" i="1"/>
  <c r="AJ34" i="1"/>
  <c r="AJ26" i="1"/>
  <c r="AJ18" i="1"/>
  <c r="AJ617" i="1"/>
  <c r="AJ609" i="1"/>
  <c r="AJ601" i="1"/>
  <c r="AJ593" i="1"/>
  <c r="AJ585" i="1"/>
  <c r="AJ577" i="1"/>
  <c r="AJ569" i="1"/>
  <c r="AJ561" i="1"/>
  <c r="AJ553" i="1"/>
  <c r="AJ545" i="1"/>
  <c r="AJ537" i="1"/>
  <c r="AJ529" i="1"/>
  <c r="AJ521" i="1"/>
  <c r="AJ513" i="1"/>
  <c r="AJ505" i="1"/>
  <c r="AJ497" i="1"/>
  <c r="AJ489" i="1"/>
  <c r="AJ481" i="1"/>
  <c r="AJ473" i="1"/>
  <c r="AJ465" i="1"/>
  <c r="AJ457" i="1"/>
  <c r="AJ449" i="1"/>
  <c r="AJ441" i="1"/>
  <c r="AJ433" i="1"/>
  <c r="AJ425" i="1"/>
  <c r="AJ417" i="1"/>
  <c r="AJ409" i="1"/>
  <c r="AJ401" i="1"/>
  <c r="AJ393" i="1"/>
  <c r="AJ385" i="1"/>
  <c r="AJ377" i="1"/>
  <c r="AJ369" i="1"/>
  <c r="AJ361" i="1"/>
  <c r="AJ353" i="1"/>
  <c r="AJ345" i="1"/>
  <c r="AJ337" i="1"/>
  <c r="AJ329" i="1"/>
  <c r="AJ321" i="1"/>
  <c r="AJ313" i="1"/>
  <c r="AJ305" i="1"/>
  <c r="AJ297" i="1"/>
  <c r="AJ289" i="1"/>
  <c r="AJ281" i="1"/>
  <c r="AJ273" i="1"/>
  <c r="AJ265" i="1"/>
  <c r="AJ257" i="1"/>
  <c r="AJ249" i="1"/>
  <c r="AJ241" i="1"/>
  <c r="AJ233" i="1"/>
  <c r="AJ225" i="1"/>
  <c r="AJ217" i="1"/>
  <c r="AJ209" i="1"/>
  <c r="AJ201" i="1"/>
  <c r="AJ193" i="1"/>
  <c r="AJ185" i="1"/>
  <c r="AJ177" i="1"/>
  <c r="AJ169" i="1"/>
  <c r="AJ161" i="1"/>
  <c r="AJ153" i="1"/>
  <c r="AJ145" i="1"/>
  <c r="AJ137" i="1"/>
  <c r="AJ129" i="1"/>
  <c r="AJ121" i="1"/>
  <c r="AJ113" i="1"/>
  <c r="AJ105" i="1"/>
  <c r="AJ97" i="1"/>
  <c r="AJ89" i="1"/>
  <c r="AJ81" i="1"/>
  <c r="AJ73" i="1"/>
  <c r="AJ488" i="1"/>
  <c r="AJ480" i="1"/>
  <c r="AJ472" i="1"/>
  <c r="AJ464" i="1"/>
  <c r="AJ456" i="1"/>
  <c r="AJ448" i="1"/>
  <c r="AJ440" i="1"/>
  <c r="AJ432" i="1"/>
  <c r="AJ424" i="1"/>
  <c r="AJ416" i="1"/>
  <c r="AJ408" i="1"/>
  <c r="AJ400" i="1"/>
  <c r="AJ392" i="1"/>
  <c r="AJ384" i="1"/>
  <c r="AJ376" i="1"/>
  <c r="AJ368" i="1"/>
  <c r="AJ360" i="1"/>
  <c r="AJ352" i="1"/>
  <c r="AJ344" i="1"/>
  <c r="AJ336" i="1"/>
  <c r="AJ328" i="1"/>
  <c r="AJ320" i="1"/>
  <c r="AJ312" i="1"/>
  <c r="AJ304" i="1"/>
  <c r="AJ296" i="1"/>
  <c r="AJ288" i="1"/>
  <c r="AJ280" i="1"/>
  <c r="AJ264" i="1"/>
  <c r="AJ256" i="1"/>
  <c r="AJ248" i="1"/>
  <c r="AJ240" i="1"/>
  <c r="AJ232" i="1"/>
  <c r="AJ224" i="1"/>
  <c r="AJ216" i="1"/>
  <c r="AJ208" i="1"/>
  <c r="AJ200" i="1"/>
  <c r="AJ192" i="1"/>
  <c r="AJ184" i="1"/>
  <c r="AJ176" i="1"/>
  <c r="AJ168" i="1"/>
  <c r="AJ160" i="1"/>
  <c r="AJ152" i="1"/>
  <c r="AJ144" i="1"/>
  <c r="AJ136" i="1"/>
  <c r="AJ128" i="1"/>
  <c r="AJ120" i="1"/>
  <c r="AJ112" i="1"/>
  <c r="AJ96" i="1"/>
  <c r="AJ88" i="1"/>
  <c r="AJ80" i="1"/>
  <c r="AJ72" i="1"/>
  <c r="AJ64" i="1"/>
  <c r="AJ56" i="1"/>
  <c r="AJ48" i="1"/>
  <c r="AJ40" i="1"/>
  <c r="AJ32" i="1"/>
  <c r="AJ24" i="1"/>
  <c r="AJ16" i="1"/>
  <c r="AJ8" i="1"/>
  <c r="AJ743" i="1"/>
  <c r="AJ735" i="1"/>
  <c r="AJ727" i="1"/>
  <c r="AJ711" i="1"/>
  <c r="AJ703" i="1"/>
  <c r="AJ695" i="1"/>
  <c r="AJ679" i="1"/>
  <c r="AJ671" i="1"/>
  <c r="AJ663" i="1"/>
  <c r="AJ655" i="1"/>
  <c r="AJ647" i="1"/>
  <c r="AJ639" i="1"/>
  <c r="AJ631" i="1"/>
  <c r="AJ623" i="1"/>
  <c r="AJ615" i="1"/>
  <c r="AJ607" i="1"/>
  <c r="AJ599" i="1"/>
  <c r="AJ591" i="1"/>
  <c r="AJ583" i="1"/>
  <c r="AJ575" i="1"/>
  <c r="AJ567" i="1"/>
  <c r="AJ559" i="1"/>
  <c r="AJ551" i="1"/>
  <c r="AJ543" i="1"/>
  <c r="AJ535" i="1"/>
  <c r="AJ527" i="1"/>
  <c r="AJ519" i="1"/>
  <c r="AJ511" i="1"/>
  <c r="AJ503" i="1"/>
  <c r="AJ495" i="1"/>
  <c r="AJ487" i="1"/>
  <c r="AJ471" i="1"/>
  <c r="AJ463" i="1"/>
  <c r="AJ447" i="1"/>
  <c r="AJ439" i="1"/>
  <c r="AJ423" i="1"/>
  <c r="AJ415" i="1"/>
  <c r="AJ407" i="1"/>
  <c r="AJ399" i="1"/>
  <c r="AJ391" i="1"/>
  <c r="AJ383" i="1"/>
  <c r="AJ375" i="1"/>
  <c r="AJ367" i="1"/>
  <c r="AJ359" i="1"/>
  <c r="AJ351" i="1"/>
  <c r="AJ343" i="1"/>
  <c r="AJ335" i="1"/>
  <c r="AJ327" i="1"/>
  <c r="AJ319" i="1"/>
  <c r="AJ311" i="1"/>
  <c r="AJ303" i="1"/>
  <c r="AJ295" i="1"/>
  <c r="AJ279" i="1"/>
  <c r="AJ271" i="1"/>
  <c r="AJ263" i="1"/>
  <c r="AJ255" i="1"/>
  <c r="AJ247" i="1"/>
  <c r="AJ239" i="1"/>
  <c r="AJ231" i="1"/>
  <c r="AJ223" i="1"/>
  <c r="AJ215" i="1"/>
  <c r="AJ207" i="1"/>
  <c r="AJ191" i="1"/>
  <c r="AJ183" i="1"/>
  <c r="AJ175" i="1"/>
  <c r="AJ167" i="1"/>
  <c r="AJ159" i="1"/>
  <c r="AJ151" i="1"/>
  <c r="AJ143" i="1"/>
  <c r="AJ135" i="1"/>
  <c r="AJ127" i="1"/>
  <c r="AJ95" i="1"/>
  <c r="AJ63" i="1"/>
  <c r="AJ15" i="1"/>
  <c r="AJ119" i="1"/>
  <c r="AJ111" i="1"/>
  <c r="AJ103" i="1"/>
  <c r="AJ87" i="1"/>
  <c r="AJ71" i="1"/>
  <c r="AJ55" i="1"/>
  <c r="AJ47" i="1"/>
  <c r="AJ39" i="1"/>
  <c r="AJ23" i="1"/>
  <c r="AJ7" i="1"/>
  <c r="AJ46" i="1"/>
  <c r="AJ38" i="1"/>
  <c r="AJ30" i="1"/>
  <c r="AJ14" i="1"/>
  <c r="AJ6" i="1"/>
  <c r="AJ37" i="1"/>
  <c r="AJ29" i="1"/>
  <c r="AJ21" i="1"/>
  <c r="AJ44" i="1"/>
  <c r="AJ28" i="1"/>
  <c r="AJ20" i="1"/>
  <c r="AJ12" i="1"/>
  <c r="AJ4" i="1"/>
  <c r="AJ51" i="1"/>
  <c r="AJ35" i="1"/>
  <c r="AJ19" i="1"/>
  <c r="AJ11" i="1"/>
  <c r="AJ3" i="1"/>
  <c r="AJ10" i="1"/>
  <c r="AJ65" i="1"/>
  <c r="AJ57" i="1"/>
  <c r="AJ49" i="1"/>
  <c r="AJ41" i="1"/>
  <c r="AJ33" i="1"/>
  <c r="AJ25" i="1"/>
  <c r="AJ17" i="1"/>
  <c r="AJ9" i="1"/>
</calcChain>
</file>

<file path=xl/sharedStrings.xml><?xml version="1.0" encoding="utf-8"?>
<sst xmlns="http://schemas.openxmlformats.org/spreadsheetml/2006/main" count="60577" uniqueCount="4126">
  <si>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</si>
  <si>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</si>
  <si>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</si>
  <si>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</si>
  <si>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</si>
  <si>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</si>
  <si>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</si>
  <si>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</si>
  <si>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</si>
  <si>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</si>
  <si>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</si>
  <si>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</si>
  <si>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</si>
  <si>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</si>
  <si>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</si>
  <si>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</si>
  <si>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</si>
  <si>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</si>
  <si>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</si>
  <si>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</si>
  <si>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</si>
  <si>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</si>
  <si>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</si>
  <si>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</si>
  <si>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</si>
  <si>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</si>
  <si>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</si>
  <si>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</si>
  <si>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</si>
  <si>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</si>
  <si>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</si>
  <si>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</si>
  <si>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</si>
  <si>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</si>
  <si>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</si>
  <si>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</si>
  <si>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</si>
  <si>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</si>
  <si>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</si>
  <si>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</si>
  <si>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</si>
  <si>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</si>
  <si>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</si>
  <si>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</si>
  <si>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</si>
  <si>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</si>
  <si>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</si>
  <si>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</si>
  <si>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</si>
  <si>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</si>
  <si>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</si>
  <si>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</si>
  <si>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</si>
  <si>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</si>
  <si>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</si>
  <si>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</si>
  <si>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</si>
  <si>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</si>
  <si>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</si>
  <si>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</si>
  <si>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</si>
  <si>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</si>
  <si>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</si>
  <si>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</si>
  <si>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</si>
  <si>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</si>
  <si>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</si>
  <si>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</si>
  <si>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</si>
  <si>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</si>
  <si>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</si>
  <si>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</si>
  <si>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</si>
  <si>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</si>
  <si>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</si>
  <si>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</si>
  <si>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</si>
  <si>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</si>
  <si>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</si>
  <si>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</si>
  <si>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</si>
  <si>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</si>
  <si>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</si>
  <si>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</si>
  <si>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</si>
  <si>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</si>
  <si>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</si>
  <si>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</si>
  <si>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</si>
  <si>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</si>
  <si>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</si>
  <si>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</si>
  <si>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</si>
  <si>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</si>
  <si>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</si>
  <si>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</si>
  <si>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</si>
  <si>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</si>
  <si>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</si>
  <si>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</si>
  <si>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</si>
  <si>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</si>
  <si>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</si>
  <si>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</si>
  <si>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</si>
  <si>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</si>
  <si>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</si>
  <si>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</si>
  <si>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</si>
  <si>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</si>
  <si>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</si>
  <si>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</si>
  <si>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</si>
  <si>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</si>
  <si>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</si>
  <si>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</si>
  <si>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</si>
  <si>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</si>
  <si>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</si>
  <si>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</si>
  <si>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</si>
  <si>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</si>
  <si>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</si>
  <si>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</si>
  <si>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</si>
  <si>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</si>
  <si>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</si>
  <si>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</si>
  <si>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</si>
  <si>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</si>
  <si>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</si>
  <si>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</si>
  <si>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</si>
  <si>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</si>
  <si>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</si>
  <si>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</si>
  <si>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</si>
  <si>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</si>
  <si>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</si>
  <si>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</si>
  <si>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</si>
  <si>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</si>
  <si>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</si>
  <si>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</si>
  <si>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</si>
  <si>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</si>
  <si>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</si>
  <si>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</si>
  <si>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</si>
  <si>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</si>
  <si>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</si>
  <si>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</si>
  <si>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</si>
  <si>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</si>
  <si>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</si>
  <si>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</si>
  <si>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</si>
  <si>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</si>
  <si>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</si>
  <si>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</si>
  <si>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</si>
  <si>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</si>
  <si>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</si>
  <si>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</si>
  <si>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</si>
  <si>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</si>
  <si>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</si>
  <si>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</si>
  <si>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</si>
  <si>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</si>
  <si>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</si>
  <si>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</si>
  <si>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</si>
  <si>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</si>
  <si>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</si>
  <si>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</si>
  <si>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</si>
  <si>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</si>
  <si>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</si>
  <si>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</si>
  <si>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</si>
  <si>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</si>
  <si>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</si>
  <si>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</si>
  <si>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</si>
  <si>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</si>
  <si>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</si>
  <si>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</si>
  <si>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</si>
  <si>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</si>
  <si>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</si>
  <si>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</si>
  <si>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</si>
  <si>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</si>
  <si>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</si>
  <si>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</si>
  <si>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</si>
  <si>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</si>
  <si>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</si>
  <si>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</si>
  <si>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</si>
  <si>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</si>
  <si>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</si>
  <si>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</si>
  <si>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</si>
  <si>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</si>
  <si>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</si>
  <si>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</si>
  <si>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</si>
  <si>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</si>
  <si>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</si>
  <si>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</si>
  <si>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</si>
  <si>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</si>
  <si>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</si>
  <si>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</si>
  <si>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</si>
  <si>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</si>
  <si>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</si>
  <si>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</si>
  <si>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</si>
  <si>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</si>
  <si>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</si>
  <si>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</si>
  <si>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</si>
  <si>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</si>
  <si>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</si>
  <si>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</si>
  <si>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</si>
  <si>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</si>
  <si>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</si>
  <si>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</si>
  <si>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</si>
  <si>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</si>
  <si>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</si>
  <si>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</si>
  <si>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</si>
  <si>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</si>
  <si>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</si>
  <si>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</si>
  <si>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</si>
  <si>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</si>
  <si>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</si>
  <si>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</si>
  <si>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</si>
  <si>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</si>
  <si>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</si>
  <si>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</si>
  <si>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</si>
  <si>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</si>
  <si>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</si>
  <si>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</si>
  <si>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</si>
  <si>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</si>
  <si>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</si>
  <si>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</si>
  <si>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</si>
  <si>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</si>
  <si>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</si>
  <si>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</si>
  <si>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</si>
  <si>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</si>
  <si>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</si>
  <si>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</si>
  <si>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</si>
  <si>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</si>
  <si>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</si>
  <si>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</si>
  <si>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</si>
  <si>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</si>
  <si>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</si>
  <si>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</si>
  <si>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</si>
  <si>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</si>
  <si>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</si>
  <si>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</si>
  <si>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</si>
  <si>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</si>
  <si>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</si>
  <si>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</si>
  <si>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</si>
  <si>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</si>
  <si>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</si>
  <si>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</si>
  <si>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</si>
  <si>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</si>
  <si>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</si>
  <si>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</si>
  <si>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</si>
  <si>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</si>
  <si>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</si>
  <si>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</si>
  <si>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</si>
  <si>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</si>
  <si>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</si>
  <si>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</si>
  <si>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</si>
  <si>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</si>
  <si>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</si>
  <si>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</si>
  <si>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</si>
  <si>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</si>
  <si>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</si>
  <si>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</si>
  <si>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</si>
  <si>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</si>
  <si>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</si>
  <si>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</si>
  <si>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</si>
  <si>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</si>
  <si>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</si>
  <si>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</si>
  <si>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</si>
  <si>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</si>
  <si>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</si>
  <si>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</si>
  <si>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</si>
  <si>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</si>
  <si>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</si>
  <si>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</si>
  <si>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</si>
  <si>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</si>
  <si>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</si>
  <si>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</si>
  <si>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</si>
  <si>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</si>
  <si>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</si>
  <si>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</si>
  <si>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</si>
  <si>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</si>
  <si>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</si>
  <si>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</si>
  <si>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</si>
  <si>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</si>
  <si>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</si>
  <si>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</si>
  <si>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</si>
  <si>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</si>
  <si>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</si>
  <si>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</si>
  <si>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</si>
  <si>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</si>
  <si>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</si>
  <si>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</si>
  <si>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</si>
  <si>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</si>
  <si>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</si>
  <si>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</si>
  <si>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</si>
  <si>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</si>
  <si>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</si>
  <si>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</si>
  <si>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</si>
  <si>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</si>
  <si>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</si>
  <si>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</si>
  <si>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</si>
  <si>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</si>
  <si>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</si>
  <si>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</si>
  <si>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</si>
  <si>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</si>
  <si>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</si>
  <si>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</si>
  <si>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</si>
  <si>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</si>
  <si>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</si>
  <si>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</si>
  <si>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</si>
  <si>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</si>
  <si>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</si>
  <si>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</si>
  <si>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</si>
  <si>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</si>
  <si>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</si>
  <si>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</si>
  <si>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</si>
  <si>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</si>
  <si>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</si>
  <si>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</si>
  <si>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</si>
  <si>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</si>
  <si>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</si>
  <si>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</si>
  <si>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</si>
  <si>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</si>
  <si>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</si>
  <si>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</si>
  <si>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</si>
  <si>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</si>
  <si>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</si>
  <si>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</si>
  <si>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</si>
  <si>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</si>
  <si>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</si>
  <si>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</si>
  <si>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</si>
  <si>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</si>
  <si>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</si>
  <si>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</si>
  <si>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</si>
  <si>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</si>
  <si>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</si>
  <si>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</si>
  <si>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</si>
  <si>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</si>
  <si>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</si>
  <si>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</si>
  <si>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</si>
  <si>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</si>
  <si>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</si>
  <si>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</si>
  <si>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</si>
  <si>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</si>
  <si>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</si>
  <si>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</si>
  <si>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</si>
  <si>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</si>
  <si>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</si>
  <si>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</si>
  <si>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</si>
  <si>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</si>
  <si>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</si>
  <si>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</si>
  <si>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</si>
  <si>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</si>
  <si>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</si>
  <si>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</si>
  <si>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</si>
  <si>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</si>
  <si>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</si>
  <si>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</si>
  <si>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</si>
  <si>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</si>
  <si>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</si>
  <si>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</si>
  <si>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</si>
  <si>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</si>
  <si>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</si>
  <si>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</si>
  <si>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</si>
  <si>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</si>
  <si>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</si>
  <si>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</si>
  <si>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</si>
  <si>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</si>
  <si>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</si>
  <si>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</si>
  <si>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</si>
  <si>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</si>
  <si>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</si>
  <si>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</si>
  <si>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</si>
  <si>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</si>
  <si>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</si>
  <si>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</si>
  <si>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</si>
  <si>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</si>
  <si>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</si>
  <si>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</si>
  <si>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</si>
  <si>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</si>
  <si>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</si>
  <si>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</si>
  <si>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</si>
  <si>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</si>
  <si>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</si>
  <si>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</si>
  <si>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</si>
  <si>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</si>
  <si>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</si>
  <si>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</si>
  <si>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</si>
  <si>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</si>
  <si>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</si>
  <si>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</si>
  <si>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</si>
  <si>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</si>
  <si>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</si>
  <si>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</si>
  <si>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</si>
  <si>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</si>
  <si>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</si>
  <si>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</si>
  <si>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</si>
  <si>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</si>
  <si>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</si>
  <si>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</si>
  <si>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</si>
  <si>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</si>
  <si>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</si>
  <si>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</si>
  <si>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</si>
  <si>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</si>
  <si>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</si>
  <si>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</si>
  <si>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</si>
  <si>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</si>
  <si>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</si>
  <si>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</si>
  <si>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</si>
  <si>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</si>
  <si>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</si>
  <si>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</si>
  <si>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</si>
  <si>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</si>
  <si>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</si>
  <si>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</si>
  <si>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</si>
  <si>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</si>
  <si>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</si>
  <si>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</si>
  <si>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</si>
  <si>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</si>
  <si>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</si>
  <si>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</si>
  <si>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</si>
  <si>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</si>
  <si>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</si>
  <si>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</si>
  <si>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</si>
  <si>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</si>
  <si>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</si>
  <si>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</si>
  <si>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</si>
  <si>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</si>
  <si>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</si>
  <si>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</si>
  <si>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</si>
  <si>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</si>
  <si>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</si>
  <si>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</si>
  <si>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</si>
  <si>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</si>
  <si>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</si>
  <si>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</si>
  <si>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</si>
  <si>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</si>
  <si>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</si>
  <si>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</si>
  <si>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</si>
  <si>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</si>
  <si>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</si>
  <si>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</si>
  <si>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</si>
  <si>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</si>
  <si>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</si>
  <si>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</si>
  <si>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</si>
  <si>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</si>
  <si>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</si>
  <si>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</si>
  <si>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</si>
  <si>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</si>
  <si>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</si>
  <si>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</si>
  <si>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</si>
  <si>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</si>
  <si>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</si>
  <si>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</si>
  <si>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</si>
  <si>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</si>
  <si>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</si>
  <si>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</si>
  <si>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</si>
  <si>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</si>
  <si>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</si>
  <si>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</si>
  <si>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</si>
  <si>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</si>
  <si>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</si>
  <si>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</si>
  <si>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</si>
  <si>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</si>
  <si>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</si>
  <si>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</si>
  <si>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</si>
  <si>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</si>
  <si>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</si>
  <si>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</si>
  <si>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</si>
  <si>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</si>
  <si>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</si>
  <si>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</si>
  <si>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</si>
  <si>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</si>
  <si>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</si>
  <si>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</si>
  <si>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</si>
  <si>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</si>
  <si>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</si>
  <si>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</si>
  <si>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</si>
  <si>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</si>
  <si>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</si>
  <si>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</si>
  <si>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</si>
  <si>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</si>
  <si>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</si>
  <si>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</si>
  <si>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</si>
  <si>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</si>
  <si>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</si>
  <si>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</si>
  <si>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</si>
  <si>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</si>
  <si>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</si>
  <si>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</si>
  <si>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</si>
  <si>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</si>
  <si>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</si>
  <si>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</si>
  <si>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</si>
  <si>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</si>
  <si>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</si>
  <si>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</si>
  <si>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</si>
  <si>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</si>
  <si>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</si>
  <si>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</si>
  <si>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</si>
  <si>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</si>
  <si>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</si>
  <si>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</si>
  <si>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</si>
  <si>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</si>
  <si>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</si>
  <si>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</si>
  <si>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</si>
  <si>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</si>
  <si>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</si>
  <si>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</si>
  <si>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</si>
  <si>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</si>
  <si>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</si>
  <si>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</si>
  <si>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</si>
  <si>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</si>
  <si>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</si>
  <si>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</si>
  <si>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</si>
  <si>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</si>
  <si>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</si>
  <si>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</si>
  <si>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</si>
  <si>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</si>
  <si>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</si>
  <si>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</si>
  <si>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</si>
  <si>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</si>
  <si>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</si>
  <si>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</si>
  <si>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</si>
  <si>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</si>
  <si>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</si>
  <si>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</si>
  <si>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</si>
  <si>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</si>
  <si>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</si>
  <si>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</si>
  <si>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</si>
  <si>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</si>
  <si>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</si>
  <si>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</si>
  <si>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</si>
  <si>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</si>
  <si>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</si>
  <si>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</si>
  <si>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</si>
  <si>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</si>
  <si>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</si>
  <si>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</si>
  <si>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</si>
  <si>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</si>
  <si>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</si>
  <si>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</si>
  <si>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</si>
  <si>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</si>
  <si>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</si>
  <si>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</si>
  <si>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</si>
  <si>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</si>
  <si>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</si>
  <si>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</si>
  <si>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</si>
  <si>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</si>
  <si>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</si>
  <si>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</si>
  <si>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</si>
  <si>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</si>
  <si>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</si>
  <si>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</si>
  <si>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</si>
  <si>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</si>
  <si>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</si>
  <si>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</si>
  <si>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</si>
  <si>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</si>
  <si>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</si>
  <si>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</si>
  <si>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</si>
  <si>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</si>
  <si>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</si>
  <si>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</si>
  <si>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</si>
  <si>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</si>
  <si>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</si>
  <si>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</si>
  <si>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</si>
  <si>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</si>
  <si>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</si>
  <si>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</si>
  <si>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</si>
  <si>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</si>
  <si>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</si>
  <si>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</si>
  <si>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</si>
  <si>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</si>
  <si>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</si>
  <si>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</si>
  <si>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</si>
  <si>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</si>
  <si>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</si>
  <si>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</si>
  <si>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</si>
  <si>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</si>
  <si>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</si>
  <si>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</si>
  <si>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</si>
  <si>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</si>
  <si>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</si>
  <si>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</si>
  <si>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</si>
  <si>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</si>
  <si>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</si>
  <si>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</si>
  <si>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</si>
  <si>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</si>
  <si>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</si>
  <si>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</si>
  <si>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</si>
  <si>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</si>
  <si>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</si>
  <si>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</si>
  <si>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</si>
  <si>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</si>
  <si>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</si>
  <si>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</si>
  <si>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</si>
  <si>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</si>
  <si>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</si>
  <si>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</si>
  <si>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</si>
  <si>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</si>
  <si>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</si>
  <si>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</si>
  <si>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</si>
  <si>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</si>
  <si>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</si>
  <si>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</si>
  <si>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</si>
  <si>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</si>
  <si>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</si>
  <si>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</si>
  <si>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</si>
  <si>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</si>
  <si>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</si>
  <si>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</si>
  <si>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</si>
  <si>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</si>
  <si>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</si>
  <si>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</si>
  <si>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</si>
  <si>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</si>
  <si>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</si>
  <si>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</si>
  <si>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</si>
  <si>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</si>
  <si>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</si>
  <si>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</si>
  <si>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</si>
  <si>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</si>
  <si>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</si>
  <si>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</si>
  <si>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</si>
  <si>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</si>
  <si>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</si>
  <si>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</si>
  <si>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</si>
  <si>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</si>
  <si>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</si>
  <si>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</si>
  <si>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</si>
  <si>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</si>
  <si>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</si>
  <si>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</si>
  <si>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</si>
  <si>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</si>
  <si>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</si>
  <si>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</si>
  <si>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</si>
  <si>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</si>
  <si>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</si>
  <si>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</si>
  <si>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</si>
  <si>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</si>
  <si>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</si>
  <si>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</si>
  <si>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</si>
  <si>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</si>
  <si>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</si>
  <si>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</si>
  <si>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</si>
  <si>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</si>
  <si>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</si>
  <si>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</si>
  <si>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</si>
  <si>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</si>
  <si>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</si>
  <si>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</si>
  <si>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</si>
  <si>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</si>
  <si>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</si>
  <si>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</si>
  <si>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</si>
  <si>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</si>
  <si>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</si>
  <si>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</si>
  <si>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</si>
  <si>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</si>
  <si>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</si>
  <si>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</si>
  <si>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</si>
  <si>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</si>
  <si>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</si>
  <si>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</si>
  <si>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</si>
  <si>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</si>
  <si>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</si>
  <si>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</si>
  <si>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</si>
  <si>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</si>
  <si>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</si>
  <si>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</si>
  <si>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</si>
  <si>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</si>
  <si>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</si>
  <si>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</si>
  <si>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</si>
  <si>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</si>
  <si>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</si>
  <si>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</si>
  <si>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</si>
  <si>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</si>
  <si>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</si>
  <si>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</si>
  <si>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</si>
  <si>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</si>
  <si>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</si>
  <si>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</si>
  <si>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</si>
  <si>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</si>
  <si>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</si>
  <si>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</si>
  <si>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</si>
  <si>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</si>
  <si>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</si>
  <si>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</si>
  <si>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</si>
  <si>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</si>
  <si>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</si>
  <si>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</si>
  <si>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</si>
  <si>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</si>
  <si>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</si>
  <si>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</si>
  <si>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</si>
  <si>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</si>
  <si>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</si>
  <si>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</si>
  <si>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</si>
  <si>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</si>
  <si>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</si>
  <si>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</si>
  <si>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</si>
  <si>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</si>
  <si>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</si>
  <si>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</si>
  <si>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</si>
  <si>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</si>
  <si>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</si>
  <si>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</si>
  <si>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</si>
  <si>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</si>
  <si>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</si>
  <si>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</si>
  <si>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</si>
  <si>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</si>
  <si>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</si>
  <si>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</si>
  <si>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</si>
  <si>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</si>
  <si>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</si>
  <si>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</si>
  <si>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</si>
  <si>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</si>
  <si>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</si>
  <si>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</si>
  <si>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</si>
  <si>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</si>
  <si>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</si>
  <si>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</si>
  <si>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</si>
  <si>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</si>
  <si>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</si>
  <si>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</si>
  <si>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</si>
  <si>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</si>
  <si>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</si>
  <si>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</si>
  <si>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</si>
  <si>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</si>
  <si>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</si>
  <si>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</si>
  <si>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</si>
  <si>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</si>
  <si>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</si>
  <si>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</si>
  <si>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</si>
  <si>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</si>
  <si>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</si>
  <si>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</si>
  <si>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</si>
  <si>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</si>
  <si>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</si>
  <si>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</si>
  <si>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</si>
  <si>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</si>
  <si>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</si>
  <si>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</si>
  <si>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</si>
  <si>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</si>
  <si>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</si>
  <si>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</si>
  <si>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</si>
  <si>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</si>
  <si>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</si>
  <si>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</si>
  <si>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</si>
  <si>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</si>
  <si>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</si>
  <si>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</si>
  <si>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</si>
  <si>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</si>
  <si>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</si>
  <si>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</si>
  <si>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</si>
  <si>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</si>
  <si>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</si>
  <si>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</si>
  <si>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</si>
  <si>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</si>
  <si>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</si>
  <si>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</si>
  <si>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</si>
  <si>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</si>
  <si>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</si>
  <si>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</si>
  <si>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</si>
  <si>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</si>
  <si>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</si>
  <si>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</si>
  <si>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</si>
  <si>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</si>
  <si>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</si>
  <si>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</si>
  <si>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</si>
  <si>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</si>
  <si>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</si>
  <si>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</si>
  <si>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</si>
  <si>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</si>
  <si>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</si>
  <si>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</si>
  <si>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</si>
  <si>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</si>
  <si>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</si>
  <si>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</si>
  <si>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</si>
  <si>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</si>
  <si>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</si>
  <si>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</si>
  <si>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</si>
  <si>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</si>
  <si>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</si>
  <si>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</si>
  <si>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</si>
  <si>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</si>
  <si>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</si>
  <si>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</si>
  <si>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</si>
  <si>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</si>
  <si>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</si>
  <si>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</si>
  <si>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</si>
  <si>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</si>
  <si>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</si>
  <si>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</si>
  <si>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</si>
  <si>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</si>
  <si>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</si>
  <si>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</si>
  <si>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</si>
  <si>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</si>
  <si>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</si>
  <si>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</si>
  <si>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</si>
  <si>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</si>
  <si>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</si>
  <si>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</si>
  <si>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</si>
  <si>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</si>
  <si>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</si>
  <si>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</si>
  <si>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</si>
  <si>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</si>
  <si>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</si>
  <si>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</si>
  <si>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</si>
  <si>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</si>
  <si>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</si>
  <si>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</si>
  <si>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</si>
  <si>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</si>
  <si>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</si>
  <si>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</si>
  <si>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</si>
  <si>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</si>
  <si>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</si>
  <si>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</si>
  <si>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</si>
  <si>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</si>
  <si>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</si>
  <si>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</si>
  <si>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</si>
  <si>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</si>
  <si>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</si>
  <si>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</si>
  <si>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</si>
  <si>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</si>
  <si>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</si>
  <si>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</si>
  <si>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</si>
  <si>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</si>
  <si>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</si>
  <si>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</si>
  <si>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</si>
  <si>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</si>
  <si>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</si>
  <si>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</si>
  <si>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</si>
  <si>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</si>
  <si>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</si>
  <si>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</si>
  <si>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</si>
  <si>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</si>
  <si>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</si>
  <si>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</si>
  <si>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</si>
  <si>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</si>
  <si>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</si>
  <si>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</si>
  <si>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</si>
  <si>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</si>
  <si>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</si>
  <si>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</si>
  <si>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</si>
  <si>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</si>
  <si>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</si>
  <si>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</si>
  <si>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</si>
  <si>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</si>
  <si>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</si>
  <si>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</si>
  <si>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</si>
  <si>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</si>
  <si>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</si>
  <si>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</si>
  <si>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</si>
  <si>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</si>
  <si>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</si>
  <si>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</si>
  <si>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</si>
  <si>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</si>
  <si>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</si>
  <si>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</si>
  <si>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</si>
  <si>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</si>
  <si>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</si>
  <si>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</si>
  <si>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</si>
  <si>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</si>
  <si>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</si>
  <si>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</si>
  <si>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</si>
  <si>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</si>
  <si>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</si>
  <si>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</si>
  <si>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</si>
  <si>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</si>
  <si>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</si>
  <si>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</si>
  <si>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</si>
  <si>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</si>
  <si>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</si>
  <si>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</si>
  <si>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</si>
  <si>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</si>
  <si>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</si>
  <si>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</si>
  <si>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</si>
  <si>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</si>
  <si>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</si>
  <si>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</si>
  <si>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</si>
  <si>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</si>
  <si>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</si>
  <si>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</si>
  <si>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</si>
  <si>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</si>
  <si>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</si>
  <si>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</si>
  <si>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</si>
  <si>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</si>
  <si>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</si>
  <si>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</si>
  <si>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</si>
  <si>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</si>
  <si>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</si>
  <si>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</si>
  <si>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</si>
  <si>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</si>
  <si>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</si>
  <si>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</si>
  <si>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</si>
  <si>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</si>
  <si>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</si>
  <si>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</si>
  <si>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</si>
  <si>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</si>
  <si>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</si>
  <si>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</si>
  <si>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</si>
  <si>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</si>
  <si>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</si>
  <si>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</si>
  <si>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</si>
  <si>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</si>
  <si>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</si>
  <si>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</si>
  <si>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</si>
  <si>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</si>
  <si>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</si>
  <si>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</si>
  <si>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</si>
  <si>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</si>
  <si>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</si>
  <si>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</si>
  <si>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</si>
  <si>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</si>
  <si>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</si>
  <si>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</si>
  <si>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</si>
  <si>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</si>
  <si>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</si>
  <si>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</si>
  <si>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</si>
  <si>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</si>
  <si>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</si>
  <si>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</si>
  <si>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</si>
  <si>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</si>
  <si>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</si>
  <si>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</si>
  <si>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</si>
  <si>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</si>
  <si>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</si>
  <si>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</si>
  <si>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</si>
  <si>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</si>
  <si>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</si>
  <si>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</si>
  <si>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</si>
  <si>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</si>
  <si>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</si>
  <si>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</si>
  <si>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</si>
  <si>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</si>
  <si>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</si>
  <si>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</si>
  <si>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</si>
  <si>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</si>
  <si>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</si>
  <si>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</si>
  <si>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</si>
  <si>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</si>
  <si>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</si>
  <si>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</si>
  <si>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</si>
  <si>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</si>
  <si>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</si>
  <si>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</si>
  <si>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</si>
  <si>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</si>
  <si>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</si>
  <si>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</si>
  <si>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</si>
  <si>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</si>
  <si>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</si>
  <si>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</si>
  <si>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</si>
  <si>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</si>
  <si>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</si>
  <si>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</si>
  <si>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</si>
  <si>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</si>
  <si>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</si>
  <si>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</si>
  <si>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</si>
  <si>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</si>
  <si>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</si>
  <si>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</si>
  <si>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</si>
  <si>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</si>
  <si>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</si>
  <si>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</si>
  <si>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</si>
  <si>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</si>
  <si>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</si>
  <si>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</si>
  <si>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</si>
  <si>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</si>
  <si>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</si>
  <si>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</si>
  <si>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</si>
  <si>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</si>
  <si>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</si>
  <si>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</si>
  <si>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</si>
  <si>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</si>
  <si>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</si>
  <si>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</si>
  <si>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</si>
  <si>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</si>
  <si>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</si>
  <si>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</si>
  <si>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</si>
  <si>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</si>
  <si>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</si>
  <si>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</si>
  <si>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</si>
  <si>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</si>
  <si>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</si>
  <si>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</si>
  <si>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</si>
  <si>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</si>
  <si>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</si>
  <si>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</si>
  <si>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</si>
  <si>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</si>
  <si>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</si>
  <si>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</si>
  <si>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</si>
  <si>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</si>
  <si>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</si>
  <si>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</si>
  <si>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</si>
  <si>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</si>
  <si>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</si>
  <si>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</si>
  <si>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</si>
  <si>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</si>
  <si>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</si>
  <si>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</si>
  <si>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</si>
  <si>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</si>
  <si>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</si>
  <si>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</si>
  <si>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</si>
  <si>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</si>
  <si>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</si>
  <si>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</si>
  <si>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</si>
  <si>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</si>
  <si>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</si>
  <si>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</si>
  <si>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</si>
  <si>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</si>
  <si>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</si>
  <si>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</si>
  <si>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</si>
  <si>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</si>
  <si>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</si>
  <si>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</si>
  <si>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</si>
  <si>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</si>
  <si>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</si>
  <si>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</si>
  <si>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</si>
  <si>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</si>
  <si>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</si>
  <si>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</si>
  <si>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</si>
  <si>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</si>
  <si>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</si>
  <si>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</si>
  <si>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</si>
  <si>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</si>
  <si>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</si>
  <si>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</si>
  <si>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</si>
  <si>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</si>
  <si>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</si>
  <si>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</si>
  <si>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</si>
  <si>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</si>
  <si>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</si>
  <si>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</si>
  <si>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</si>
  <si>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</si>
  <si>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</si>
  <si>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</si>
  <si>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</si>
  <si>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</si>
  <si>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</si>
  <si>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</si>
  <si>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</si>
  <si>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</si>
  <si>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</si>
  <si>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</si>
  <si>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</si>
  <si>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</si>
  <si>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</si>
  <si>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</si>
  <si>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</si>
  <si>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</si>
  <si>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</si>
  <si>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</si>
  <si>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</si>
  <si>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</si>
  <si>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</si>
  <si>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</si>
  <si>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</si>
  <si>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</si>
  <si>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</si>
  <si>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</si>
  <si>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</si>
  <si>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</si>
  <si>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</si>
  <si>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</si>
  <si>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</si>
  <si>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</si>
  <si>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</si>
  <si>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</si>
  <si>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</si>
  <si>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</si>
  <si>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</si>
  <si>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</si>
  <si>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</si>
  <si>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</si>
  <si>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</si>
  <si>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</si>
  <si>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</si>
  <si>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</si>
  <si>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</si>
  <si>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</si>
  <si>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</si>
  <si>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</si>
  <si>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</si>
  <si>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</si>
  <si>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</si>
  <si>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</si>
  <si>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</si>
  <si>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</si>
  <si>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</si>
  <si>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</si>
  <si>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</si>
  <si>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</si>
  <si>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</si>
  <si>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</si>
  <si>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</si>
  <si>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</si>
  <si>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</si>
  <si>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</si>
  <si>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</si>
  <si>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</si>
  <si>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</si>
  <si>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</si>
  <si>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</si>
  <si>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</si>
  <si>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</si>
  <si>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</si>
  <si>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</si>
  <si>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</si>
  <si>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</si>
  <si>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</si>
  <si>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</si>
  <si>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</si>
  <si>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</si>
  <si>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</si>
  <si>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</si>
  <si>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</si>
  <si>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</si>
  <si>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</si>
  <si>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</si>
  <si>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</si>
  <si>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</si>
  <si>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</si>
  <si>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</si>
  <si>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</si>
  <si>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</si>
  <si>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</si>
  <si>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</si>
  <si>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</si>
  <si>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</si>
  <si>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</si>
  <si>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</si>
  <si>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</si>
  <si>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</si>
  <si>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</si>
  <si>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</si>
  <si>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</si>
  <si>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</si>
  <si>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</si>
  <si>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</si>
  <si>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</si>
  <si>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</si>
  <si>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</si>
  <si>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</si>
  <si>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</si>
  <si>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</si>
  <si>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</si>
  <si>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</si>
  <si>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</si>
  <si>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</si>
  <si>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</si>
  <si>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</si>
  <si>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</si>
  <si>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</si>
  <si>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</si>
  <si>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</si>
  <si>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</si>
  <si>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</si>
  <si>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</si>
  <si>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</si>
  <si>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</si>
  <si>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</si>
  <si>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</si>
  <si>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</si>
  <si>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</si>
  <si>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</si>
  <si>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</si>
  <si>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</si>
  <si>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</si>
  <si>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</si>
  <si>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</si>
  <si>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</si>
  <si>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</si>
  <si>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</si>
  <si>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</si>
  <si>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</si>
  <si>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</si>
  <si>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</si>
  <si>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</si>
  <si>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</si>
  <si>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</si>
  <si>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</si>
  <si>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</si>
  <si>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</si>
  <si>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</si>
  <si>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</si>
  <si>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</si>
  <si>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</si>
  <si>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</si>
  <si>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</si>
  <si>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</si>
  <si>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</si>
  <si>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</si>
  <si>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</si>
  <si>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</si>
  <si>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</si>
  <si>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</si>
  <si>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</si>
  <si>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</si>
  <si>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</si>
  <si>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</si>
  <si>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</si>
  <si>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</si>
  <si>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</si>
  <si>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</si>
  <si>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</si>
  <si>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</si>
  <si>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</si>
  <si>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</si>
  <si>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</si>
  <si>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</si>
  <si>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</si>
  <si>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</si>
  <si>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</si>
  <si>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</si>
  <si>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</si>
  <si>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</si>
  <si>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</si>
  <si>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</si>
  <si>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</si>
  <si>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</si>
  <si>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</si>
  <si>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</si>
  <si>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</si>
  <si>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</si>
  <si>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</si>
  <si>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</si>
  <si>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</si>
  <si>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</si>
  <si>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</si>
  <si>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</si>
  <si>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</si>
  <si>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</si>
  <si>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</si>
  <si>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</si>
  <si>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</si>
  <si>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</si>
  <si>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</si>
  <si>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</si>
  <si>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</si>
  <si>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</si>
  <si>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</si>
  <si>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</si>
  <si>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</si>
  <si>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</si>
  <si>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</si>
  <si>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</si>
  <si>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</si>
  <si>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</si>
  <si>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</si>
  <si>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</si>
  <si>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</si>
  <si>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</si>
  <si>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</si>
  <si>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</si>
  <si>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</si>
  <si>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</si>
  <si>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</si>
  <si>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</si>
  <si>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</si>
  <si>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</si>
  <si>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</si>
  <si>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</si>
  <si>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</si>
  <si>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</si>
  <si>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</si>
  <si>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</si>
  <si>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</si>
  <si>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</si>
  <si>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</si>
  <si>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</si>
  <si>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</si>
  <si>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</si>
  <si>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</si>
  <si>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</si>
  <si>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</si>
  <si>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</si>
  <si>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</si>
  <si>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</si>
  <si>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</si>
  <si>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</si>
  <si>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</si>
  <si>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</si>
  <si>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</si>
  <si>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</si>
  <si>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</si>
  <si>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</si>
  <si>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</si>
  <si>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</si>
  <si>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</si>
  <si>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</si>
  <si>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</si>
  <si>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</si>
  <si>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</si>
  <si>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</si>
  <si>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</si>
  <si>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</si>
  <si>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</si>
  <si>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</si>
  <si>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</si>
  <si>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</si>
  <si>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</si>
  <si>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</si>
  <si>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</si>
  <si>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</si>
  <si>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</si>
  <si>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</si>
  <si>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</si>
  <si>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</si>
  <si>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</si>
  <si>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</si>
  <si>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</si>
  <si>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</si>
  <si>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</si>
  <si>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</si>
  <si>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</si>
  <si>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</si>
  <si>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</si>
  <si>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</si>
  <si>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</si>
  <si>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</si>
  <si>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</si>
  <si>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</si>
  <si>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</si>
  <si>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</si>
  <si>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</si>
  <si>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</si>
  <si>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</si>
  <si>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</si>
  <si>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</si>
  <si>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</si>
  <si>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</si>
  <si>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</si>
  <si>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</si>
  <si>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</si>
  <si>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</si>
  <si>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</si>
  <si>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</si>
  <si>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</si>
  <si>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</si>
  <si>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</si>
  <si>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</si>
  <si>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</si>
  <si>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</si>
  <si>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</si>
  <si>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</si>
  <si>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</si>
  <si>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</si>
  <si>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</si>
  <si>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</si>
  <si>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</si>
  <si>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</si>
  <si>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</si>
  <si>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</si>
  <si>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</si>
  <si>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</si>
  <si>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</si>
  <si>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</si>
  <si>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</si>
  <si>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</si>
  <si>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</si>
  <si>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</si>
  <si>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</si>
  <si>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</si>
  <si>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</si>
  <si>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</si>
  <si>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</si>
  <si>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</si>
  <si>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</si>
  <si>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</si>
  <si>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</si>
  <si>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</si>
  <si>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</si>
  <si>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</si>
  <si>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</si>
  <si>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</si>
  <si>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</si>
  <si>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</si>
  <si>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</si>
  <si>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</si>
  <si>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</si>
  <si>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</si>
  <si>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</si>
  <si>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</si>
  <si>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</si>
  <si>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</si>
  <si>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</si>
  <si>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</si>
  <si>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</si>
  <si>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</si>
  <si>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</si>
  <si>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</si>
  <si>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</si>
  <si>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</si>
  <si>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</si>
  <si>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</si>
  <si>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</si>
  <si>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</si>
  <si>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</si>
  <si>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</si>
  <si>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</si>
  <si>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</si>
  <si>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</si>
  <si>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</si>
  <si>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</si>
  <si>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</si>
  <si>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</si>
  <si>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</si>
  <si>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</si>
  <si>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</si>
  <si>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</si>
  <si>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</si>
  <si>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</si>
  <si>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</si>
  <si>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</si>
  <si>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</si>
  <si>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</si>
  <si>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</si>
  <si>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</si>
  <si>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</si>
  <si>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</si>
  <si>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</si>
  <si>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</si>
  <si>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</si>
  <si>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</si>
  <si>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</si>
  <si>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</si>
  <si>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</si>
  <si>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</si>
  <si>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</si>
  <si>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</si>
  <si>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</si>
  <si>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</si>
  <si>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</si>
  <si>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</si>
  <si>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</si>
  <si>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</si>
  <si>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</si>
  <si>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</si>
  <si>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</si>
  <si>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</si>
  <si>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</si>
  <si>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</si>
  <si>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</si>
  <si>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</si>
  <si>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</si>
  <si>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</si>
  <si>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</si>
  <si>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</si>
  <si>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</si>
  <si>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</si>
  <si>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</si>
  <si>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</si>
  <si>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</si>
  <si>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</si>
  <si>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</si>
  <si>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</si>
  <si>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</si>
  <si>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</si>
  <si>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</si>
  <si>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</si>
  <si>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</si>
  <si>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</si>
  <si>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</si>
  <si>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</si>
  <si>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</si>
  <si>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</si>
  <si>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</si>
  <si>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</si>
  <si>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</si>
  <si>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</si>
  <si>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</si>
  <si>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</si>
  <si>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</si>
  <si>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</si>
  <si>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</si>
  <si>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</si>
  <si>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</si>
  <si>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</si>
  <si>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</si>
  <si>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</si>
  <si>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</si>
  <si>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</si>
  <si>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</si>
  <si>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</si>
  <si>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</si>
  <si>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</si>
  <si>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</si>
  <si>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</si>
  <si>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</si>
  <si>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</si>
  <si>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</si>
  <si>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</si>
  <si>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</si>
  <si>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</si>
  <si>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</si>
  <si>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</si>
  <si>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</si>
  <si>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</si>
  <si>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</si>
  <si>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</si>
  <si>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</si>
  <si>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</si>
  <si>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</si>
  <si>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</si>
  <si>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</si>
  <si>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</si>
  <si>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</si>
  <si>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</si>
  <si>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</si>
  <si>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</si>
  <si>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</si>
  <si>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</si>
  <si>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</si>
  <si>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</si>
  <si>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</si>
  <si>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</si>
  <si>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</si>
  <si>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</si>
  <si>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</si>
  <si>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</si>
  <si>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</si>
  <si>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</si>
  <si>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</si>
  <si>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</si>
  <si>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</si>
  <si>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</si>
  <si>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</si>
  <si>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</si>
  <si>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</si>
  <si>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</si>
  <si>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</si>
  <si>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</si>
  <si>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</si>
  <si>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</si>
  <si>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</si>
  <si>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</si>
  <si>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</si>
  <si>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</si>
  <si>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</si>
  <si>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</si>
  <si>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</si>
  <si>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</si>
  <si>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</si>
  <si>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</si>
  <si>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</si>
  <si>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</si>
  <si>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</si>
  <si>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</si>
  <si>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</si>
  <si>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</si>
  <si>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</si>
  <si>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</si>
  <si>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</si>
  <si>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</si>
  <si>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</si>
  <si>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</si>
  <si>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</si>
  <si>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</si>
  <si>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</si>
  <si>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</si>
  <si>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</si>
  <si>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</si>
  <si>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</si>
  <si>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</si>
  <si>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</si>
  <si>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</si>
  <si>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</si>
  <si>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</si>
  <si>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</si>
  <si>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</si>
  <si>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</si>
  <si>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</si>
  <si>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</si>
  <si>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</si>
  <si>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</si>
  <si>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</si>
  <si>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</si>
  <si>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</si>
  <si>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</si>
  <si>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</si>
  <si>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</si>
  <si>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</si>
  <si>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</si>
  <si>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</si>
  <si>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</si>
  <si>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</si>
  <si>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</si>
  <si>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</si>
  <si>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</si>
  <si>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</si>
  <si>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</si>
  <si>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</si>
  <si>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</si>
  <si>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</si>
  <si>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</si>
  <si>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</si>
  <si>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</si>
  <si>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</si>
  <si>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</si>
  <si>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</si>
  <si>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</si>
  <si>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</si>
  <si>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</si>
  <si>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</si>
  <si>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</si>
  <si>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</si>
  <si>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</si>
  <si>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</si>
  <si>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</si>
  <si>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</si>
  <si>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</si>
  <si>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</si>
  <si>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</si>
  <si>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</si>
  <si>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</si>
  <si>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</si>
  <si>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</si>
  <si>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</si>
  <si>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</si>
  <si>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</si>
  <si>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</si>
  <si>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</si>
  <si>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</si>
  <si>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</si>
  <si>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</si>
  <si>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</si>
  <si>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</si>
  <si>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</si>
  <si>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</si>
  <si>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</si>
  <si>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</si>
  <si>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</si>
  <si>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</si>
  <si>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</si>
  <si>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</si>
  <si>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</si>
  <si>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</si>
  <si>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</si>
  <si>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</si>
  <si>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</si>
  <si>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</si>
  <si>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</si>
  <si>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</si>
  <si>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</si>
  <si>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</si>
  <si>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</si>
  <si>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</si>
  <si>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</si>
  <si>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</si>
  <si>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</si>
  <si>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</si>
  <si>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</si>
  <si>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</si>
  <si>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</si>
  <si>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</si>
  <si>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</si>
  <si>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</si>
  <si>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</si>
  <si>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</si>
  <si>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</si>
  <si>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</si>
  <si>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</si>
  <si>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</si>
  <si>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</si>
  <si>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</si>
  <si>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</si>
  <si>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</si>
  <si>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</si>
  <si>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</si>
  <si>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</si>
  <si>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</si>
  <si>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</si>
  <si>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</si>
  <si>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</si>
  <si>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</si>
  <si>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</si>
  <si>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</si>
  <si>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</si>
  <si>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</si>
  <si>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</si>
  <si>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</si>
  <si>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</si>
  <si>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</si>
  <si>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</si>
  <si>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</si>
  <si>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</si>
  <si>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</si>
  <si>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</si>
  <si>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</si>
  <si>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</si>
  <si>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</si>
  <si>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</si>
  <si>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</si>
  <si>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</si>
  <si>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</si>
  <si>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</si>
  <si>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</si>
  <si>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</si>
  <si>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</si>
  <si>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</si>
  <si>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</si>
  <si>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</si>
  <si>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</si>
  <si>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</si>
  <si>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</si>
  <si>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</si>
  <si>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</si>
  <si>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</si>
  <si>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</si>
  <si>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</si>
  <si>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</si>
  <si>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</si>
  <si>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</si>
  <si>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</si>
  <si>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</si>
  <si>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</si>
  <si>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</si>
  <si>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</si>
  <si>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</si>
  <si>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</si>
  <si>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</si>
  <si>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</si>
  <si>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</si>
  <si>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</si>
  <si>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</si>
  <si>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</si>
  <si>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</si>
  <si>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</si>
  <si>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</si>
  <si>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</si>
  <si>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</si>
  <si>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</si>
  <si>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</si>
  <si>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</si>
  <si>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</si>
  <si>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</si>
  <si>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</si>
  <si>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</si>
  <si>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</si>
  <si>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</si>
  <si>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</si>
  <si>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</si>
  <si>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</si>
  <si>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</si>
  <si>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</si>
  <si>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</si>
  <si>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</si>
  <si>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</si>
  <si>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</si>
  <si>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</si>
  <si>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</si>
  <si>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</si>
  <si>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</si>
  <si>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</si>
  <si>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</si>
  <si>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</si>
  <si>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</si>
  <si>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</si>
  <si>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</si>
  <si>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</si>
  <si>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</si>
  <si>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</si>
  <si>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</si>
  <si>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</si>
  <si>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</si>
  <si>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</si>
  <si>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</si>
  <si>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</si>
  <si>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</si>
  <si>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</si>
  <si>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</si>
  <si>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</si>
  <si>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</si>
  <si>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</si>
  <si>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</si>
  <si>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</si>
  <si>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</si>
  <si>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</si>
  <si>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</si>
  <si>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</si>
  <si>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</si>
  <si>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</si>
  <si>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</si>
  <si>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</si>
  <si>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</si>
  <si>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</si>
  <si>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</si>
  <si>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</si>
  <si>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</si>
  <si>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</si>
  <si>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</si>
  <si>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</si>
  <si>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</si>
  <si>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</si>
  <si>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</si>
  <si>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</si>
  <si>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</si>
  <si>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</si>
  <si>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</si>
  <si>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</si>
  <si>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</si>
  <si>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</si>
  <si>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</si>
  <si>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</si>
  <si>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</si>
  <si>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</si>
  <si>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</si>
  <si>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</si>
  <si>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</si>
  <si>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</si>
  <si>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</si>
  <si>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</si>
  <si>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</si>
  <si>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</si>
  <si>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</si>
  <si>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</si>
  <si>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</si>
  <si>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</si>
  <si>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</si>
  <si>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</si>
  <si>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</si>
  <si>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</si>
  <si>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</si>
  <si>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</si>
  <si>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</si>
  <si>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</si>
  <si>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</si>
  <si>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</si>
  <si>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</si>
  <si>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</si>
  <si>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</si>
  <si>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</si>
  <si>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</si>
  <si>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</si>
  <si>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</si>
  <si>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</si>
  <si>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</si>
  <si>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</si>
  <si>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</si>
  <si>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</si>
  <si>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</si>
  <si>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</si>
  <si>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</si>
  <si>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</si>
  <si>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</si>
  <si>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</si>
  <si>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</si>
  <si>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</si>
  <si>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</si>
  <si>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</si>
  <si>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</si>
  <si>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</si>
  <si>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</si>
  <si>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</si>
  <si>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</si>
  <si>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</si>
  <si>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</si>
  <si>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</si>
  <si>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</si>
  <si>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</si>
  <si>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</si>
  <si>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</si>
  <si>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</si>
  <si>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</si>
  <si>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</si>
  <si>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</si>
  <si>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</si>
  <si>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</si>
  <si>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</si>
  <si>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</si>
  <si>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</si>
  <si>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</si>
  <si>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</si>
  <si>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</si>
  <si>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</si>
  <si>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</si>
  <si>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</si>
  <si>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</si>
  <si>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</si>
  <si>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</si>
  <si>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</si>
  <si>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</si>
  <si>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</si>
  <si>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</si>
  <si>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</si>
  <si>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</si>
  <si>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</si>
  <si>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</si>
  <si>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</si>
  <si>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</si>
  <si>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</si>
  <si>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</si>
  <si>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</si>
  <si>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</si>
  <si>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</si>
  <si>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</si>
  <si>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</si>
  <si>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</si>
  <si>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</si>
  <si>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</si>
  <si>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</si>
  <si>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</si>
  <si>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</si>
  <si>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</si>
  <si>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</si>
  <si>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</si>
  <si>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</si>
  <si>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</si>
  <si>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</si>
  <si>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</si>
  <si>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</si>
  <si>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</si>
  <si>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</si>
  <si>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</si>
  <si>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</si>
  <si>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</si>
  <si>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</si>
  <si>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</si>
  <si>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</si>
  <si>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</si>
  <si>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</si>
  <si>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</si>
  <si>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</si>
  <si>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</si>
  <si>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</si>
  <si>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</si>
  <si>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</si>
  <si>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</si>
  <si>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</si>
  <si>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</si>
  <si>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</si>
  <si>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</si>
  <si>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</si>
  <si>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</si>
  <si>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</si>
  <si>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</si>
  <si>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</si>
  <si>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</si>
  <si>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</si>
  <si>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</si>
  <si>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</si>
  <si>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</si>
  <si>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</si>
  <si>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</si>
  <si>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</si>
  <si>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</si>
  <si>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</si>
  <si>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</si>
  <si>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</si>
  <si>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</si>
  <si>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</si>
  <si>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</si>
  <si>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</si>
  <si>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</si>
  <si>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</si>
  <si>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</si>
  <si>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</si>
  <si>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</si>
  <si>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</si>
  <si>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</si>
  <si>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</si>
  <si>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</si>
  <si>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</si>
  <si>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</si>
  <si>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</si>
  <si>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</si>
  <si>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</si>
  <si>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</si>
  <si>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</si>
  <si>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</si>
  <si>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</si>
  <si>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</si>
  <si>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</si>
  <si>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</si>
  <si>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</si>
  <si>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</si>
  <si>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</si>
  <si>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</si>
  <si>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</si>
  <si>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</si>
  <si>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</si>
  <si>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</si>
  <si>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</si>
  <si>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</si>
  <si>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</si>
  <si>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</si>
  <si>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</si>
  <si>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</si>
  <si>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</si>
  <si>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</si>
  <si>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</si>
  <si>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</si>
  <si>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</si>
  <si>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</si>
  <si>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</si>
  <si>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</si>
  <si>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</si>
  <si>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</si>
  <si>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</si>
  <si>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</si>
  <si>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</si>
  <si>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</si>
  <si>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</si>
  <si>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</si>
  <si>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</si>
  <si>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</si>
  <si>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</si>
  <si>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</si>
  <si>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</si>
  <si>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</si>
  <si>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</si>
  <si>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</si>
  <si>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</si>
  <si>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</si>
  <si>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</si>
  <si>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</si>
  <si>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</si>
  <si>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</si>
  <si>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</si>
  <si>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</si>
  <si>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</si>
  <si>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</si>
  <si>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</si>
  <si>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</si>
  <si>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</si>
  <si>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</si>
  <si>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</si>
  <si>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</si>
  <si>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</si>
  <si>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</si>
  <si>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</si>
  <si>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</si>
  <si>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</si>
  <si>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</si>
  <si>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</si>
  <si>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</si>
  <si>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</si>
  <si>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</si>
  <si>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</si>
  <si>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</si>
  <si>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</si>
  <si>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</si>
  <si>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</si>
  <si>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</si>
  <si>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</si>
  <si>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</si>
  <si>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</si>
  <si>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</si>
  <si>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</si>
  <si>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</si>
  <si>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</si>
  <si>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</si>
  <si>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</si>
  <si>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</si>
  <si>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</si>
  <si>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</si>
  <si>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</si>
  <si>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</si>
  <si>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</si>
  <si>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</si>
  <si>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</si>
  <si>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</si>
  <si>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</si>
  <si>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</si>
  <si>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</si>
  <si>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</si>
  <si>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</si>
  <si>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</si>
  <si>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</si>
  <si>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</si>
  <si>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</si>
  <si>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</si>
  <si>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</si>
  <si>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</si>
  <si>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</si>
  <si>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</si>
  <si>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</si>
  <si>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</si>
  <si>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</si>
  <si>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</si>
  <si>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</si>
  <si>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</si>
  <si>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</si>
  <si>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</si>
  <si>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</si>
  <si>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</si>
  <si>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</si>
  <si>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</si>
  <si>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</si>
  <si>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</si>
  <si>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</si>
  <si>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</si>
  <si>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</si>
  <si>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</si>
  <si>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</si>
  <si>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</si>
  <si>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</si>
  <si>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</si>
  <si>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</si>
  <si>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</si>
  <si>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</si>
  <si>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</si>
  <si>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</si>
  <si>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</si>
  <si>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</si>
  <si>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</si>
  <si>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</si>
  <si>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</si>
  <si>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</si>
  <si>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</si>
  <si>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</si>
  <si>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</si>
  <si>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</si>
  <si>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</si>
  <si>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</si>
  <si>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</si>
  <si>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</si>
  <si>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</si>
  <si>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</si>
  <si>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</si>
  <si>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</si>
  <si>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</si>
  <si>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</si>
  <si>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</si>
  <si>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</si>
  <si>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</si>
  <si>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</si>
  <si>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</si>
  <si>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</si>
  <si>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</si>
  <si>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</si>
  <si>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</si>
  <si>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</si>
  <si>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</si>
  <si>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</si>
  <si>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</si>
  <si>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</si>
  <si>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</si>
  <si>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</si>
  <si>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</si>
  <si>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</si>
  <si>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</si>
  <si>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</si>
  <si>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</si>
  <si>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</si>
  <si>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</si>
  <si>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</si>
  <si>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</si>
  <si>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</si>
  <si>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</si>
  <si>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</si>
  <si>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</si>
  <si>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</si>
  <si>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</si>
  <si>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</si>
  <si>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</si>
  <si>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</si>
  <si>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</si>
  <si>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</si>
  <si>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</si>
  <si>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</si>
  <si>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</si>
  <si>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</si>
  <si>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</si>
  <si>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</si>
  <si>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</si>
  <si>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</si>
  <si>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</si>
  <si>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</si>
  <si>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</si>
  <si>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</si>
  <si>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</si>
  <si>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</si>
  <si>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</si>
  <si>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</si>
  <si>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</si>
  <si>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</si>
  <si>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</si>
  <si>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</si>
  <si>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</si>
  <si>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</si>
  <si>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</si>
  <si>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</si>
  <si>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</si>
  <si>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</si>
  <si>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</si>
  <si>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</si>
  <si>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</si>
  <si>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</si>
  <si>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</si>
  <si>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</si>
  <si>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</si>
  <si>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</si>
  <si>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</si>
  <si>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</si>
  <si>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</si>
  <si>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</si>
  <si>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</si>
  <si>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</si>
  <si>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</si>
  <si>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</si>
  <si>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</si>
  <si>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</si>
  <si>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</si>
  <si>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</si>
  <si>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</si>
  <si>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</si>
  <si>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</si>
  <si>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</si>
  <si>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</si>
  <si>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</si>
  <si>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</si>
  <si>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</si>
  <si>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</si>
  <si>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</si>
  <si>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</si>
  <si>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</si>
  <si>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</si>
  <si>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</si>
  <si>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</si>
  <si>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</si>
  <si>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</si>
  <si>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</si>
  <si>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</si>
  <si>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</si>
  <si>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</si>
  <si>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</si>
  <si>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</si>
  <si>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</si>
  <si>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</si>
  <si>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</si>
  <si>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</si>
  <si>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</si>
  <si>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</si>
  <si>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</si>
  <si>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</si>
  <si>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</si>
  <si>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</si>
  <si>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</si>
  <si>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</si>
  <si>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</si>
  <si>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</si>
  <si>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</si>
  <si>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</si>
  <si>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</si>
  <si>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</si>
  <si>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</si>
  <si>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</si>
  <si>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</si>
  <si>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</si>
  <si>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</si>
  <si>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</si>
  <si>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</si>
  <si>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</si>
  <si>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</si>
  <si>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</si>
  <si>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</si>
  <si>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</si>
  <si>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</si>
  <si>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</si>
  <si>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</si>
  <si>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</si>
  <si>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</si>
  <si>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</si>
  <si>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</si>
  <si>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</si>
  <si>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</si>
  <si>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</si>
  <si>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</si>
  <si>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</si>
  <si>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</si>
  <si>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</si>
  <si>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</si>
  <si>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</si>
  <si>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</si>
  <si>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</si>
  <si>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</si>
  <si>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</si>
  <si>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</si>
  <si>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</si>
  <si>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</si>
  <si>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</si>
  <si>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</si>
  <si>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</si>
  <si>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</si>
  <si>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</si>
  <si>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</si>
  <si>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</si>
  <si>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</si>
  <si>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</si>
  <si>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</si>
  <si>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</si>
  <si>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</si>
  <si>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</si>
  <si>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</si>
  <si>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</si>
  <si>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</si>
  <si>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</si>
  <si>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</si>
  <si>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</si>
  <si>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</si>
  <si>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</si>
  <si>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</si>
  <si>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</si>
  <si>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</si>
  <si>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</si>
  <si>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</si>
  <si>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</si>
  <si>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</si>
  <si>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</si>
  <si>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</si>
  <si>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</si>
  <si>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</si>
  <si>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</si>
  <si>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</si>
  <si>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</si>
  <si>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</si>
  <si>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</si>
  <si>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</si>
  <si>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</si>
  <si>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</si>
  <si>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</si>
  <si>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</si>
  <si>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</si>
  <si>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</si>
  <si>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</si>
  <si>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</si>
  <si>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</si>
  <si>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</si>
  <si>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</si>
  <si>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</si>
  <si>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</si>
  <si>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</si>
  <si>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</si>
  <si>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</si>
  <si>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</si>
  <si>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</si>
  <si>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</si>
  <si>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</si>
  <si>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</si>
  <si>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</si>
  <si>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</si>
  <si>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</si>
  <si>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</si>
  <si>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</si>
  <si>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</si>
  <si>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</si>
  <si>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</si>
  <si>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</si>
  <si>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</si>
  <si>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</si>
  <si>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</si>
  <si>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</si>
  <si>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</si>
  <si>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</si>
  <si>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</si>
  <si>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</si>
  <si>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</si>
  <si>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</si>
  <si>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</si>
  <si>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</si>
  <si>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</si>
  <si>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</si>
  <si>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</si>
  <si>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</si>
  <si>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</si>
  <si>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</si>
  <si>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</si>
  <si>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</si>
  <si>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</si>
  <si>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</si>
  <si>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</si>
  <si>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</si>
  <si>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</si>
  <si>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</si>
  <si>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</si>
  <si>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</si>
  <si>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</si>
  <si>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</si>
  <si>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</si>
  <si>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</si>
  <si>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</si>
  <si>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</si>
  <si>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</si>
  <si>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</si>
  <si>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</si>
  <si>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</si>
  <si>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</si>
  <si>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</si>
  <si>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</si>
  <si>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</si>
  <si>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</si>
  <si>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</si>
  <si>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</si>
  <si>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</si>
  <si>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</si>
  <si>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</si>
  <si>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</si>
  <si>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</si>
  <si>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</si>
  <si>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</si>
  <si>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</si>
  <si>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</si>
  <si>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</si>
  <si>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</si>
  <si>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</si>
  <si>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</si>
  <si>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</si>
  <si>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</si>
  <si>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</si>
  <si>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</si>
  <si>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</si>
  <si>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</si>
  <si>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</si>
  <si>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</si>
  <si>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</si>
  <si>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</si>
  <si>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</si>
  <si>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</si>
  <si>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</si>
  <si>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</si>
  <si>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</si>
  <si>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</si>
  <si>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</si>
  <si>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</si>
  <si>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</si>
  <si>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</si>
  <si>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</si>
  <si>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</si>
  <si>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</si>
  <si>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</si>
  <si>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</si>
  <si>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</si>
  <si>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</si>
  <si>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</si>
  <si>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</si>
  <si>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</si>
  <si>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</si>
  <si>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</si>
  <si>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</si>
  <si>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</si>
  <si>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</si>
  <si>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</si>
  <si>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</si>
  <si>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</si>
  <si>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</si>
  <si>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</si>
  <si>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</si>
  <si>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</si>
  <si>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</si>
  <si>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</si>
  <si>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</si>
  <si>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</si>
  <si>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</si>
  <si>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</si>
  <si>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</si>
  <si>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</si>
  <si>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</si>
  <si>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</si>
  <si>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</si>
  <si>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</si>
  <si>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</si>
  <si>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</si>
  <si>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</si>
  <si>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</si>
  <si>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</si>
  <si>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</si>
  <si>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</si>
  <si>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</si>
  <si>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</si>
  <si>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</si>
  <si>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</si>
  <si>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</si>
  <si>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</si>
  <si>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</si>
  <si>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</si>
  <si>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</si>
  <si>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</si>
  <si>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</si>
  <si>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</si>
  <si>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</si>
  <si>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</si>
  <si>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</si>
  <si>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</si>
  <si>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</si>
  <si>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</si>
  <si>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</si>
  <si>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</si>
  <si>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</si>
  <si>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</si>
  <si>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</si>
  <si>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</si>
  <si>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</si>
  <si>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</si>
  <si>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</si>
  <si>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</si>
  <si>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</si>
  <si>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</si>
  <si>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</si>
  <si>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</si>
  <si>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</si>
  <si>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</si>
  <si>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</si>
  <si>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</si>
  <si>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</si>
  <si>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</si>
  <si>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</si>
  <si>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</si>
  <si>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</si>
  <si>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</si>
  <si>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</si>
  <si>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</si>
  <si>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</si>
  <si>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</si>
  <si>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</si>
  <si>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</si>
  <si>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</si>
  <si>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</si>
  <si>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</si>
  <si>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</si>
  <si>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</si>
  <si>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</si>
  <si>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</si>
  <si>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</si>
  <si>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</si>
  <si>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</si>
  <si>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</si>
  <si>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</si>
  <si>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</si>
  <si>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</si>
  <si>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</si>
  <si>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</si>
  <si>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</si>
  <si>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</si>
  <si>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</si>
  <si>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</si>
  <si>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</si>
  <si>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</si>
  <si>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</si>
  <si>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</si>
  <si>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</si>
  <si>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</si>
  <si>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</si>
  <si>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</si>
  <si>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</si>
  <si>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</si>
  <si>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</si>
  <si>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</si>
  <si>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</si>
  <si>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</si>
  <si>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</si>
  <si>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</si>
  <si>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</si>
  <si>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</si>
  <si>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</si>
  <si>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</si>
  <si>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</si>
  <si>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</si>
  <si>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</si>
  <si>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</si>
  <si>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</si>
  <si>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</si>
  <si>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</si>
  <si>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</si>
  <si>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</si>
  <si>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</si>
  <si>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</si>
  <si>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</si>
  <si>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</si>
  <si>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</si>
  <si>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</si>
  <si>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</si>
  <si>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</si>
  <si>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</si>
  <si>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</si>
  <si>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</si>
  <si>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</si>
  <si>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</si>
  <si>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</si>
  <si>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</si>
  <si>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</si>
  <si>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</si>
  <si>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</si>
  <si>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</si>
  <si>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</si>
  <si>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</si>
  <si>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</si>
  <si>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</si>
  <si>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</si>
  <si>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</si>
  <si>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</si>
  <si>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</si>
  <si>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</si>
  <si>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</si>
  <si>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</si>
  <si>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</si>
  <si>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</si>
  <si>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</si>
  <si>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</si>
  <si>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</si>
  <si>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</si>
  <si>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</si>
  <si>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</si>
  <si>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</si>
  <si>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</si>
  <si>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</si>
  <si>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</si>
  <si>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</si>
  <si>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</si>
  <si>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</si>
  <si>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</si>
  <si>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</si>
  <si>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</si>
  <si>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</si>
  <si>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</si>
  <si>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</si>
  <si>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</si>
  <si>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</si>
  <si>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</si>
  <si>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</si>
  <si>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</si>
  <si>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</si>
  <si>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</si>
  <si>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</si>
  <si>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</si>
  <si>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</si>
  <si>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</si>
  <si>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</si>
  <si>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</si>
  <si>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</si>
  <si>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</si>
  <si>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</si>
  <si>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</si>
  <si>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</si>
  <si>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</si>
  <si>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</si>
  <si>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</si>
  <si>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</si>
  <si>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</si>
  <si>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</si>
  <si>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</si>
  <si>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</si>
  <si>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</si>
  <si>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</si>
  <si>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</si>
  <si>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</si>
  <si>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</si>
  <si>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</si>
  <si>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</si>
  <si>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</si>
  <si>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</si>
  <si>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</si>
  <si>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</si>
  <si>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</si>
  <si>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</si>
  <si>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</si>
  <si>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</si>
  <si>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</si>
  <si>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</si>
  <si>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</si>
  <si>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</si>
  <si>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</si>
  <si>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</si>
  <si>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</si>
  <si>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</si>
  <si>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</si>
  <si>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</si>
  <si>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</si>
  <si>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</si>
  <si>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</si>
  <si>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</si>
  <si>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</si>
  <si>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</si>
  <si>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</si>
  <si>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</si>
  <si>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</si>
  <si>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</si>
  <si>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</si>
  <si>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</si>
  <si>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</si>
  <si>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</si>
  <si>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</si>
  <si>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</si>
  <si>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</si>
  <si>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</si>
  <si>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</si>
  <si>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</si>
  <si>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</si>
  <si>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</si>
  <si>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</si>
  <si>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</si>
  <si>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</si>
  <si>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</si>
  <si>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</si>
  <si>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</si>
  <si>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</si>
  <si>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</si>
  <si>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</si>
  <si>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</si>
  <si>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</si>
  <si>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</si>
  <si>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</si>
  <si>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</si>
  <si>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</si>
  <si>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</si>
  <si>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</si>
  <si>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</si>
  <si>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</si>
  <si>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</si>
  <si>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</si>
  <si>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</si>
  <si>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</si>
  <si>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</si>
  <si>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</si>
  <si>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</si>
  <si>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</si>
  <si>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</si>
  <si>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</si>
  <si>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</si>
  <si>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</si>
  <si>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</si>
  <si>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</si>
  <si>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</si>
  <si>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</si>
  <si>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</si>
  <si>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</si>
  <si>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</si>
  <si>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</si>
  <si>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</si>
  <si>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</si>
  <si>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</si>
  <si>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</si>
  <si>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</si>
  <si>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</si>
  <si>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</si>
  <si>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</si>
  <si>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</si>
  <si>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</si>
  <si>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</si>
  <si>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</si>
  <si>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</si>
  <si>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</si>
  <si>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</si>
  <si>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</si>
  <si>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</si>
  <si>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</si>
  <si>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</si>
  <si>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</si>
  <si>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</si>
  <si>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</si>
  <si>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</si>
  <si>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</si>
  <si>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</si>
  <si>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</si>
  <si>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</si>
  <si>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</si>
  <si>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</si>
  <si>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</si>
  <si>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</si>
  <si>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</si>
  <si>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</si>
  <si>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</si>
  <si>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</si>
  <si>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</si>
  <si>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</si>
  <si>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</si>
  <si>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</si>
  <si>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</si>
  <si>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</si>
  <si>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</si>
  <si>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</si>
  <si>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</si>
  <si>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</si>
  <si>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</si>
  <si>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</si>
  <si>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</si>
  <si>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</si>
  <si>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</si>
  <si>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</si>
  <si>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</si>
  <si>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</si>
  <si>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</si>
  <si>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</si>
  <si>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</si>
  <si>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</si>
  <si>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</si>
  <si>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</si>
  <si>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</si>
  <si>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</si>
  <si>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</si>
  <si>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</si>
  <si>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</si>
  <si>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</si>
  <si>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</si>
  <si>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</si>
  <si>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</si>
  <si>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</si>
  <si>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</si>
  <si>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</si>
  <si>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</si>
  <si>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</si>
  <si>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</si>
  <si>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</si>
  <si>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</si>
  <si>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</si>
  <si>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</si>
  <si>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</si>
  <si>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</si>
  <si>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</si>
  <si>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</si>
  <si>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</si>
  <si>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</si>
  <si>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</si>
  <si>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</si>
  <si>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</si>
  <si>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</si>
  <si>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</si>
  <si>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</si>
  <si>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</si>
  <si>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</si>
  <si>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</si>
  <si>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</si>
  <si>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</si>
  <si>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</si>
  <si>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</si>
  <si>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</si>
  <si>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</si>
  <si>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</si>
  <si>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</si>
  <si>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</si>
  <si>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</si>
  <si>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</si>
  <si>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</si>
  <si>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</si>
  <si>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</si>
  <si>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</si>
  <si>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</si>
  <si>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</si>
  <si>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</si>
  <si>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</si>
  <si>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</si>
  <si>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</si>
  <si>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</si>
  <si>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</si>
  <si>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</si>
  <si>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</si>
  <si>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</si>
  <si>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</si>
  <si>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</si>
  <si>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</si>
  <si>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</si>
  <si>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</si>
  <si>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</si>
  <si>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</si>
  <si>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</si>
  <si>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</si>
  <si>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</si>
  <si>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</si>
  <si>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</si>
  <si>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</si>
  <si>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</si>
  <si>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</si>
  <si>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</si>
  <si>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</si>
  <si>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</si>
  <si>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</si>
  <si>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</si>
  <si>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</si>
  <si>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</si>
  <si>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</si>
  <si>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</si>
  <si>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</si>
  <si>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</si>
  <si>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</si>
  <si>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</si>
  <si>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</si>
  <si>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</si>
  <si>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</si>
  <si>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</si>
  <si>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</si>
  <si>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</si>
  <si>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</si>
  <si>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</si>
  <si>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</si>
  <si>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</si>
  <si>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</si>
  <si>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</si>
  <si>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</si>
  <si>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</si>
  <si>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</si>
  <si>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</si>
  <si>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</si>
  <si>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</si>
  <si>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</si>
  <si>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</si>
  <si>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</si>
  <si>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</si>
  <si>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</si>
  <si>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</si>
  <si>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</si>
  <si>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</si>
  <si>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</si>
  <si>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</si>
  <si>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</si>
  <si>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</si>
  <si>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</si>
  <si>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</si>
  <si>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</si>
  <si>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</si>
  <si>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</si>
  <si>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</si>
  <si>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</si>
  <si>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</si>
  <si>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</si>
  <si>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</si>
  <si>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</si>
  <si>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</si>
  <si>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</si>
  <si>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</si>
  <si>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</si>
  <si>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</si>
  <si>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</si>
  <si>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</si>
  <si>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</si>
  <si>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</si>
  <si>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</si>
  <si>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</si>
  <si>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</si>
  <si>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</si>
  <si>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</si>
  <si>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</si>
  <si>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</si>
  <si>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</si>
  <si>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</si>
  <si>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</si>
  <si>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</si>
  <si>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</si>
  <si>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</si>
  <si>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</si>
  <si>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</si>
  <si>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</si>
  <si>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</si>
  <si>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</si>
  <si>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</si>
  <si>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</si>
  <si>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</si>
  <si>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</si>
  <si>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</si>
  <si>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</si>
  <si>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</si>
  <si>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</si>
  <si>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</si>
  <si>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</si>
  <si>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</si>
  <si>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</si>
  <si>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</si>
  <si>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</si>
  <si>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</si>
  <si>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</si>
  <si>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</si>
  <si>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</si>
  <si>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</si>
  <si>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</si>
  <si>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</si>
  <si>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</si>
  <si>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</si>
  <si>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</si>
  <si>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</si>
  <si>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</si>
  <si>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</si>
  <si>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</si>
  <si>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</si>
  <si>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</si>
  <si>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</si>
  <si>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</si>
  <si>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</si>
  <si>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</si>
  <si>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</si>
  <si>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</si>
  <si>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</si>
  <si>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</si>
  <si>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</si>
  <si>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</si>
  <si>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</si>
  <si>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</si>
  <si>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</si>
  <si>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</si>
  <si>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</si>
  <si>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</si>
  <si>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</si>
  <si>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</si>
  <si>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</si>
  <si>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</si>
  <si>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</si>
  <si>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</si>
  <si>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</si>
  <si>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</si>
  <si>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</si>
  <si>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</si>
  <si>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</si>
  <si>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</si>
  <si>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</si>
  <si>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</si>
  <si>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</si>
  <si>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</si>
  <si>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</si>
  <si>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</si>
  <si>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</si>
  <si>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</si>
  <si>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</si>
  <si>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</si>
  <si>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</si>
  <si>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</si>
  <si>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</si>
  <si>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</si>
  <si>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</si>
  <si>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</si>
  <si>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</si>
  <si>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</si>
  <si>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</si>
  <si>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</si>
  <si>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</si>
  <si>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</si>
  <si>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</si>
  <si>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</si>
  <si>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</si>
  <si>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</si>
  <si>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</si>
  <si>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</si>
  <si>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</si>
  <si>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</si>
  <si>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</si>
  <si>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</si>
  <si>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</si>
  <si>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</si>
  <si>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</si>
  <si>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</si>
  <si>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</si>
  <si>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</si>
  <si>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</si>
  <si>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</si>
  <si>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</si>
  <si>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</si>
  <si>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</si>
  <si>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</si>
  <si>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</si>
  <si>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</si>
  <si>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</si>
  <si>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</si>
  <si>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</si>
  <si>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</si>
  <si>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</si>
  <si>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</si>
  <si>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</si>
  <si>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</si>
  <si>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</si>
  <si>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</si>
  <si>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</si>
  <si>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</si>
  <si>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</si>
  <si>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</si>
  <si>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</si>
  <si>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</si>
  <si>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</si>
  <si>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</si>
  <si>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</si>
  <si>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</si>
  <si>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</si>
  <si>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</si>
  <si>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</si>
  <si>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</si>
  <si>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</si>
  <si>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</si>
  <si>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</si>
  <si>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</si>
  <si>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</si>
  <si>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</si>
  <si>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</si>
  <si>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</si>
  <si>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</si>
  <si>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</si>
  <si>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</si>
  <si>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</si>
  <si>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</si>
  <si>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</si>
  <si>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</si>
  <si>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</si>
  <si>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</si>
  <si>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</si>
  <si>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</si>
  <si>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</si>
  <si>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</si>
  <si>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</si>
  <si>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</si>
  <si>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</si>
  <si>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</si>
  <si>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</si>
  <si>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</si>
  <si>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</si>
  <si>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</si>
  <si>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</si>
  <si>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</si>
  <si>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</si>
  <si>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</si>
  <si>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</si>
  <si>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</si>
  <si>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</si>
  <si>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</si>
  <si>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</si>
  <si>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</si>
  <si>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</si>
  <si>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</si>
  <si>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</si>
  <si>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</si>
  <si>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</si>
  <si>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</si>
  <si>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</si>
  <si>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</si>
  <si>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</si>
  <si>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</si>
  <si>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</si>
  <si>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</si>
  <si>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</si>
  <si>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</si>
  <si>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</si>
  <si>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</si>
  <si>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</si>
  <si>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</si>
  <si>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</si>
  <si>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</si>
  <si>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</si>
  <si>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</si>
  <si>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</si>
  <si>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</si>
  <si>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</si>
  <si>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</si>
  <si>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</si>
  <si>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</si>
  <si>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</si>
  <si>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</si>
  <si>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</si>
  <si>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</si>
  <si>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</si>
  <si>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</si>
  <si>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</si>
  <si>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</si>
  <si>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</si>
  <si>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</si>
  <si>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</si>
  <si>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</si>
  <si>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</si>
  <si>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</si>
  <si>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</si>
  <si>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</si>
  <si>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</si>
  <si>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</si>
  <si>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</si>
  <si>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</si>
  <si>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</si>
  <si>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</si>
  <si>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</si>
  <si>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</si>
  <si>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</si>
  <si>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</si>
  <si>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</si>
  <si>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</si>
  <si>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</si>
  <si>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</si>
  <si>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</si>
  <si>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</si>
  <si>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</si>
  <si>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</si>
  <si>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</si>
  <si>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</si>
  <si>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</si>
  <si>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</si>
  <si>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</si>
  <si>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</si>
  <si>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</si>
  <si>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</si>
  <si>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</si>
  <si>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</si>
  <si>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</si>
  <si>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</si>
  <si>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</si>
  <si>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</si>
  <si>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</si>
  <si>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</si>
  <si>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</si>
  <si>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</si>
  <si>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</si>
  <si>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</si>
  <si>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</si>
  <si>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</si>
  <si>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</si>
  <si>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</si>
  <si>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</si>
  <si>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</si>
  <si>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</si>
  <si>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</si>
  <si>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</si>
  <si>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</si>
  <si>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</si>
  <si>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</si>
  <si>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</si>
  <si>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</si>
  <si>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</si>
  <si>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</si>
  <si>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</si>
  <si>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</si>
  <si>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</si>
  <si>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</si>
  <si>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</si>
  <si>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</si>
  <si>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</si>
  <si>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</si>
  <si>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</si>
  <si>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</si>
  <si>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</si>
  <si>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</si>
  <si>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</si>
  <si>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</si>
  <si>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</si>
  <si>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</si>
  <si>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</si>
  <si>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</si>
  <si>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</si>
  <si>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</si>
  <si>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</si>
  <si>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</si>
  <si>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</si>
  <si>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</si>
  <si>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</si>
  <si>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</si>
  <si>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</si>
  <si>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</si>
  <si>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</si>
  <si>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</si>
  <si>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</si>
  <si>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</si>
  <si>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</si>
  <si>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</si>
  <si>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</si>
  <si>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</si>
  <si>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</si>
  <si>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</si>
  <si>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</si>
  <si>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</si>
  <si>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</si>
  <si>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</si>
  <si>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</si>
  <si>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</si>
  <si>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</si>
  <si>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</si>
  <si>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</si>
  <si>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</si>
  <si>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</si>
  <si>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</si>
  <si>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</si>
  <si>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</si>
  <si>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</si>
  <si>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</si>
  <si>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</si>
  <si>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</si>
  <si>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</si>
  <si>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</si>
  <si>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</si>
  <si>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</si>
  <si>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</si>
  <si>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</si>
  <si>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</si>
  <si>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</si>
  <si>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</si>
  <si>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</si>
  <si>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</si>
  <si>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</si>
  <si>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</si>
  <si>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</si>
  <si>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</si>
  <si>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</si>
  <si>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</si>
  <si>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</si>
  <si>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</si>
  <si>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</si>
  <si>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</si>
  <si>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</si>
  <si>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</si>
  <si>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</si>
  <si>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</si>
  <si>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</si>
  <si>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</si>
  <si>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</si>
  <si>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</si>
  <si>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</si>
  <si>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</si>
  <si>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</si>
  <si>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</si>
  <si>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</si>
  <si>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</si>
  <si>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</si>
  <si>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</si>
  <si>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</si>
  <si>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</si>
  <si>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</si>
  <si>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</si>
  <si>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</si>
  <si>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</si>
  <si>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</si>
  <si>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</si>
  <si>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</si>
  <si>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</si>
  <si>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</si>
  <si>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</si>
  <si>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</si>
  <si>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</si>
  <si>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</si>
  <si>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</si>
  <si>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</si>
  <si>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</si>
  <si>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</si>
  <si>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</si>
  <si>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</si>
  <si>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</si>
  <si>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</si>
  <si>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</si>
  <si>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</si>
  <si>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</si>
  <si>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</si>
  <si>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</si>
  <si>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</si>
  <si>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</si>
  <si>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</si>
  <si>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</si>
  <si>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</si>
  <si>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</si>
  <si>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</si>
  <si>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</si>
  <si>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</si>
  <si>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</si>
  <si>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</si>
  <si>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</si>
  <si>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</si>
  <si>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</si>
  <si>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</si>
  <si>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</si>
  <si>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</si>
  <si>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</si>
  <si>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</si>
  <si>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</si>
  <si>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</si>
  <si>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</si>
  <si>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</si>
  <si>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</si>
  <si>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</si>
  <si>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</si>
  <si>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</si>
  <si>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</si>
  <si>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</si>
  <si>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</si>
  <si>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</si>
  <si>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</si>
  <si>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</si>
  <si>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</si>
  <si>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</si>
  <si>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</si>
  <si>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</si>
  <si>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</si>
  <si>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</si>
  <si>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</si>
  <si>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</si>
  <si>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</si>
  <si>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</si>
  <si>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</si>
  <si>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</si>
  <si>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</si>
  <si>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</si>
  <si>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</si>
  <si>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</si>
  <si>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</si>
  <si>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</si>
  <si>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</si>
  <si>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</si>
  <si>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</si>
  <si>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</si>
  <si>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</si>
  <si>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</si>
  <si>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</si>
  <si>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</si>
  <si>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</si>
  <si>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</si>
  <si>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</si>
  <si>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</si>
  <si>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</si>
  <si>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</si>
  <si>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</si>
  <si>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</si>
  <si>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</si>
  <si>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</si>
  <si>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</si>
  <si>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</si>
  <si>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</si>
  <si>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</si>
  <si>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</si>
  <si>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</si>
  <si>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</si>
  <si>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</si>
  <si>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</si>
  <si>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</si>
  <si>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</si>
  <si>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</si>
  <si>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</si>
  <si>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</si>
  <si>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</si>
  <si>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</si>
  <si>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</si>
  <si>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</si>
  <si>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</si>
  <si>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</si>
  <si>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</si>
  <si>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</si>
  <si>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</si>
  <si>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</si>
  <si>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</si>
  <si>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</si>
  <si>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</si>
  <si>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</si>
  <si>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</si>
  <si>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</si>
  <si>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</si>
  <si>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</si>
  <si>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</si>
  <si>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</si>
  <si>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</si>
  <si>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</si>
  <si>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</si>
  <si>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</si>
  <si>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</si>
  <si>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</si>
  <si>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</si>
  <si>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</si>
  <si>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</si>
  <si>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</si>
  <si>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</si>
  <si>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</si>
  <si>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</si>
  <si>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</si>
  <si>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</si>
  <si>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</si>
  <si>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</si>
  <si>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</si>
  <si>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</si>
  <si>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</si>
  <si>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</si>
  <si>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</si>
  <si>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</si>
  <si>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</si>
  <si>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</si>
  <si>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</si>
  <si>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</si>
  <si>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</si>
  <si>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</si>
  <si>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</si>
  <si>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</si>
  <si>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</si>
  <si>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</si>
  <si>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</si>
  <si>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</si>
  <si>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</si>
  <si>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</si>
  <si>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</si>
  <si>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</si>
  <si>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</si>
  <si>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</si>
  <si>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</si>
  <si>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</si>
  <si>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</si>
  <si>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</si>
  <si>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</si>
  <si>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</si>
  <si>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</si>
  <si>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</si>
  <si>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</si>
  <si>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</si>
  <si>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</si>
  <si>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</si>
  <si>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</si>
  <si>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</si>
  <si>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</si>
  <si>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</si>
  <si>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</si>
  <si>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</si>
  <si>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</si>
  <si>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</si>
  <si>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</si>
  <si>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</si>
  <si>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</si>
  <si>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</si>
  <si>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</si>
  <si>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</si>
  <si>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</si>
  <si>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</si>
  <si>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</si>
  <si>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</si>
  <si>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</si>
  <si>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</si>
  <si>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</si>
  <si>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</si>
  <si>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</si>
  <si>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</si>
  <si>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</si>
  <si>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</si>
  <si>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</si>
  <si>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</si>
  <si>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</si>
  <si>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</si>
  <si>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</si>
  <si>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</si>
  <si>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</si>
  <si>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</si>
  <si>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</si>
  <si>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</si>
  <si>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</si>
  <si>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</si>
  <si>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</si>
  <si>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</si>
  <si>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</si>
  <si>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</si>
  <si>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</si>
  <si>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</si>
  <si>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</si>
  <si>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</si>
  <si>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</si>
  <si>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</si>
  <si>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</si>
  <si>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</si>
  <si>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</si>
  <si>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</si>
  <si>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</si>
  <si>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</si>
  <si>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</si>
  <si>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</si>
  <si>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</si>
  <si>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</si>
  <si>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</si>
  <si>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</si>
  <si>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</si>
  <si>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</si>
  <si>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</si>
  <si>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</si>
  <si>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</si>
  <si>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</si>
  <si>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</si>
  <si>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</si>
  <si>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</si>
  <si>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</si>
  <si>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</si>
  <si>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</si>
  <si>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</si>
  <si>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</si>
  <si>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</si>
  <si>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</si>
  <si>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</si>
  <si>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</si>
  <si>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</si>
  <si>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</si>
  <si>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</si>
  <si>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</si>
  <si>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</si>
  <si>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</si>
  <si>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</si>
  <si>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</si>
  <si>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</si>
  <si>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</si>
  <si>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</si>
  <si>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</si>
  <si>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</si>
  <si>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</si>
  <si>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</si>
  <si>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</si>
  <si>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</si>
  <si>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</si>
  <si>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</si>
  <si>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</si>
  <si>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</si>
  <si>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</si>
  <si>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</si>
  <si>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</si>
  <si>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</si>
  <si>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</si>
  <si>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</si>
  <si>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</si>
  <si>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</si>
  <si>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</si>
  <si>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</si>
  <si>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</si>
  <si>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</si>
  <si>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</si>
  <si>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</si>
  <si>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</si>
  <si>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</si>
  <si>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</si>
  <si>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</si>
  <si>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</si>
  <si>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</si>
  <si>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</si>
  <si>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</si>
  <si>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</si>
  <si>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</si>
  <si>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</si>
  <si>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</si>
  <si>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</si>
  <si>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</si>
  <si>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</si>
  <si>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</si>
  <si>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</si>
  <si>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</si>
  <si>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</si>
  <si>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</si>
  <si>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</si>
  <si>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</si>
  <si>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</si>
  <si>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</si>
  <si>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</si>
  <si>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</si>
  <si>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</si>
  <si>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</si>
  <si>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</si>
  <si>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</si>
  <si>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</si>
  <si>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</si>
  <si>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</si>
  <si>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</si>
  <si>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</si>
  <si>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</si>
  <si>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</si>
  <si>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</si>
  <si>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</si>
  <si>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</si>
  <si>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</si>
  <si>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</si>
  <si>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</si>
  <si>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</si>
  <si>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</si>
  <si>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</si>
  <si>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</si>
  <si>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</si>
  <si>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</si>
  <si>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</si>
  <si>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</si>
  <si>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</si>
  <si>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</si>
  <si>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</si>
  <si>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</si>
  <si>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</si>
  <si>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</si>
  <si>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</si>
  <si>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</si>
  <si>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</si>
  <si>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</si>
  <si>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</si>
  <si>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</si>
  <si>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</si>
  <si>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</si>
  <si>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</si>
  <si>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</si>
  <si>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</si>
  <si>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</si>
  <si>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</si>
  <si>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</si>
  <si>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</si>
  <si>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</si>
  <si>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</si>
  <si>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</si>
  <si>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</si>
  <si>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</si>
  <si>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</si>
  <si>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</si>
  <si>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</si>
  <si>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</si>
  <si>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</si>
  <si>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</si>
  <si>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</si>
  <si>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</si>
  <si>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</si>
  <si>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</si>
  <si>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</si>
  <si>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</si>
  <si>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</si>
  <si>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</si>
  <si>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</si>
  <si>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</si>
  <si>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</si>
  <si>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</si>
  <si>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</si>
  <si>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</si>
  <si>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</si>
  <si>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</si>
  <si>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</si>
  <si>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</si>
  <si>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</si>
  <si>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</si>
  <si>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</si>
  <si>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</si>
  <si>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</si>
  <si>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</si>
  <si>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</si>
  <si>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</si>
  <si>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</si>
  <si>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</si>
  <si>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</si>
  <si>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</si>
  <si>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</si>
  <si>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</si>
  <si>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</si>
  <si>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</si>
  <si>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</si>
  <si>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</si>
  <si>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</si>
  <si>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</si>
  <si>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</si>
  <si>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</si>
  <si>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</si>
  <si>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</si>
  <si>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</si>
  <si>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</si>
  <si>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</si>
  <si>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</si>
  <si>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</si>
  <si>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</si>
  <si>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</si>
  <si>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</si>
  <si>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</si>
  <si>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</si>
  <si>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</si>
  <si>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</si>
  <si>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</si>
  <si>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</si>
  <si>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</si>
  <si>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</si>
  <si>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</si>
  <si>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</si>
  <si>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</si>
  <si>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</si>
  <si>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</si>
  <si>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</si>
  <si>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</si>
  <si>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</si>
  <si>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</si>
  <si>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</si>
  <si>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</si>
  <si>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</si>
  <si>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</si>
  <si>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</si>
  <si>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</si>
  <si>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</si>
  <si>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</si>
  <si>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</si>
  <si>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</si>
  <si>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</si>
  <si>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</si>
  <si>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</si>
  <si>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</si>
  <si>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</si>
  <si>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</si>
  <si>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</si>
  <si>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</si>
  <si>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</si>
  <si>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</si>
  <si>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</si>
  <si>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</si>
  <si>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</si>
  <si>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</si>
  <si>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</si>
  <si>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</si>
  <si>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</si>
  <si>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</si>
  <si>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</si>
  <si>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</si>
  <si>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</si>
  <si>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</si>
  <si>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</si>
  <si>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</si>
  <si>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</si>
  <si>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</si>
  <si>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</si>
  <si>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</si>
  <si>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</si>
  <si>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</si>
  <si>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</si>
  <si>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</si>
  <si>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</si>
  <si>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</si>
  <si>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</si>
  <si>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</si>
  <si>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</si>
  <si>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</si>
  <si>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</si>
  <si>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</si>
  <si>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</si>
  <si>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</si>
  <si>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</si>
  <si>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</si>
  <si>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</si>
  <si>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</si>
  <si>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</si>
  <si>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</si>
  <si>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</si>
  <si>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</si>
  <si>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</si>
  <si>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</si>
  <si>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</si>
  <si>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</si>
  <si>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</si>
  <si>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Customer_Name</t>
  </si>
  <si>
    <t>Segment</t>
  </si>
  <si>
    <t>Region</t>
  </si>
  <si>
    <t>State</t>
  </si>
  <si>
    <t>City</t>
  </si>
  <si>
    <t>Category</t>
  </si>
  <si>
    <t>Sub_Category</t>
  </si>
  <si>
    <t>Ship_Mode</t>
  </si>
  <si>
    <t>Payment_Status</t>
  </si>
  <si>
    <t>Order_Status</t>
  </si>
  <si>
    <t/>
  </si>
  <si>
    <t>Clean_Order_Date</t>
  </si>
  <si>
    <t>Clean_Ship_Date</t>
  </si>
  <si>
    <t>Date_Issue_Flag</t>
  </si>
  <si>
    <t>Order_Date_Valid</t>
  </si>
  <si>
    <t>Ship_Date_Valid</t>
  </si>
  <si>
    <t>Shipping_Delay_Days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</si>
</sst>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theme="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0" applyFont="1" applyFill="1" applyBorder="1"/>
    <xf numFmtId="14" fontId="0" fillId="0" borderId="0" xfId="0" applyNumberFormat="1"/>
    <xf numFmtId="1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BAE5-DA41-496E-A0C3-CD0DE4A84660}">
  <dimension ref="A1:U933"/>
  <sheetViews>
    <sheetView zoomScale="73" workbookViewId="0"/>
  </sheetViews>
  <sheetFormatPr defaultRowHeight="14"/>
  <cols>
    <col min="1" max="21" width="16" customWidth="1"/>
  </cols>
  <sheetData>
    <row r="1" spans="1:21" ht="18.64999999999999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</row>
    <row r="15" spans="1:21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</row>
    <row r="25" spans="1:21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</row>
    <row r="27" spans="1:21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</row>
    <row r="29" spans="1:21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</row>
    <row r="30" spans="1:21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</row>
    <row r="34" spans="1:21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</row>
    <row r="38" spans="1:21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</row>
    <row r="42" spans="1:21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</row>
    <row r="44" spans="1:21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</row>
    <row r="48" spans="1:21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</row>
    <row r="55" spans="1:21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</row>
    <row r="57" spans="1:21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</row>
    <row r="61" spans="1:21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</row>
    <row r="66" spans="1:21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</row>
    <row r="71" spans="1:21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</row>
    <row r="83" spans="1:21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</row>
    <row r="85" spans="1:21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</row>
    <row r="92" spans="1:21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</row>
    <row r="97" spans="1:21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</row>
    <row r="100" spans="1:21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</row>
    <row r="114" spans="1:21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</row>
    <row r="117" spans="1:21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</row>
    <row r="119" spans="1:21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</row>
    <row r="127" spans="1:21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</row>
    <row r="133" spans="1:21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</row>
    <row r="135" spans="1:21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</row>
    <row r="137" spans="1:21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</row>
    <row r="154" spans="1:21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</row>
    <row r="155" spans="1:21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</row>
    <row r="159" spans="1:21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</row>
    <row r="162" spans="1:21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</row>
    <row r="163" spans="1:21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</row>
    <row r="164" spans="1:21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</row>
    <row r="165" spans="1:21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</row>
    <row r="166" spans="1:21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</row>
    <row r="172" spans="1:21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</row>
    <row r="177" spans="1:21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</row>
    <row r="192" spans="1:21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</row>
    <row r="193" spans="1:21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</row>
    <row r="197" spans="1:21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</row>
    <row r="201" spans="1:21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</row>
    <row r="203" spans="1:21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</row>
    <row r="213" spans="1:21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</row>
    <row r="219" spans="1:21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</row>
    <row r="226" spans="1:21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</row>
    <row r="244" spans="1:21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</row>
    <row r="246" spans="1:21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</row>
    <row r="253" spans="1:21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</row>
    <row r="255" spans="1:21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</row>
    <row r="263" spans="1:21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</row>
    <row r="264" spans="1:21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</row>
    <row r="265" spans="1:21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</row>
    <row r="266" spans="1:21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</row>
    <row r="268" spans="1:21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</row>
    <row r="274" spans="1:21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</row>
    <row r="277" spans="1:21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</row>
    <row r="280" spans="1:21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</row>
    <row r="289" spans="1:21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</row>
    <row r="295" spans="1:21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</row>
    <row r="301" spans="1:21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</row>
    <row r="306" spans="1:21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</row>
    <row r="310" spans="1:21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</row>
    <row r="317" spans="1:21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</row>
    <row r="318" spans="1:21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</row>
    <row r="323" spans="1:21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</row>
    <row r="324" spans="1:21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</row>
    <row r="330" spans="1:21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</row>
    <row r="333" spans="1:21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</row>
    <row r="347" spans="1:21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</row>
    <row r="354" spans="1:21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</row>
    <row r="357" spans="1:21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</row>
    <row r="358" spans="1:21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</row>
    <row r="359" spans="1:21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</row>
    <row r="361" spans="1:21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</row>
    <row r="364" spans="1:21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</row>
    <row r="370" spans="1:21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</row>
    <row r="384" spans="1:21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</row>
    <row r="390" spans="1:21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</row>
    <row r="392" spans="1:21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</row>
    <row r="407" spans="1:21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</row>
    <row r="409" spans="1:21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</row>
    <row r="411" spans="1:21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</row>
    <row r="414" spans="1:21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</row>
    <row r="416" spans="1:21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</row>
    <row r="421" spans="1:21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</row>
    <row r="423" spans="1:21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</row>
    <row r="424" spans="1:21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</row>
    <row r="431" spans="1:21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</row>
    <row r="440" spans="1:21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</row>
    <row r="450" spans="1:21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</row>
    <row r="467" spans="1:21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</row>
    <row r="478" spans="1:21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</row>
    <row r="496" spans="1:21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</row>
    <row r="497" spans="1:21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</row>
    <row r="501" spans="1:21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</row>
    <row r="519" spans="1:21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</row>
    <row r="522" spans="1:21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</row>
    <row r="531" spans="1:21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</row>
    <row r="535" spans="1:21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</row>
    <row r="537" spans="1:21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</row>
    <row r="539" spans="1:21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</row>
    <row r="540" spans="1:21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</row>
    <row r="545" spans="1:21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</row>
    <row r="551" spans="1:21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</row>
    <row r="564" spans="1:21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</row>
    <row r="565" spans="1:21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</row>
    <row r="566" spans="1:21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</row>
    <row r="569" spans="1:21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</row>
    <row r="573" spans="1:21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</row>
    <row r="574" spans="1:21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</row>
    <row r="578" spans="1:21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</row>
    <row r="583" spans="1:21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</row>
    <row r="585" spans="1:21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</row>
    <row r="586" spans="1:21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</row>
    <row r="587" spans="1:21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</row>
    <row r="593" spans="1:21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</row>
    <row r="594" spans="1:21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</row>
    <row r="606" spans="1:21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</row>
    <row r="618" spans="1:21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</row>
    <row r="621" spans="1:21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</row>
    <row r="629" spans="1:21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</row>
    <row r="630" spans="1:21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</row>
    <row r="641" spans="1:21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</row>
    <row r="645" spans="1:21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</row>
    <row r="646" spans="1:21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</row>
    <row r="651" spans="1:21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</row>
    <row r="653" spans="1:21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</row>
    <row r="668" spans="1:21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</row>
    <row r="670" spans="1:21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</row>
    <row r="677" spans="1:21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</row>
    <row r="688" spans="1:21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</row>
    <row r="690" spans="1:21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</row>
    <row r="692" spans="1:21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</row>
    <row r="693" spans="1:21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</row>
    <row r="714" spans="1:21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</row>
    <row r="720" spans="1:21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</row>
    <row r="726" spans="1:21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</row>
    <row r="729" spans="1:21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</row>
    <row r="756" spans="1:21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</row>
    <row r="760" spans="1:21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</row>
    <row r="763" spans="1:21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</row>
    <row r="775" spans="1:21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</row>
    <row r="780" spans="1:21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</row>
    <row r="784" spans="1:21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</row>
    <row r="788" spans="1:21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</row>
    <row r="790" spans="1:21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</row>
    <row r="791" spans="1:21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</row>
    <row r="800" spans="1:21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</row>
    <row r="804" spans="1:21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</row>
    <row r="805" spans="1:21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</row>
    <row r="809" spans="1:21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</row>
    <row r="818" spans="1:21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</row>
    <row r="822" spans="1:21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</row>
    <row r="825" spans="1:21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</row>
    <row r="831" spans="1:21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</row>
    <row r="834" spans="1:21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</row>
    <row r="848" spans="1:21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</row>
    <row r="849" spans="1:21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</row>
    <row r="852" spans="1:21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</row>
    <row r="855" spans="1:21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</row>
    <row r="859" spans="1:21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</row>
    <row r="869" spans="1:21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</row>
    <row r="870" spans="1:21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</row>
    <row r="885" spans="1:21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</row>
    <row r="894" spans="1:21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</row>
    <row r="898" spans="1:21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</row>
    <row r="899" spans="1:21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</row>
    <row r="902" spans="1:21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</row>
    <row r="914" spans="1:21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</row>
    <row r="919" spans="1:21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</row>
    <row r="927" spans="1:21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</row>
    <row r="930" spans="1:21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33"/>
  <sheetViews>
    <sheetView topLeftCell="L1" zoomScale="101" workbookViewId="0">
      <selection activeCell="AL3" sqref="AL3"/>
    </sheetView>
  </sheetViews>
  <sheetFormatPr defaultRowHeight="14"/>
  <cols>
    <col min="1" max="21" width="16" customWidth="1"/>
    <col min="22" max="22" width="15.5" customWidth="1"/>
    <col min="23" max="23" width="13" customWidth="1"/>
    <col min="24" max="24" width="7.1640625" customWidth="1"/>
    <col min="25" max="25" width="14.4140625" customWidth="1"/>
    <col min="26" max="26" width="11.6640625" customWidth="1"/>
    <col min="27" max="27" width="13.08203125" customWidth="1"/>
    <col min="28" max="28" width="13.5" customWidth="1"/>
    <col min="29" max="29" width="13.25" customWidth="1"/>
    <col min="30" max="30" width="15.1640625" customWidth="1"/>
    <col min="31" max="31" width="12.33203125" customWidth="1"/>
    <col min="32" max="32" width="15.58203125" style="5" customWidth="1"/>
    <col min="33" max="33" width="15.4140625" style="5" bestFit="1" customWidth="1"/>
    <col min="34" max="35" width="15.4140625" style="5" customWidth="1"/>
    <col min="36" max="36" width="17.1640625" bestFit="1" customWidth="1"/>
    <col min="37" max="37" width="19.33203125" bestFit="1" customWidth="1"/>
  </cols>
  <sheetData>
    <row r="1" spans="1:37" ht="18.64999999999999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4109</v>
      </c>
      <c r="W1" s="4" t="s">
        <v>4110</v>
      </c>
      <c r="X1" s="4" t="s">
        <v>4111</v>
      </c>
      <c r="Y1" s="4" t="s">
        <v>4112</v>
      </c>
      <c r="Z1" s="4" t="s">
        <v>4113</v>
      </c>
      <c r="AA1" s="4" t="s">
        <v>4114</v>
      </c>
      <c r="AB1" s="4" t="s">
        <v>4115</v>
      </c>
      <c r="AC1" s="4" t="s">
        <v>4116</v>
      </c>
      <c r="AD1" s="4" t="s">
        <v>4117</v>
      </c>
      <c r="AE1" s="4" t="s">
        <v>4118</v>
      </c>
      <c r="AF1" s="6" t="s">
        <v>4120</v>
      </c>
      <c r="AG1" s="6" t="s">
        <v>4121</v>
      </c>
      <c r="AH1" s="6" t="s">
        <v>4123</v>
      </c>
      <c r="AI1" s="6" t="s">
        <v>4124</v>
      </c>
      <c r="AJ1" s="6" t="s">
        <v>4122</v>
      </c>
      <c r="AK1" s="6" t="s">
        <v>4125</v>
      </c>
    </row>
    <row r="2" spans="1:37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33</v>
      </c>
      <c r="AD2" s="1" t="s">
        <v>34</v>
      </c>
      <c r="AE2" s="1" t="s">
        <v>35</v>
      </c>
      <c r="AF2" s="5">
        <f>IFERROR(DATEVALUE(B2),IFERROR(DATE(VALUE(RIGHT(B2,4)),VALUE(MID(SUBSTITUTE(B2,"-","/"),6,2)),VALUE(LEFT(B2,2))),NA()))</f>
        <v>45494</v>
      </c>
      <c r="AG2" s="5">
        <f>IFERROR(DATEVALUE(C2),IFERROR(DATE(VALUE(RIGHT(C2,4)),VALUE(MID(SUBSTITUTE(C2,"-","/"),6,2)),VALUE(LEFT(C2,2))),NA()))</f>
        <v>45500</v>
      </c>
      <c r="AH2" s="5" t="b">
        <f>ISNUMBER(AF2)</f>
        <v>1</v>
      </c>
      <c r="AI2" s="5" t="b">
        <f>ISNUMBER(AG2)</f>
        <v>1</v>
      </c>
      <c r="AJ2" t="str">
        <f>IF(AG2&lt;AF2,"Invalid: Ship before Order","OK")</f>
        <v>OK</v>
      </c>
      <c r="AK2">
        <f>DATEDIF(AF2, AG2, "D")</f>
        <v>6</v>
      </c>
    </row>
    <row r="3" spans="1:37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  <c r="V3" s="1" t="s">
        <v>40</v>
      </c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48</v>
      </c>
      <c r="AD3" s="1" t="s">
        <v>34</v>
      </c>
      <c r="AE3" s="1" t="s">
        <v>35</v>
      </c>
      <c r="AF3" s="5">
        <f t="shared" ref="AF3:AF66" si="0">IFERROR(DATEVALUE(B3),IFERROR(DATE(VALUE(RIGHT(B3,4)),VALUE(MID(SUBSTITUTE(B3,"-","/"),6,2)),VALUE(LEFT(B3,2))),NA()))</f>
        <v>45535</v>
      </c>
      <c r="AG3" s="5">
        <f t="shared" ref="AG3:AG66" si="1">IFERROR(DATEVALUE(C3),IFERROR(DATE(VALUE(RIGHT(C3,4)),VALUE(MID(SUBSTITUTE(C3,"-","/"),6,2)),VALUE(LEFT(C3,2))),NA()))</f>
        <v>45540</v>
      </c>
      <c r="AH3" s="5" t="b">
        <f t="shared" ref="AH3:AH66" si="2">ISNUMBER(AF3)</f>
        <v>1</v>
      </c>
      <c r="AI3" s="5" t="b">
        <f t="shared" ref="AI3:AI66" si="3">ISNUMBER(AG3)</f>
        <v>1</v>
      </c>
      <c r="AJ3" t="str">
        <f t="shared" ref="AJ3:AJ66" si="4">IF(AG3&lt;AF3,"Invalid: Ship before Order","OK")</f>
        <v>OK</v>
      </c>
      <c r="AK3">
        <f t="shared" ref="AK3:AK66" si="5">DATEDIF(AF3, AG3, "D")</f>
        <v>5</v>
      </c>
    </row>
    <row r="4" spans="1:37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  <c r="V4" s="1" t="s">
        <v>53</v>
      </c>
      <c r="W4" s="1" t="s">
        <v>26</v>
      </c>
      <c r="X4" s="1" t="s">
        <v>42</v>
      </c>
      <c r="Y4" s="1" t="s">
        <v>43</v>
      </c>
      <c r="Z4" s="1" t="s">
        <v>44</v>
      </c>
      <c r="AA4" s="1" t="s">
        <v>30</v>
      </c>
      <c r="AB4" s="1" t="s">
        <v>54</v>
      </c>
      <c r="AC4" s="1" t="s">
        <v>56</v>
      </c>
      <c r="AD4" s="1" t="s">
        <v>34</v>
      </c>
      <c r="AE4" s="1" t="s">
        <v>35</v>
      </c>
      <c r="AF4" s="5">
        <f t="shared" si="0"/>
        <v>45451</v>
      </c>
      <c r="AG4" s="5">
        <f t="shared" si="1"/>
        <v>45458</v>
      </c>
      <c r="AH4" s="5" t="b">
        <f t="shared" si="2"/>
        <v>1</v>
      </c>
      <c r="AI4" s="5" t="b">
        <f t="shared" si="3"/>
        <v>1</v>
      </c>
      <c r="AJ4" t="str">
        <f t="shared" si="4"/>
        <v>OK</v>
      </c>
      <c r="AK4">
        <f t="shared" si="5"/>
        <v>7</v>
      </c>
    </row>
    <row r="5" spans="1:37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  <c r="V5" s="1" t="s">
        <v>61</v>
      </c>
      <c r="W5" s="1" t="s">
        <v>41</v>
      </c>
      <c r="X5" s="1" t="s">
        <v>62</v>
      </c>
      <c r="Y5" s="1" t="s">
        <v>63</v>
      </c>
      <c r="Z5" s="1" t="s">
        <v>64</v>
      </c>
      <c r="AA5" s="1" t="s">
        <v>45</v>
      </c>
      <c r="AB5" s="1" t="s">
        <v>65</v>
      </c>
      <c r="AC5" s="1" t="s">
        <v>67</v>
      </c>
      <c r="AD5" s="1" t="s">
        <v>34</v>
      </c>
      <c r="AE5" s="1" t="s">
        <v>35</v>
      </c>
      <c r="AF5" s="5" t="e">
        <f t="shared" si="0"/>
        <v>#N/A</v>
      </c>
      <c r="AG5" s="5">
        <f t="shared" si="1"/>
        <v>45625</v>
      </c>
      <c r="AH5" s="5" t="b">
        <f t="shared" si="2"/>
        <v>0</v>
      </c>
      <c r="AI5" s="5" t="b">
        <f t="shared" si="3"/>
        <v>1</v>
      </c>
      <c r="AJ5" t="e">
        <f t="shared" si="4"/>
        <v>#N/A</v>
      </c>
      <c r="AK5" t="e">
        <f t="shared" si="5"/>
        <v>#N/A</v>
      </c>
    </row>
    <row r="6" spans="1:37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  <c r="V6" s="1" t="s">
        <v>72</v>
      </c>
      <c r="W6" s="1" t="s">
        <v>41</v>
      </c>
      <c r="X6" s="1" t="s">
        <v>73</v>
      </c>
      <c r="Y6" s="1" t="s">
        <v>74</v>
      </c>
      <c r="Z6" s="1" t="s">
        <v>75</v>
      </c>
      <c r="AA6" s="1" t="s">
        <v>45</v>
      </c>
      <c r="AB6" s="1" t="s">
        <v>76</v>
      </c>
      <c r="AC6" s="1" t="s">
        <v>56</v>
      </c>
      <c r="AD6" s="1" t="s">
        <v>34</v>
      </c>
      <c r="AE6" s="1" t="s">
        <v>78</v>
      </c>
      <c r="AF6" s="5">
        <f t="shared" si="0"/>
        <v>45898</v>
      </c>
      <c r="AG6" s="5">
        <f t="shared" si="1"/>
        <v>45901</v>
      </c>
      <c r="AH6" s="5" t="b">
        <f t="shared" si="2"/>
        <v>1</v>
      </c>
      <c r="AI6" s="5" t="b">
        <f t="shared" si="3"/>
        <v>1</v>
      </c>
      <c r="AJ6" t="str">
        <f t="shared" si="4"/>
        <v>OK</v>
      </c>
      <c r="AK6">
        <f t="shared" si="5"/>
        <v>3</v>
      </c>
    </row>
    <row r="7" spans="1:37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  <c r="V7" s="1" t="s">
        <v>83</v>
      </c>
      <c r="W7" s="1" t="s">
        <v>41</v>
      </c>
      <c r="X7" s="1" t="s">
        <v>73</v>
      </c>
      <c r="Y7" s="1" t="s">
        <v>84</v>
      </c>
      <c r="Z7" s="1" t="s">
        <v>85</v>
      </c>
      <c r="AA7" s="1" t="s">
        <v>86</v>
      </c>
      <c r="AB7" s="1" t="s">
        <v>87</v>
      </c>
      <c r="AC7" s="1" t="s">
        <v>48</v>
      </c>
      <c r="AD7" s="1" t="s">
        <v>34</v>
      </c>
      <c r="AE7" s="1" t="s">
        <v>35</v>
      </c>
      <c r="AF7" s="5">
        <f t="shared" si="0"/>
        <v>45436</v>
      </c>
      <c r="AG7" s="5" t="e">
        <f t="shared" si="1"/>
        <v>#N/A</v>
      </c>
      <c r="AH7" s="5" t="b">
        <f t="shared" si="2"/>
        <v>1</v>
      </c>
      <c r="AI7" s="5" t="b">
        <f t="shared" si="3"/>
        <v>0</v>
      </c>
      <c r="AJ7" t="e">
        <f t="shared" si="4"/>
        <v>#N/A</v>
      </c>
      <c r="AK7" t="e">
        <f t="shared" si="5"/>
        <v>#N/A</v>
      </c>
    </row>
    <row r="8" spans="1:37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  <c r="V8" s="1" t="s">
        <v>93</v>
      </c>
      <c r="W8" s="1" t="s">
        <v>26</v>
      </c>
      <c r="X8" s="1" t="s">
        <v>42</v>
      </c>
      <c r="Y8" s="1" t="s">
        <v>43</v>
      </c>
      <c r="Z8" s="1" t="s">
        <v>44</v>
      </c>
      <c r="AA8" s="1" t="s">
        <v>86</v>
      </c>
      <c r="AB8" s="1" t="s">
        <v>94</v>
      </c>
      <c r="AC8" s="1" t="s">
        <v>67</v>
      </c>
      <c r="AD8" s="1" t="s">
        <v>34</v>
      </c>
      <c r="AE8" s="1" t="s">
        <v>35</v>
      </c>
      <c r="AF8" s="5">
        <f t="shared" si="0"/>
        <v>45757</v>
      </c>
      <c r="AG8" s="5">
        <f t="shared" si="1"/>
        <v>45763</v>
      </c>
      <c r="AH8" s="5" t="b">
        <f t="shared" si="2"/>
        <v>1</v>
      </c>
      <c r="AI8" s="5" t="b">
        <f t="shared" si="3"/>
        <v>1</v>
      </c>
      <c r="AJ8" t="str">
        <f t="shared" si="4"/>
        <v>OK</v>
      </c>
      <c r="AK8">
        <f t="shared" si="5"/>
        <v>6</v>
      </c>
    </row>
    <row r="9" spans="1:37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  <c r="V9" s="1" t="s">
        <v>53</v>
      </c>
      <c r="W9" s="1" t="s">
        <v>41</v>
      </c>
      <c r="X9" s="1" t="s">
        <v>62</v>
      </c>
      <c r="Y9" s="1" t="s">
        <v>100</v>
      </c>
      <c r="Z9" s="1" t="s">
        <v>101</v>
      </c>
      <c r="AA9" s="1" t="s">
        <v>30</v>
      </c>
      <c r="AB9" s="1" t="s">
        <v>54</v>
      </c>
      <c r="AC9" s="1" t="s">
        <v>56</v>
      </c>
      <c r="AD9" s="1" t="s">
        <v>34</v>
      </c>
      <c r="AE9" s="1" t="s">
        <v>35</v>
      </c>
      <c r="AF9" s="5">
        <f t="shared" si="0"/>
        <v>45711</v>
      </c>
      <c r="AG9" s="5" t="e">
        <f t="shared" si="1"/>
        <v>#N/A</v>
      </c>
      <c r="AH9" s="5" t="b">
        <f t="shared" si="2"/>
        <v>1</v>
      </c>
      <c r="AI9" s="5" t="b">
        <f t="shared" si="3"/>
        <v>0</v>
      </c>
      <c r="AJ9" t="e">
        <f t="shared" si="4"/>
        <v>#N/A</v>
      </c>
      <c r="AK9" t="e">
        <f t="shared" si="5"/>
        <v>#N/A</v>
      </c>
    </row>
    <row r="10" spans="1:37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  <c r="V10" s="1" t="s">
        <v>107</v>
      </c>
      <c r="W10" s="1" t="s">
        <v>108</v>
      </c>
      <c r="X10" s="1" t="s">
        <v>62</v>
      </c>
      <c r="Y10" s="1" t="s">
        <v>63</v>
      </c>
      <c r="Z10" s="1" t="s">
        <v>64</v>
      </c>
      <c r="AA10" s="1" t="s">
        <v>30</v>
      </c>
      <c r="AB10" s="1" t="s">
        <v>109</v>
      </c>
      <c r="AC10" s="1" t="s">
        <v>56</v>
      </c>
      <c r="AD10" s="1" t="s">
        <v>34</v>
      </c>
      <c r="AE10" s="1" t="s">
        <v>35</v>
      </c>
      <c r="AF10" s="5">
        <f t="shared" si="0"/>
        <v>45601</v>
      </c>
      <c r="AG10" s="5">
        <f t="shared" si="1"/>
        <v>45606</v>
      </c>
      <c r="AH10" s="5" t="b">
        <f t="shared" si="2"/>
        <v>1</v>
      </c>
      <c r="AI10" s="5" t="b">
        <f t="shared" si="3"/>
        <v>1</v>
      </c>
      <c r="AJ10" t="str">
        <f t="shared" si="4"/>
        <v>OK</v>
      </c>
      <c r="AK10">
        <f t="shared" si="5"/>
        <v>5</v>
      </c>
    </row>
    <row r="11" spans="1:37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  <c r="V11" s="1" t="s">
        <v>40</v>
      </c>
      <c r="W11" s="1" t="s">
        <v>115</v>
      </c>
      <c r="X11" s="1" t="s">
        <v>62</v>
      </c>
      <c r="Y11" s="1" t="s">
        <v>63</v>
      </c>
      <c r="Z11" s="1" t="s">
        <v>64</v>
      </c>
      <c r="AA11" s="1" t="s">
        <v>30</v>
      </c>
      <c r="AB11" s="1" t="s">
        <v>31</v>
      </c>
      <c r="AC11" s="1" t="s">
        <v>33</v>
      </c>
      <c r="AD11" s="1" t="s">
        <v>34</v>
      </c>
      <c r="AE11" s="1" t="s">
        <v>35</v>
      </c>
      <c r="AF11" s="5">
        <f t="shared" si="0"/>
        <v>45847</v>
      </c>
      <c r="AG11" s="5">
        <f t="shared" si="1"/>
        <v>45912</v>
      </c>
      <c r="AH11" s="5" t="b">
        <f t="shared" si="2"/>
        <v>1</v>
      </c>
      <c r="AI11" s="5" t="b">
        <f t="shared" si="3"/>
        <v>1</v>
      </c>
      <c r="AJ11" t="str">
        <f t="shared" si="4"/>
        <v>OK</v>
      </c>
      <c r="AK11">
        <f t="shared" si="5"/>
        <v>65</v>
      </c>
    </row>
    <row r="12" spans="1:37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  <c r="V12" s="1" t="s">
        <v>72</v>
      </c>
      <c r="W12" s="1" t="s">
        <v>108</v>
      </c>
      <c r="X12" s="1" t="s">
        <v>42</v>
      </c>
      <c r="Y12" s="1" t="s">
        <v>121</v>
      </c>
      <c r="Z12" s="1" t="s">
        <v>122</v>
      </c>
      <c r="AA12" s="1" t="s">
        <v>30</v>
      </c>
      <c r="AB12" s="1" t="s">
        <v>109</v>
      </c>
      <c r="AC12" s="1" t="s">
        <v>33</v>
      </c>
      <c r="AD12" s="1" t="s">
        <v>124</v>
      </c>
      <c r="AE12" s="1" t="s">
        <v>125</v>
      </c>
      <c r="AF12" s="5">
        <f t="shared" si="0"/>
        <v>45797</v>
      </c>
      <c r="AG12" s="5">
        <f t="shared" si="1"/>
        <v>45797</v>
      </c>
      <c r="AH12" s="5" t="b">
        <f t="shared" si="2"/>
        <v>1</v>
      </c>
      <c r="AI12" s="5" t="b">
        <f t="shared" si="3"/>
        <v>1</v>
      </c>
      <c r="AJ12" t="str">
        <f t="shared" si="4"/>
        <v>OK</v>
      </c>
      <c r="AK12">
        <f t="shared" si="5"/>
        <v>0</v>
      </c>
    </row>
    <row r="13" spans="1:37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  <c r="V13" s="1" t="s">
        <v>83</v>
      </c>
      <c r="W13" s="1" t="s">
        <v>41</v>
      </c>
      <c r="X13" s="1" t="s">
        <v>42</v>
      </c>
      <c r="Y13" s="1" t="s">
        <v>43</v>
      </c>
      <c r="Z13" s="1" t="s">
        <v>44</v>
      </c>
      <c r="AA13" s="1" t="s">
        <v>86</v>
      </c>
      <c r="AB13" s="1" t="s">
        <v>87</v>
      </c>
      <c r="AC13" s="1" t="s">
        <v>48</v>
      </c>
      <c r="AD13" s="1" t="s">
        <v>34</v>
      </c>
      <c r="AE13" s="1" t="s">
        <v>35</v>
      </c>
      <c r="AF13" s="5">
        <f t="shared" si="0"/>
        <v>45495</v>
      </c>
      <c r="AG13" s="5" t="e">
        <f t="shared" si="1"/>
        <v>#N/A</v>
      </c>
      <c r="AH13" s="5" t="b">
        <f t="shared" si="2"/>
        <v>1</v>
      </c>
      <c r="AI13" s="5" t="b">
        <f t="shared" si="3"/>
        <v>0</v>
      </c>
      <c r="AJ13" t="e">
        <f t="shared" si="4"/>
        <v>#N/A</v>
      </c>
      <c r="AK13" t="e">
        <f t="shared" si="5"/>
        <v>#N/A</v>
      </c>
    </row>
    <row r="14" spans="1:37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  <c r="V14" s="1" t="s">
        <v>72</v>
      </c>
      <c r="W14" s="1" t="s">
        <v>108</v>
      </c>
      <c r="X14" s="1" t="s">
        <v>73</v>
      </c>
      <c r="Y14" s="1" t="s">
        <v>28</v>
      </c>
      <c r="Z14" s="1" t="s">
        <v>135</v>
      </c>
      <c r="AA14" s="1" t="s">
        <v>30</v>
      </c>
      <c r="AB14" s="1" t="s">
        <v>31</v>
      </c>
      <c r="AC14" s="1" t="s">
        <v>56</v>
      </c>
      <c r="AD14" s="1" t="s">
        <v>137</v>
      </c>
      <c r="AE14" s="1" t="s">
        <v>125</v>
      </c>
      <c r="AF14" s="5">
        <f t="shared" si="0"/>
        <v>45646</v>
      </c>
      <c r="AG14" s="5">
        <f t="shared" si="1"/>
        <v>45647</v>
      </c>
      <c r="AH14" s="5" t="b">
        <f t="shared" si="2"/>
        <v>1</v>
      </c>
      <c r="AI14" s="5" t="b">
        <f t="shared" si="3"/>
        <v>1</v>
      </c>
      <c r="AJ14" t="str">
        <f t="shared" si="4"/>
        <v>OK</v>
      </c>
      <c r="AK14">
        <f t="shared" si="5"/>
        <v>1</v>
      </c>
    </row>
    <row r="15" spans="1:37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  <c r="V15" s="1" t="s">
        <v>142</v>
      </c>
      <c r="W15" s="1" t="s">
        <v>41</v>
      </c>
      <c r="X15" s="1" t="s">
        <v>73</v>
      </c>
      <c r="Y15" s="1" t="s">
        <v>74</v>
      </c>
      <c r="Z15" s="1" t="s">
        <v>75</v>
      </c>
      <c r="AA15" s="1" t="s">
        <v>30</v>
      </c>
      <c r="AB15" s="1" t="s">
        <v>54</v>
      </c>
      <c r="AC15" s="1" t="s">
        <v>33</v>
      </c>
      <c r="AD15" s="1" t="s">
        <v>34</v>
      </c>
      <c r="AE15" s="1" t="s">
        <v>35</v>
      </c>
      <c r="AF15" s="5">
        <f t="shared" si="0"/>
        <v>45942</v>
      </c>
      <c r="AG15" s="5" t="e">
        <f t="shared" si="1"/>
        <v>#N/A</v>
      </c>
      <c r="AH15" s="5" t="b">
        <f t="shared" si="2"/>
        <v>1</v>
      </c>
      <c r="AI15" s="5" t="b">
        <f t="shared" si="3"/>
        <v>0</v>
      </c>
      <c r="AJ15" t="e">
        <f t="shared" si="4"/>
        <v>#N/A</v>
      </c>
      <c r="AK15" t="e">
        <f t="shared" si="5"/>
        <v>#N/A</v>
      </c>
    </row>
    <row r="16" spans="1:37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  <c r="V16" s="1" t="s">
        <v>148</v>
      </c>
      <c r="W16" s="1" t="s">
        <v>26</v>
      </c>
      <c r="X16" s="1" t="s">
        <v>73</v>
      </c>
      <c r="Y16" s="1" t="s">
        <v>28</v>
      </c>
      <c r="Z16" s="1" t="s">
        <v>135</v>
      </c>
      <c r="AA16" s="1" t="s">
        <v>86</v>
      </c>
      <c r="AB16" s="1" t="s">
        <v>94</v>
      </c>
      <c r="AC16" s="1" t="s">
        <v>67</v>
      </c>
      <c r="AD16" s="1" t="s">
        <v>34</v>
      </c>
      <c r="AE16" s="1" t="s">
        <v>35</v>
      </c>
      <c r="AF16" s="5">
        <f t="shared" si="0"/>
        <v>45653</v>
      </c>
      <c r="AG16" s="5">
        <f t="shared" si="1"/>
        <v>45654</v>
      </c>
      <c r="AH16" s="5" t="b">
        <f t="shared" si="2"/>
        <v>1</v>
      </c>
      <c r="AI16" s="5" t="b">
        <f t="shared" si="3"/>
        <v>1</v>
      </c>
      <c r="AJ16" t="str">
        <f t="shared" si="4"/>
        <v>OK</v>
      </c>
      <c r="AK16">
        <f t="shared" si="5"/>
        <v>1</v>
      </c>
    </row>
    <row r="17" spans="1:37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  <c r="V17" s="1" t="s">
        <v>25</v>
      </c>
      <c r="W17" s="1" t="s">
        <v>41</v>
      </c>
      <c r="X17" s="1" t="s">
        <v>27</v>
      </c>
      <c r="Y17" s="1" t="s">
        <v>154</v>
      </c>
      <c r="Z17" s="1" t="s">
        <v>155</v>
      </c>
      <c r="AA17" s="1" t="s">
        <v>30</v>
      </c>
      <c r="AB17" s="1" t="s">
        <v>156</v>
      </c>
      <c r="AC17" s="1" t="s">
        <v>33</v>
      </c>
      <c r="AD17" s="1" t="s">
        <v>34</v>
      </c>
      <c r="AE17" s="1" t="s">
        <v>35</v>
      </c>
      <c r="AF17" s="5">
        <f t="shared" si="0"/>
        <v>45482</v>
      </c>
      <c r="AG17" s="5">
        <f t="shared" si="1"/>
        <v>45482</v>
      </c>
      <c r="AH17" s="5" t="b">
        <f t="shared" si="2"/>
        <v>1</v>
      </c>
      <c r="AI17" s="5" t="b">
        <f t="shared" si="3"/>
        <v>1</v>
      </c>
      <c r="AJ17" t="str">
        <f t="shared" si="4"/>
        <v>OK</v>
      </c>
      <c r="AK17">
        <f t="shared" si="5"/>
        <v>0</v>
      </c>
    </row>
    <row r="18" spans="1:37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  <c r="V18" s="1" t="s">
        <v>162</v>
      </c>
      <c r="W18" s="1" t="s">
        <v>26</v>
      </c>
      <c r="X18" s="1" t="s">
        <v>62</v>
      </c>
      <c r="Y18" s="1" t="s">
        <v>63</v>
      </c>
      <c r="Z18" s="1" t="s">
        <v>64</v>
      </c>
      <c r="AA18" s="1" t="s">
        <v>30</v>
      </c>
      <c r="AB18" s="1" t="s">
        <v>54</v>
      </c>
      <c r="AC18" s="1" t="s">
        <v>56</v>
      </c>
      <c r="AD18" s="1" t="s">
        <v>34</v>
      </c>
      <c r="AE18" s="1" t="s">
        <v>35</v>
      </c>
      <c r="AF18" s="5">
        <f t="shared" si="0"/>
        <v>45420</v>
      </c>
      <c r="AG18" s="5" t="e">
        <f t="shared" si="1"/>
        <v>#N/A</v>
      </c>
      <c r="AH18" s="5" t="b">
        <f t="shared" si="2"/>
        <v>1</v>
      </c>
      <c r="AI18" s="5" t="b">
        <f t="shared" si="3"/>
        <v>0</v>
      </c>
      <c r="AJ18" t="e">
        <f t="shared" si="4"/>
        <v>#N/A</v>
      </c>
      <c r="AK18" t="e">
        <f t="shared" si="5"/>
        <v>#N/A</v>
      </c>
    </row>
    <row r="19" spans="1:37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  <c r="V19" s="1" t="s">
        <v>168</v>
      </c>
      <c r="W19" s="1" t="s">
        <v>41</v>
      </c>
      <c r="X19" s="1" t="s">
        <v>27</v>
      </c>
      <c r="Y19" s="1" t="s">
        <v>28</v>
      </c>
      <c r="Z19" s="1" t="s">
        <v>29</v>
      </c>
      <c r="AA19" s="1" t="s">
        <v>45</v>
      </c>
      <c r="AB19" s="1" t="s">
        <v>65</v>
      </c>
      <c r="AC19" s="1" t="s">
        <v>48</v>
      </c>
      <c r="AD19" s="1" t="s">
        <v>34</v>
      </c>
      <c r="AE19" s="1" t="s">
        <v>35</v>
      </c>
      <c r="AF19" s="5">
        <f t="shared" si="0"/>
        <v>45298</v>
      </c>
      <c r="AG19" s="5">
        <f t="shared" si="1"/>
        <v>45299</v>
      </c>
      <c r="AH19" s="5" t="b">
        <f t="shared" si="2"/>
        <v>1</v>
      </c>
      <c r="AI19" s="5" t="b">
        <f t="shared" si="3"/>
        <v>1</v>
      </c>
      <c r="AJ19" t="str">
        <f t="shared" si="4"/>
        <v>OK</v>
      </c>
      <c r="AK19">
        <f t="shared" si="5"/>
        <v>1</v>
      </c>
    </row>
    <row r="20" spans="1:37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  <c r="V20" s="1" t="s">
        <v>162</v>
      </c>
      <c r="W20" s="1" t="s">
        <v>115</v>
      </c>
      <c r="X20" s="1" t="s">
        <v>27</v>
      </c>
      <c r="Y20" s="1" t="s">
        <v>174</v>
      </c>
      <c r="Z20" s="1" t="s">
        <v>175</v>
      </c>
      <c r="AA20" s="1" t="s">
        <v>86</v>
      </c>
      <c r="AB20" s="1" t="s">
        <v>94</v>
      </c>
      <c r="AC20" s="1" t="s">
        <v>56</v>
      </c>
      <c r="AD20" s="1" t="s">
        <v>124</v>
      </c>
      <c r="AE20" s="1" t="s">
        <v>78</v>
      </c>
      <c r="AF20" s="5">
        <f t="shared" si="0"/>
        <v>45853</v>
      </c>
      <c r="AG20" s="5" t="e">
        <f t="shared" si="1"/>
        <v>#N/A</v>
      </c>
      <c r="AH20" s="5" t="b">
        <f t="shared" si="2"/>
        <v>1</v>
      </c>
      <c r="AI20" s="5" t="b">
        <f t="shared" si="3"/>
        <v>0</v>
      </c>
      <c r="AJ20" t="e">
        <f t="shared" si="4"/>
        <v>#N/A</v>
      </c>
      <c r="AK20" t="e">
        <f t="shared" si="5"/>
        <v>#N/A</v>
      </c>
    </row>
    <row r="21" spans="1:37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  <c r="V21" s="1" t="s">
        <v>180</v>
      </c>
      <c r="W21" s="1" t="s">
        <v>115</v>
      </c>
      <c r="X21" s="1" t="s">
        <v>73</v>
      </c>
      <c r="Y21" s="1" t="s">
        <v>84</v>
      </c>
      <c r="Z21" s="1" t="s">
        <v>85</v>
      </c>
      <c r="AA21" s="1" t="s">
        <v>30</v>
      </c>
      <c r="AB21" s="1" t="s">
        <v>156</v>
      </c>
      <c r="AC21" s="1" t="s">
        <v>33</v>
      </c>
      <c r="AD21" s="1" t="s">
        <v>34</v>
      </c>
      <c r="AE21" s="1" t="s">
        <v>35</v>
      </c>
      <c r="AF21" s="5">
        <f t="shared" si="0"/>
        <v>45500</v>
      </c>
      <c r="AG21" s="5">
        <f t="shared" si="1"/>
        <v>45504</v>
      </c>
      <c r="AH21" s="5" t="b">
        <f t="shared" si="2"/>
        <v>1</v>
      </c>
      <c r="AI21" s="5" t="b">
        <f t="shared" si="3"/>
        <v>1</v>
      </c>
      <c r="AJ21" t="str">
        <f t="shared" si="4"/>
        <v>OK</v>
      </c>
      <c r="AK21">
        <f t="shared" si="5"/>
        <v>4</v>
      </c>
    </row>
    <row r="22" spans="1:37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  <c r="V22" s="1" t="s">
        <v>107</v>
      </c>
      <c r="W22" s="1" t="s">
        <v>115</v>
      </c>
      <c r="X22" s="1" t="s">
        <v>42</v>
      </c>
      <c r="Y22" s="1" t="s">
        <v>186</v>
      </c>
      <c r="Z22" s="1" t="s">
        <v>187</v>
      </c>
      <c r="AA22" s="1" t="s">
        <v>86</v>
      </c>
      <c r="AB22" s="1" t="s">
        <v>94</v>
      </c>
      <c r="AC22" s="1" t="s">
        <v>56</v>
      </c>
      <c r="AD22" s="1" t="s">
        <v>34</v>
      </c>
      <c r="AE22" s="1" t="s">
        <v>35</v>
      </c>
      <c r="AF22" s="5" t="e">
        <f t="shared" si="0"/>
        <v>#N/A</v>
      </c>
      <c r="AG22" s="5">
        <f t="shared" si="1"/>
        <v>45680</v>
      </c>
      <c r="AH22" s="5" t="b">
        <f t="shared" si="2"/>
        <v>0</v>
      </c>
      <c r="AI22" s="5" t="b">
        <f t="shared" si="3"/>
        <v>1</v>
      </c>
      <c r="AJ22" t="e">
        <f t="shared" si="4"/>
        <v>#N/A</v>
      </c>
      <c r="AK22" t="e">
        <f t="shared" si="5"/>
        <v>#N/A</v>
      </c>
    </row>
    <row r="23" spans="1:37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  <c r="V23" s="1" t="s">
        <v>168</v>
      </c>
      <c r="W23" s="1" t="s">
        <v>26</v>
      </c>
      <c r="X23" s="1" t="s">
        <v>73</v>
      </c>
      <c r="Y23" s="1" t="s">
        <v>84</v>
      </c>
      <c r="Z23" s="1" t="s">
        <v>85</v>
      </c>
      <c r="AA23" s="1" t="s">
        <v>45</v>
      </c>
      <c r="AB23" s="1" t="s">
        <v>65</v>
      </c>
      <c r="AC23" s="1" t="s">
        <v>33</v>
      </c>
      <c r="AD23" s="1" t="s">
        <v>34</v>
      </c>
      <c r="AE23" s="1" t="s">
        <v>35</v>
      </c>
      <c r="AF23" s="5" t="e">
        <f t="shared" si="0"/>
        <v>#N/A</v>
      </c>
      <c r="AG23" s="5">
        <f t="shared" si="1"/>
        <v>45687</v>
      </c>
      <c r="AH23" s="5" t="b">
        <f t="shared" si="2"/>
        <v>0</v>
      </c>
      <c r="AI23" s="5" t="b">
        <f t="shared" si="3"/>
        <v>1</v>
      </c>
      <c r="AJ23" t="e">
        <f t="shared" si="4"/>
        <v>#N/A</v>
      </c>
      <c r="AK23" t="e">
        <f t="shared" si="5"/>
        <v>#N/A</v>
      </c>
    </row>
    <row r="24" spans="1:37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  <c r="V24" s="1" t="s">
        <v>40</v>
      </c>
      <c r="W24" s="1" t="s">
        <v>26</v>
      </c>
      <c r="X24" s="1" t="s">
        <v>62</v>
      </c>
      <c r="Y24" s="1" t="s">
        <v>63</v>
      </c>
      <c r="Z24" s="1" t="s">
        <v>64</v>
      </c>
      <c r="AA24" s="1" t="s">
        <v>30</v>
      </c>
      <c r="AB24" s="1" t="s">
        <v>198</v>
      </c>
      <c r="AC24" s="1" t="s">
        <v>67</v>
      </c>
      <c r="AD24" s="1" t="s">
        <v>200</v>
      </c>
      <c r="AE24" s="1" t="s">
        <v>125</v>
      </c>
      <c r="AF24" s="5">
        <f t="shared" si="0"/>
        <v>45676</v>
      </c>
      <c r="AG24" s="5">
        <f t="shared" si="1"/>
        <v>45678</v>
      </c>
      <c r="AH24" s="5" t="b">
        <f t="shared" si="2"/>
        <v>1</v>
      </c>
      <c r="AI24" s="5" t="b">
        <f t="shared" si="3"/>
        <v>1</v>
      </c>
      <c r="AJ24" t="str">
        <f t="shared" si="4"/>
        <v>OK</v>
      </c>
      <c r="AK24">
        <f t="shared" si="5"/>
        <v>2</v>
      </c>
    </row>
    <row r="25" spans="1:37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  <c r="V25" s="1" t="s">
        <v>148</v>
      </c>
      <c r="W25" s="1" t="s">
        <v>115</v>
      </c>
      <c r="X25" s="1" t="s">
        <v>42</v>
      </c>
      <c r="Y25" s="1" t="s">
        <v>186</v>
      </c>
      <c r="Z25" s="1" t="s">
        <v>187</v>
      </c>
      <c r="AA25" s="1" t="s">
        <v>45</v>
      </c>
      <c r="AB25" s="1" t="s">
        <v>204</v>
      </c>
      <c r="AC25" s="1" t="s">
        <v>56</v>
      </c>
      <c r="AD25" s="1" t="s">
        <v>34</v>
      </c>
      <c r="AE25" s="1" t="s">
        <v>35</v>
      </c>
      <c r="AF25" s="5">
        <f t="shared" si="0"/>
        <v>45898</v>
      </c>
      <c r="AG25" s="5" t="e">
        <f t="shared" si="1"/>
        <v>#N/A</v>
      </c>
      <c r="AH25" s="5" t="b">
        <f t="shared" si="2"/>
        <v>1</v>
      </c>
      <c r="AI25" s="5" t="b">
        <f t="shared" si="3"/>
        <v>0</v>
      </c>
      <c r="AJ25" t="e">
        <f t="shared" si="4"/>
        <v>#N/A</v>
      </c>
      <c r="AK25" t="e">
        <f t="shared" si="5"/>
        <v>#N/A</v>
      </c>
    </row>
    <row r="26" spans="1:37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  <c r="V26" s="1" t="s">
        <v>210</v>
      </c>
      <c r="W26" s="1" t="s">
        <v>26</v>
      </c>
      <c r="X26" s="1" t="s">
        <v>27</v>
      </c>
      <c r="Y26" s="1" t="s">
        <v>154</v>
      </c>
      <c r="Z26" s="1" t="s">
        <v>155</v>
      </c>
      <c r="AA26" s="1" t="s">
        <v>30</v>
      </c>
      <c r="AB26" s="1" t="s">
        <v>54</v>
      </c>
      <c r="AC26" s="1" t="s">
        <v>67</v>
      </c>
      <c r="AD26" s="1" t="s">
        <v>137</v>
      </c>
      <c r="AE26" s="1" t="s">
        <v>78</v>
      </c>
      <c r="AF26" s="5">
        <f t="shared" si="0"/>
        <v>45355</v>
      </c>
      <c r="AG26" s="5">
        <f t="shared" si="1"/>
        <v>45352</v>
      </c>
      <c r="AH26" s="5" t="b">
        <f t="shared" si="2"/>
        <v>1</v>
      </c>
      <c r="AI26" s="5" t="b">
        <f t="shared" si="3"/>
        <v>1</v>
      </c>
      <c r="AJ26" t="str">
        <f t="shared" si="4"/>
        <v>Invalid: Ship before Order</v>
      </c>
      <c r="AK26" t="e">
        <f t="shared" si="5"/>
        <v>#NUM!</v>
      </c>
    </row>
    <row r="27" spans="1:37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  <c r="V27" s="1" t="s">
        <v>61</v>
      </c>
      <c r="W27" s="1" t="s">
        <v>108</v>
      </c>
      <c r="X27" s="1" t="s">
        <v>42</v>
      </c>
      <c r="Y27" s="1" t="s">
        <v>216</v>
      </c>
      <c r="Z27" s="1" t="s">
        <v>217</v>
      </c>
      <c r="AA27" s="1" t="s">
        <v>86</v>
      </c>
      <c r="AB27" s="1" t="s">
        <v>87</v>
      </c>
      <c r="AC27" s="1" t="s">
        <v>56</v>
      </c>
      <c r="AD27" s="1" t="s">
        <v>34</v>
      </c>
      <c r="AE27" s="1" t="s">
        <v>35</v>
      </c>
      <c r="AF27" s="5">
        <f t="shared" si="0"/>
        <v>45606</v>
      </c>
      <c r="AG27" s="5">
        <f t="shared" si="1"/>
        <v>45584</v>
      </c>
      <c r="AH27" s="5" t="b">
        <f t="shared" si="2"/>
        <v>1</v>
      </c>
      <c r="AI27" s="5" t="b">
        <f t="shared" si="3"/>
        <v>1</v>
      </c>
      <c r="AJ27" t="str">
        <f t="shared" si="4"/>
        <v>Invalid: Ship before Order</v>
      </c>
      <c r="AK27" t="e">
        <f t="shared" si="5"/>
        <v>#NUM!</v>
      </c>
    </row>
    <row r="28" spans="1:37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  <c r="V28" s="1" t="s">
        <v>210</v>
      </c>
      <c r="W28" s="1" t="s">
        <v>108</v>
      </c>
      <c r="X28" s="1" t="s">
        <v>27</v>
      </c>
      <c r="Y28" s="1" t="s">
        <v>174</v>
      </c>
      <c r="Z28" s="1" t="s">
        <v>175</v>
      </c>
      <c r="AA28" s="1" t="s">
        <v>86</v>
      </c>
      <c r="AB28" s="1" t="s">
        <v>223</v>
      </c>
      <c r="AC28" s="1" t="s">
        <v>67</v>
      </c>
      <c r="AD28" s="1" t="s">
        <v>34</v>
      </c>
      <c r="AE28" s="1" t="s">
        <v>125</v>
      </c>
      <c r="AF28" s="5" t="e">
        <f t="shared" si="0"/>
        <v>#N/A</v>
      </c>
      <c r="AG28" s="5">
        <f t="shared" si="1"/>
        <v>45619</v>
      </c>
      <c r="AH28" s="5" t="b">
        <f t="shared" si="2"/>
        <v>0</v>
      </c>
      <c r="AI28" s="5" t="b">
        <f t="shared" si="3"/>
        <v>1</v>
      </c>
      <c r="AJ28" t="e">
        <f t="shared" si="4"/>
        <v>#N/A</v>
      </c>
      <c r="AK28" t="e">
        <f t="shared" si="5"/>
        <v>#N/A</v>
      </c>
    </row>
    <row r="29" spans="1:37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  <c r="V29" s="1" t="s">
        <v>61</v>
      </c>
      <c r="W29" s="1" t="s">
        <v>41</v>
      </c>
      <c r="X29" s="1" t="s">
        <v>62</v>
      </c>
      <c r="Y29" s="1" t="s">
        <v>229</v>
      </c>
      <c r="Z29" s="1" t="s">
        <v>230</v>
      </c>
      <c r="AA29" s="1" t="s">
        <v>30</v>
      </c>
      <c r="AB29" s="1" t="s">
        <v>31</v>
      </c>
      <c r="AC29" s="1" t="s">
        <v>33</v>
      </c>
      <c r="AD29" s="1" t="s">
        <v>200</v>
      </c>
      <c r="AE29" s="1" t="s">
        <v>125</v>
      </c>
      <c r="AF29" s="5">
        <f t="shared" si="0"/>
        <v>45929</v>
      </c>
      <c r="AG29" s="5">
        <f t="shared" si="1"/>
        <v>45787</v>
      </c>
      <c r="AH29" s="5" t="b">
        <f t="shared" si="2"/>
        <v>1</v>
      </c>
      <c r="AI29" s="5" t="b">
        <f t="shared" si="3"/>
        <v>1</v>
      </c>
      <c r="AJ29" t="str">
        <f t="shared" si="4"/>
        <v>Invalid: Ship before Order</v>
      </c>
      <c r="AK29" t="e">
        <f t="shared" si="5"/>
        <v>#NUM!</v>
      </c>
    </row>
    <row r="30" spans="1:37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  <c r="V30" s="1" t="s">
        <v>72</v>
      </c>
      <c r="W30" s="1" t="s">
        <v>115</v>
      </c>
      <c r="X30" s="1" t="s">
        <v>73</v>
      </c>
      <c r="Y30" s="1" t="s">
        <v>235</v>
      </c>
      <c r="Z30" s="1" t="s">
        <v>236</v>
      </c>
      <c r="AA30" s="1" t="s">
        <v>86</v>
      </c>
      <c r="AB30" s="1" t="s">
        <v>223</v>
      </c>
      <c r="AC30" s="1" t="s">
        <v>33</v>
      </c>
      <c r="AD30" s="1" t="s">
        <v>124</v>
      </c>
      <c r="AE30" s="1" t="s">
        <v>78</v>
      </c>
      <c r="AF30" s="5">
        <f t="shared" si="0"/>
        <v>45606</v>
      </c>
      <c r="AG30" s="5" t="e">
        <f t="shared" si="1"/>
        <v>#N/A</v>
      </c>
      <c r="AH30" s="5" t="b">
        <f t="shared" si="2"/>
        <v>1</v>
      </c>
      <c r="AI30" s="5" t="b">
        <f t="shared" si="3"/>
        <v>0</v>
      </c>
      <c r="AJ30" t="e">
        <f t="shared" si="4"/>
        <v>#N/A</v>
      </c>
      <c r="AK30" t="e">
        <f t="shared" si="5"/>
        <v>#N/A</v>
      </c>
    </row>
    <row r="31" spans="1:37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  <c r="V31" s="1" t="s">
        <v>180</v>
      </c>
      <c r="W31" s="1" t="s">
        <v>115</v>
      </c>
      <c r="X31" s="1" t="s">
        <v>62</v>
      </c>
      <c r="Y31" s="1" t="s">
        <v>242</v>
      </c>
      <c r="Z31" s="1" t="s">
        <v>243</v>
      </c>
      <c r="AA31" s="1" t="s">
        <v>86</v>
      </c>
      <c r="AB31" s="1" t="s">
        <v>223</v>
      </c>
      <c r="AC31" s="1" t="s">
        <v>67</v>
      </c>
      <c r="AD31" s="1" t="s">
        <v>34</v>
      </c>
      <c r="AE31" s="1" t="s">
        <v>35</v>
      </c>
      <c r="AF31" s="5">
        <f t="shared" si="0"/>
        <v>45882</v>
      </c>
      <c r="AG31" s="5" t="e">
        <f t="shared" si="1"/>
        <v>#N/A</v>
      </c>
      <c r="AH31" s="5" t="b">
        <f t="shared" si="2"/>
        <v>1</v>
      </c>
      <c r="AI31" s="5" t="b">
        <f t="shared" si="3"/>
        <v>0</v>
      </c>
      <c r="AJ31" t="e">
        <f t="shared" si="4"/>
        <v>#N/A</v>
      </c>
      <c r="AK31" t="e">
        <f t="shared" si="5"/>
        <v>#N/A</v>
      </c>
    </row>
    <row r="32" spans="1:37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  <c r="V32" s="1" t="s">
        <v>72</v>
      </c>
      <c r="W32" s="1" t="s">
        <v>108</v>
      </c>
      <c r="X32" s="1" t="s">
        <v>73</v>
      </c>
      <c r="Y32" s="1" t="s">
        <v>249</v>
      </c>
      <c r="Z32" s="1" t="s">
        <v>250</v>
      </c>
      <c r="AA32" s="1" t="s">
        <v>30</v>
      </c>
      <c r="AB32" s="1" t="s">
        <v>109</v>
      </c>
      <c r="AC32" s="1" t="s">
        <v>56</v>
      </c>
      <c r="AD32" s="1" t="s">
        <v>34</v>
      </c>
      <c r="AE32" s="1" t="s">
        <v>35</v>
      </c>
      <c r="AF32" s="5">
        <f t="shared" si="0"/>
        <v>45331</v>
      </c>
      <c r="AG32" s="5">
        <f t="shared" si="1"/>
        <v>45334</v>
      </c>
      <c r="AH32" s="5" t="b">
        <f t="shared" si="2"/>
        <v>1</v>
      </c>
      <c r="AI32" s="5" t="b">
        <f t="shared" si="3"/>
        <v>1</v>
      </c>
      <c r="AJ32" t="str">
        <f t="shared" si="4"/>
        <v>OK</v>
      </c>
      <c r="AK32">
        <f t="shared" si="5"/>
        <v>3</v>
      </c>
    </row>
    <row r="33" spans="1:37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  <c r="V33" s="1" t="s">
        <v>25</v>
      </c>
      <c r="W33" s="1" t="s">
        <v>41</v>
      </c>
      <c r="X33" s="1" t="s">
        <v>73</v>
      </c>
      <c r="Y33" s="1" t="s">
        <v>84</v>
      </c>
      <c r="Z33" s="1" t="s">
        <v>85</v>
      </c>
      <c r="AA33" s="1" t="s">
        <v>30</v>
      </c>
      <c r="AB33" s="1" t="s">
        <v>31</v>
      </c>
      <c r="AC33" s="1" t="s">
        <v>33</v>
      </c>
      <c r="AD33" s="1" t="s">
        <v>200</v>
      </c>
      <c r="AE33" s="1" t="s">
        <v>125</v>
      </c>
      <c r="AF33" s="5" t="e">
        <f t="shared" si="0"/>
        <v>#N/A</v>
      </c>
      <c r="AG33" s="5" t="e">
        <f t="shared" si="1"/>
        <v>#N/A</v>
      </c>
      <c r="AH33" s="5" t="b">
        <f t="shared" si="2"/>
        <v>0</v>
      </c>
      <c r="AI33" s="5" t="b">
        <f t="shared" si="3"/>
        <v>0</v>
      </c>
      <c r="AJ33" t="e">
        <f t="shared" si="4"/>
        <v>#N/A</v>
      </c>
      <c r="AK33" t="e">
        <f t="shared" si="5"/>
        <v>#N/A</v>
      </c>
    </row>
    <row r="34" spans="1:37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  <c r="V34" s="1" t="s">
        <v>162</v>
      </c>
      <c r="W34" s="1" t="s">
        <v>108</v>
      </c>
      <c r="X34" s="1" t="s">
        <v>62</v>
      </c>
      <c r="Y34" s="1" t="s">
        <v>100</v>
      </c>
      <c r="Z34" s="1" t="s">
        <v>101</v>
      </c>
      <c r="AA34" s="1" t="s">
        <v>86</v>
      </c>
      <c r="AB34" s="1" t="s">
        <v>223</v>
      </c>
      <c r="AC34" s="1" t="s">
        <v>33</v>
      </c>
      <c r="AD34" s="1" t="s">
        <v>34</v>
      </c>
      <c r="AE34" s="1" t="s">
        <v>35</v>
      </c>
      <c r="AF34" s="5" t="e">
        <f t="shared" si="0"/>
        <v>#N/A</v>
      </c>
      <c r="AG34" s="5">
        <f t="shared" si="1"/>
        <v>45622</v>
      </c>
      <c r="AH34" s="5" t="b">
        <f t="shared" si="2"/>
        <v>0</v>
      </c>
      <c r="AI34" s="5" t="b">
        <f t="shared" si="3"/>
        <v>1</v>
      </c>
      <c r="AJ34" t="e">
        <f t="shared" si="4"/>
        <v>#N/A</v>
      </c>
      <c r="AK34" t="e">
        <f t="shared" si="5"/>
        <v>#N/A</v>
      </c>
    </row>
    <row r="35" spans="1:37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  <c r="V35" s="1" t="s">
        <v>142</v>
      </c>
      <c r="W35" s="1" t="s">
        <v>115</v>
      </c>
      <c r="X35" s="1" t="s">
        <v>73</v>
      </c>
      <c r="Y35" s="1" t="s">
        <v>249</v>
      </c>
      <c r="Z35" s="1" t="s">
        <v>250</v>
      </c>
      <c r="AA35" s="1" t="s">
        <v>45</v>
      </c>
      <c r="AB35" s="1" t="s">
        <v>46</v>
      </c>
      <c r="AC35" s="1" t="s">
        <v>48</v>
      </c>
      <c r="AD35" s="1" t="s">
        <v>34</v>
      </c>
      <c r="AE35" s="1" t="s">
        <v>35</v>
      </c>
      <c r="AF35" s="5">
        <f t="shared" si="0"/>
        <v>45495</v>
      </c>
      <c r="AG35" s="5" t="e">
        <f t="shared" si="1"/>
        <v>#N/A</v>
      </c>
      <c r="AH35" s="5" t="b">
        <f t="shared" si="2"/>
        <v>1</v>
      </c>
      <c r="AI35" s="5" t="b">
        <f t="shared" si="3"/>
        <v>0</v>
      </c>
      <c r="AJ35" t="e">
        <f t="shared" si="4"/>
        <v>#N/A</v>
      </c>
      <c r="AK35" t="e">
        <f t="shared" si="5"/>
        <v>#N/A</v>
      </c>
    </row>
    <row r="36" spans="1:37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  <c r="V36" s="1" t="s">
        <v>142</v>
      </c>
      <c r="W36" s="1" t="s">
        <v>115</v>
      </c>
      <c r="X36" s="1" t="s">
        <v>42</v>
      </c>
      <c r="Y36" s="1" t="s">
        <v>121</v>
      </c>
      <c r="Z36" s="1" t="s">
        <v>122</v>
      </c>
      <c r="AA36" s="1" t="s">
        <v>45</v>
      </c>
      <c r="AB36" s="1" t="s">
        <v>76</v>
      </c>
      <c r="AC36" s="1" t="s">
        <v>4119</v>
      </c>
      <c r="AD36" s="1" t="s">
        <v>34</v>
      </c>
      <c r="AE36" s="1" t="s">
        <v>35</v>
      </c>
      <c r="AF36" s="5">
        <f t="shared" si="0"/>
        <v>45688</v>
      </c>
      <c r="AG36" s="5">
        <f t="shared" si="1"/>
        <v>45693</v>
      </c>
      <c r="AH36" s="5" t="b">
        <f t="shared" si="2"/>
        <v>1</v>
      </c>
      <c r="AI36" s="5" t="b">
        <f t="shared" si="3"/>
        <v>1</v>
      </c>
      <c r="AJ36" t="str">
        <f t="shared" si="4"/>
        <v>OK</v>
      </c>
      <c r="AK36">
        <f t="shared" si="5"/>
        <v>5</v>
      </c>
    </row>
    <row r="37" spans="1:37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  <c r="V37" s="1" t="s">
        <v>168</v>
      </c>
      <c r="W37" s="1" t="s">
        <v>41</v>
      </c>
      <c r="X37" s="1" t="s">
        <v>73</v>
      </c>
      <c r="Y37" s="1" t="s">
        <v>235</v>
      </c>
      <c r="Z37" s="1" t="s">
        <v>236</v>
      </c>
      <c r="AA37" s="1" t="s">
        <v>45</v>
      </c>
      <c r="AB37" s="1" t="s">
        <v>204</v>
      </c>
      <c r="AC37" s="1" t="s">
        <v>33</v>
      </c>
      <c r="AD37" s="1" t="s">
        <v>137</v>
      </c>
      <c r="AE37" s="1" t="s">
        <v>125</v>
      </c>
      <c r="AF37" s="5" t="e">
        <f t="shared" si="0"/>
        <v>#N/A</v>
      </c>
      <c r="AG37" s="5">
        <f t="shared" si="1"/>
        <v>45441</v>
      </c>
      <c r="AH37" s="5" t="b">
        <f t="shared" si="2"/>
        <v>0</v>
      </c>
      <c r="AI37" s="5" t="b">
        <f t="shared" si="3"/>
        <v>1</v>
      </c>
      <c r="AJ37" t="e">
        <f t="shared" si="4"/>
        <v>#N/A</v>
      </c>
      <c r="AK37" t="e">
        <f t="shared" si="5"/>
        <v>#N/A</v>
      </c>
    </row>
    <row r="38" spans="1:37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  <c r="V38" s="1" t="s">
        <v>180</v>
      </c>
      <c r="W38" s="1" t="s">
        <v>108</v>
      </c>
      <c r="X38" s="1" t="s">
        <v>73</v>
      </c>
      <c r="Y38" s="1" t="s">
        <v>74</v>
      </c>
      <c r="Z38" s="1" t="s">
        <v>75</v>
      </c>
      <c r="AA38" s="1" t="s">
        <v>45</v>
      </c>
      <c r="AB38" s="1" t="s">
        <v>204</v>
      </c>
      <c r="AC38" s="1" t="s">
        <v>33</v>
      </c>
      <c r="AD38" s="1" t="s">
        <v>34</v>
      </c>
      <c r="AE38" s="1" t="s">
        <v>125</v>
      </c>
      <c r="AF38" s="5">
        <f t="shared" si="0"/>
        <v>45590</v>
      </c>
      <c r="AG38" s="5">
        <f t="shared" si="1"/>
        <v>45593</v>
      </c>
      <c r="AH38" s="5" t="b">
        <f t="shared" si="2"/>
        <v>1</v>
      </c>
      <c r="AI38" s="5" t="b">
        <f t="shared" si="3"/>
        <v>1</v>
      </c>
      <c r="AJ38" t="str">
        <f t="shared" si="4"/>
        <v>OK</v>
      </c>
      <c r="AK38">
        <f t="shared" si="5"/>
        <v>3</v>
      </c>
    </row>
    <row r="39" spans="1:37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  <c r="V39" s="1" t="s">
        <v>210</v>
      </c>
      <c r="W39" s="1" t="s">
        <v>26</v>
      </c>
      <c r="X39" s="1" t="s">
        <v>73</v>
      </c>
      <c r="Y39" s="1" t="s">
        <v>74</v>
      </c>
      <c r="Z39" s="1" t="s">
        <v>75</v>
      </c>
      <c r="AA39" s="1" t="s">
        <v>86</v>
      </c>
      <c r="AB39" s="1" t="s">
        <v>94</v>
      </c>
      <c r="AC39" s="1" t="s">
        <v>67</v>
      </c>
      <c r="AD39" s="1" t="s">
        <v>34</v>
      </c>
      <c r="AE39" s="1" t="s">
        <v>35</v>
      </c>
      <c r="AF39" s="5" t="e">
        <f t="shared" si="0"/>
        <v>#N/A</v>
      </c>
      <c r="AG39" s="5" t="e">
        <f t="shared" si="1"/>
        <v>#N/A</v>
      </c>
      <c r="AH39" s="5" t="b">
        <f t="shared" si="2"/>
        <v>0</v>
      </c>
      <c r="AI39" s="5" t="b">
        <f t="shared" si="3"/>
        <v>0</v>
      </c>
      <c r="AJ39" t="e">
        <f t="shared" si="4"/>
        <v>#N/A</v>
      </c>
      <c r="AK39" t="e">
        <f t="shared" si="5"/>
        <v>#N/A</v>
      </c>
    </row>
    <row r="40" spans="1:37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  <c r="V40" s="1" t="s">
        <v>162</v>
      </c>
      <c r="W40" s="1" t="s">
        <v>108</v>
      </c>
      <c r="X40" s="1" t="s">
        <v>73</v>
      </c>
      <c r="Y40" s="1" t="s">
        <v>235</v>
      </c>
      <c r="Z40" s="1" t="s">
        <v>236</v>
      </c>
      <c r="AA40" s="1" t="s">
        <v>86</v>
      </c>
      <c r="AB40" s="1" t="s">
        <v>223</v>
      </c>
      <c r="AC40" s="1" t="s">
        <v>56</v>
      </c>
      <c r="AD40" s="1" t="s">
        <v>34</v>
      </c>
      <c r="AE40" s="1" t="s">
        <v>35</v>
      </c>
      <c r="AF40" s="5">
        <f t="shared" si="0"/>
        <v>45460</v>
      </c>
      <c r="AG40" s="5" t="e">
        <f t="shared" si="1"/>
        <v>#N/A</v>
      </c>
      <c r="AH40" s="5" t="b">
        <f t="shared" si="2"/>
        <v>1</v>
      </c>
      <c r="AI40" s="5" t="b">
        <f t="shared" si="3"/>
        <v>0</v>
      </c>
      <c r="AJ40" t="e">
        <f t="shared" si="4"/>
        <v>#N/A</v>
      </c>
      <c r="AK40" t="e">
        <f t="shared" si="5"/>
        <v>#N/A</v>
      </c>
    </row>
    <row r="41" spans="1:37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  <c r="V41" s="1" t="s">
        <v>40</v>
      </c>
      <c r="W41" s="1" t="s">
        <v>41</v>
      </c>
      <c r="X41" s="1" t="s">
        <v>73</v>
      </c>
      <c r="Y41" s="1" t="s">
        <v>84</v>
      </c>
      <c r="Z41" s="1" t="s">
        <v>85</v>
      </c>
      <c r="AA41" s="1" t="s">
        <v>86</v>
      </c>
      <c r="AB41" s="1" t="s">
        <v>94</v>
      </c>
      <c r="AC41" s="1" t="s">
        <v>56</v>
      </c>
      <c r="AD41" s="1" t="s">
        <v>137</v>
      </c>
      <c r="AE41" s="1" t="s">
        <v>125</v>
      </c>
      <c r="AF41" s="5">
        <f t="shared" si="0"/>
        <v>45637</v>
      </c>
      <c r="AG41" s="5">
        <f t="shared" si="1"/>
        <v>45637</v>
      </c>
      <c r="AH41" s="5" t="b">
        <f t="shared" si="2"/>
        <v>1</v>
      </c>
      <c r="AI41" s="5" t="b">
        <f t="shared" si="3"/>
        <v>1</v>
      </c>
      <c r="AJ41" t="str">
        <f t="shared" si="4"/>
        <v>OK</v>
      </c>
      <c r="AK41">
        <f t="shared" si="5"/>
        <v>0</v>
      </c>
    </row>
    <row r="42" spans="1:37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  <c r="V42" s="1" t="s">
        <v>53</v>
      </c>
      <c r="W42" s="1" t="s">
        <v>115</v>
      </c>
      <c r="X42" s="1" t="s">
        <v>73</v>
      </c>
      <c r="Y42" s="1" t="s">
        <v>28</v>
      </c>
      <c r="Z42" s="1" t="s">
        <v>135</v>
      </c>
      <c r="AA42" s="1" t="s">
        <v>86</v>
      </c>
      <c r="AB42" s="1" t="s">
        <v>94</v>
      </c>
      <c r="AC42" s="1" t="s">
        <v>67</v>
      </c>
      <c r="AD42" s="1" t="s">
        <v>34</v>
      </c>
      <c r="AE42" s="1" t="s">
        <v>35</v>
      </c>
      <c r="AF42" s="5">
        <f t="shared" si="0"/>
        <v>45575</v>
      </c>
      <c r="AG42" s="5">
        <f t="shared" si="1"/>
        <v>45581</v>
      </c>
      <c r="AH42" s="5" t="b">
        <f t="shared" si="2"/>
        <v>1</v>
      </c>
      <c r="AI42" s="5" t="b">
        <f t="shared" si="3"/>
        <v>1</v>
      </c>
      <c r="AJ42" t="str">
        <f t="shared" si="4"/>
        <v>OK</v>
      </c>
      <c r="AK42">
        <f t="shared" si="5"/>
        <v>6</v>
      </c>
    </row>
    <row r="43" spans="1:37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  <c r="V43" s="1" t="s">
        <v>162</v>
      </c>
      <c r="W43" s="1" t="s">
        <v>41</v>
      </c>
      <c r="X43" s="1" t="s">
        <v>42</v>
      </c>
      <c r="Y43" s="1" t="s">
        <v>43</v>
      </c>
      <c r="Z43" s="1" t="s">
        <v>44</v>
      </c>
      <c r="AA43" s="1" t="s">
        <v>45</v>
      </c>
      <c r="AB43" s="1" t="s">
        <v>204</v>
      </c>
      <c r="AC43" s="1" t="s">
        <v>48</v>
      </c>
      <c r="AD43" s="1" t="s">
        <v>137</v>
      </c>
      <c r="AE43" s="1" t="s">
        <v>78</v>
      </c>
      <c r="AF43" s="5">
        <f t="shared" si="0"/>
        <v>45363</v>
      </c>
      <c r="AG43" s="5" t="e">
        <f t="shared" si="1"/>
        <v>#N/A</v>
      </c>
      <c r="AH43" s="5" t="b">
        <f t="shared" si="2"/>
        <v>1</v>
      </c>
      <c r="AI43" s="5" t="b">
        <f t="shared" si="3"/>
        <v>0</v>
      </c>
      <c r="AJ43" t="e">
        <f t="shared" si="4"/>
        <v>#N/A</v>
      </c>
      <c r="AK43" t="e">
        <f t="shared" si="5"/>
        <v>#N/A</v>
      </c>
    </row>
    <row r="44" spans="1:37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  <c r="V44" s="1" t="s">
        <v>61</v>
      </c>
      <c r="W44" s="1" t="s">
        <v>108</v>
      </c>
      <c r="X44" s="1" t="s">
        <v>42</v>
      </c>
      <c r="Y44" s="1" t="s">
        <v>311</v>
      </c>
      <c r="Z44" s="1" t="s">
        <v>312</v>
      </c>
      <c r="AA44" s="1" t="s">
        <v>86</v>
      </c>
      <c r="AB44" s="1" t="s">
        <v>223</v>
      </c>
      <c r="AC44" s="1" t="s">
        <v>67</v>
      </c>
      <c r="AD44" s="1" t="s">
        <v>34</v>
      </c>
      <c r="AE44" s="1" t="s">
        <v>35</v>
      </c>
      <c r="AF44" s="5">
        <f t="shared" si="0"/>
        <v>45940</v>
      </c>
      <c r="AG44" s="5">
        <f t="shared" si="1"/>
        <v>45945</v>
      </c>
      <c r="AH44" s="5" t="b">
        <f t="shared" si="2"/>
        <v>1</v>
      </c>
      <c r="AI44" s="5" t="b">
        <f t="shared" si="3"/>
        <v>1</v>
      </c>
      <c r="AJ44" t="str">
        <f t="shared" si="4"/>
        <v>OK</v>
      </c>
      <c r="AK44">
        <f t="shared" si="5"/>
        <v>5</v>
      </c>
    </row>
    <row r="45" spans="1:37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  <c r="V45" s="1" t="s">
        <v>142</v>
      </c>
      <c r="W45" s="1" t="s">
        <v>41</v>
      </c>
      <c r="X45" s="1" t="s">
        <v>42</v>
      </c>
      <c r="Y45" s="1" t="s">
        <v>43</v>
      </c>
      <c r="Z45" s="1" t="s">
        <v>44</v>
      </c>
      <c r="AA45" s="1" t="s">
        <v>45</v>
      </c>
      <c r="AB45" s="1" t="s">
        <v>65</v>
      </c>
      <c r="AC45" s="1" t="s">
        <v>48</v>
      </c>
      <c r="AD45" s="1" t="s">
        <v>34</v>
      </c>
      <c r="AE45" s="1" t="s">
        <v>35</v>
      </c>
      <c r="AF45" s="5">
        <f t="shared" si="0"/>
        <v>45481</v>
      </c>
      <c r="AG45" s="5">
        <f t="shared" si="1"/>
        <v>45487</v>
      </c>
      <c r="AH45" s="5" t="b">
        <f t="shared" si="2"/>
        <v>1</v>
      </c>
      <c r="AI45" s="5" t="b">
        <f t="shared" si="3"/>
        <v>1</v>
      </c>
      <c r="AJ45" t="str">
        <f t="shared" si="4"/>
        <v>OK</v>
      </c>
      <c r="AK45">
        <f t="shared" si="5"/>
        <v>6</v>
      </c>
    </row>
    <row r="46" spans="1:37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  <c r="V46" s="1" t="s">
        <v>180</v>
      </c>
      <c r="W46" s="1" t="s">
        <v>41</v>
      </c>
      <c r="X46" s="1" t="s">
        <v>27</v>
      </c>
      <c r="Y46" s="1" t="s">
        <v>323</v>
      </c>
      <c r="Z46" s="1" t="s">
        <v>324</v>
      </c>
      <c r="AA46" s="1" t="s">
        <v>45</v>
      </c>
      <c r="AB46" s="1" t="s">
        <v>76</v>
      </c>
      <c r="AC46" s="1" t="s">
        <v>67</v>
      </c>
      <c r="AD46" s="1" t="s">
        <v>34</v>
      </c>
      <c r="AE46" s="1" t="s">
        <v>35</v>
      </c>
      <c r="AF46" s="5">
        <f t="shared" si="0"/>
        <v>45465</v>
      </c>
      <c r="AG46" s="5" t="e">
        <f t="shared" si="1"/>
        <v>#N/A</v>
      </c>
      <c r="AH46" s="5" t="b">
        <f t="shared" si="2"/>
        <v>1</v>
      </c>
      <c r="AI46" s="5" t="b">
        <f t="shared" si="3"/>
        <v>0</v>
      </c>
      <c r="AJ46" t="e">
        <f t="shared" si="4"/>
        <v>#N/A</v>
      </c>
      <c r="AK46" t="e">
        <f t="shared" si="5"/>
        <v>#N/A</v>
      </c>
    </row>
    <row r="47" spans="1:37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  <c r="V47" s="1" t="s">
        <v>53</v>
      </c>
      <c r="W47" s="1" t="s">
        <v>115</v>
      </c>
      <c r="X47" s="1" t="s">
        <v>42</v>
      </c>
      <c r="Y47" s="1" t="s">
        <v>186</v>
      </c>
      <c r="Z47" s="1" t="s">
        <v>187</v>
      </c>
      <c r="AA47" s="1" t="s">
        <v>30</v>
      </c>
      <c r="AB47" s="1" t="s">
        <v>54</v>
      </c>
      <c r="AC47" s="1" t="s">
        <v>33</v>
      </c>
      <c r="AD47" s="1" t="s">
        <v>137</v>
      </c>
      <c r="AE47" s="1" t="s">
        <v>125</v>
      </c>
      <c r="AF47" s="5">
        <f t="shared" si="0"/>
        <v>45309</v>
      </c>
      <c r="AG47" s="5" t="e">
        <f t="shared" si="1"/>
        <v>#N/A</v>
      </c>
      <c r="AH47" s="5" t="b">
        <f t="shared" si="2"/>
        <v>1</v>
      </c>
      <c r="AI47" s="5" t="b">
        <f t="shared" si="3"/>
        <v>0</v>
      </c>
      <c r="AJ47" t="e">
        <f t="shared" si="4"/>
        <v>#N/A</v>
      </c>
      <c r="AK47" t="e">
        <f t="shared" si="5"/>
        <v>#N/A</v>
      </c>
    </row>
    <row r="48" spans="1:37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  <c r="V48" s="1" t="s">
        <v>72</v>
      </c>
      <c r="W48" s="1" t="s">
        <v>41</v>
      </c>
      <c r="X48" s="1" t="s">
        <v>62</v>
      </c>
      <c r="Y48" s="1" t="s">
        <v>242</v>
      </c>
      <c r="Z48" s="1" t="s">
        <v>243</v>
      </c>
      <c r="AA48" s="1" t="s">
        <v>45</v>
      </c>
      <c r="AB48" s="1" t="s">
        <v>204</v>
      </c>
      <c r="AC48" s="1" t="s">
        <v>67</v>
      </c>
      <c r="AD48" s="1" t="s">
        <v>124</v>
      </c>
      <c r="AE48" s="1" t="s">
        <v>125</v>
      </c>
      <c r="AF48" s="5" t="e">
        <f t="shared" si="0"/>
        <v>#N/A</v>
      </c>
      <c r="AG48" s="5" t="e">
        <f t="shared" si="1"/>
        <v>#N/A</v>
      </c>
      <c r="AH48" s="5" t="b">
        <f t="shared" si="2"/>
        <v>0</v>
      </c>
      <c r="AI48" s="5" t="b">
        <f t="shared" si="3"/>
        <v>0</v>
      </c>
      <c r="AJ48" t="e">
        <f t="shared" si="4"/>
        <v>#N/A</v>
      </c>
      <c r="AK48" t="e">
        <f t="shared" si="5"/>
        <v>#N/A</v>
      </c>
    </row>
    <row r="49" spans="1:37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  <c r="V49" s="1" t="s">
        <v>148</v>
      </c>
      <c r="W49" s="1" t="s">
        <v>108</v>
      </c>
      <c r="X49" s="1" t="s">
        <v>62</v>
      </c>
      <c r="Y49" s="1" t="s">
        <v>339</v>
      </c>
      <c r="Z49" s="1" t="s">
        <v>340</v>
      </c>
      <c r="AA49" s="1" t="s">
        <v>30</v>
      </c>
      <c r="AB49" s="1" t="s">
        <v>156</v>
      </c>
      <c r="AC49" s="1" t="s">
        <v>67</v>
      </c>
      <c r="AD49" s="1" t="s">
        <v>34</v>
      </c>
      <c r="AE49" s="1" t="s">
        <v>35</v>
      </c>
      <c r="AF49" s="5">
        <f t="shared" si="0"/>
        <v>45634</v>
      </c>
      <c r="AG49" s="5">
        <f t="shared" si="1"/>
        <v>45516</v>
      </c>
      <c r="AH49" s="5" t="b">
        <f t="shared" si="2"/>
        <v>1</v>
      </c>
      <c r="AI49" s="5" t="b">
        <f t="shared" si="3"/>
        <v>1</v>
      </c>
      <c r="AJ49" t="str">
        <f t="shared" si="4"/>
        <v>Invalid: Ship before Order</v>
      </c>
      <c r="AK49" t="e">
        <f t="shared" si="5"/>
        <v>#NUM!</v>
      </c>
    </row>
    <row r="50" spans="1:37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  <c r="V50" s="1" t="s">
        <v>93</v>
      </c>
      <c r="W50" s="1" t="s">
        <v>108</v>
      </c>
      <c r="X50" s="1" t="s">
        <v>73</v>
      </c>
      <c r="Y50" s="1" t="s">
        <v>74</v>
      </c>
      <c r="Z50" s="1" t="s">
        <v>75</v>
      </c>
      <c r="AA50" s="1" t="s">
        <v>45</v>
      </c>
      <c r="AB50" s="1" t="s">
        <v>76</v>
      </c>
      <c r="AC50" s="1" t="s">
        <v>33</v>
      </c>
      <c r="AD50" s="1" t="s">
        <v>34</v>
      </c>
      <c r="AE50" s="1" t="s">
        <v>35</v>
      </c>
      <c r="AF50" s="5">
        <f t="shared" si="0"/>
        <v>45687</v>
      </c>
      <c r="AG50" s="5">
        <f t="shared" si="1"/>
        <v>45693</v>
      </c>
      <c r="AH50" s="5" t="b">
        <f t="shared" si="2"/>
        <v>1</v>
      </c>
      <c r="AI50" s="5" t="b">
        <f t="shared" si="3"/>
        <v>1</v>
      </c>
      <c r="AJ50" t="str">
        <f t="shared" si="4"/>
        <v>OK</v>
      </c>
      <c r="AK50">
        <f t="shared" si="5"/>
        <v>6</v>
      </c>
    </row>
    <row r="51" spans="1:37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  <c r="V51" s="1" t="s">
        <v>162</v>
      </c>
      <c r="W51" s="1" t="s">
        <v>115</v>
      </c>
      <c r="X51" s="1" t="s">
        <v>27</v>
      </c>
      <c r="Y51" s="1" t="s">
        <v>174</v>
      </c>
      <c r="Z51" s="1" t="s">
        <v>175</v>
      </c>
      <c r="AA51" s="1" t="s">
        <v>86</v>
      </c>
      <c r="AB51" s="1" t="s">
        <v>94</v>
      </c>
      <c r="AC51" s="1" t="s">
        <v>33</v>
      </c>
      <c r="AD51" s="1" t="s">
        <v>34</v>
      </c>
      <c r="AE51" s="1" t="s">
        <v>35</v>
      </c>
      <c r="AF51" s="5">
        <f t="shared" si="0"/>
        <v>45388</v>
      </c>
      <c r="AG51" s="5">
        <f t="shared" si="1"/>
        <v>45395</v>
      </c>
      <c r="AH51" s="5" t="b">
        <f t="shared" si="2"/>
        <v>1</v>
      </c>
      <c r="AI51" s="5" t="b">
        <f t="shared" si="3"/>
        <v>1</v>
      </c>
      <c r="AJ51" t="str">
        <f t="shared" si="4"/>
        <v>OK</v>
      </c>
      <c r="AK51">
        <f t="shared" si="5"/>
        <v>7</v>
      </c>
    </row>
    <row r="52" spans="1:37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  <c r="V52" s="1" t="s">
        <v>168</v>
      </c>
      <c r="W52" s="1" t="s">
        <v>26</v>
      </c>
      <c r="X52" s="1" t="s">
        <v>42</v>
      </c>
      <c r="Y52" s="1" t="s">
        <v>121</v>
      </c>
      <c r="Z52" s="1" t="s">
        <v>122</v>
      </c>
      <c r="AA52" s="1" t="s">
        <v>86</v>
      </c>
      <c r="AB52" s="1" t="s">
        <v>94</v>
      </c>
      <c r="AC52" s="1" t="s">
        <v>67</v>
      </c>
      <c r="AD52" s="1" t="s">
        <v>34</v>
      </c>
      <c r="AE52" s="1" t="s">
        <v>35</v>
      </c>
      <c r="AF52" s="5">
        <f t="shared" si="0"/>
        <v>45788</v>
      </c>
      <c r="AG52" s="5">
        <f t="shared" si="1"/>
        <v>45796</v>
      </c>
      <c r="AH52" s="5" t="b">
        <f t="shared" si="2"/>
        <v>1</v>
      </c>
      <c r="AI52" s="5" t="b">
        <f t="shared" si="3"/>
        <v>1</v>
      </c>
      <c r="AJ52" t="str">
        <f t="shared" si="4"/>
        <v>OK</v>
      </c>
      <c r="AK52">
        <f t="shared" si="5"/>
        <v>8</v>
      </c>
    </row>
    <row r="53" spans="1:37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  <c r="V53" s="1" t="s">
        <v>72</v>
      </c>
      <c r="W53" s="1" t="s">
        <v>108</v>
      </c>
      <c r="X53" s="1" t="s">
        <v>62</v>
      </c>
      <c r="Y53" s="1" t="s">
        <v>63</v>
      </c>
      <c r="Z53" s="1" t="s">
        <v>64</v>
      </c>
      <c r="AA53" s="1" t="s">
        <v>30</v>
      </c>
      <c r="AB53" s="1" t="s">
        <v>54</v>
      </c>
      <c r="AC53" s="1" t="s">
        <v>67</v>
      </c>
      <c r="AD53" s="1" t="s">
        <v>34</v>
      </c>
      <c r="AE53" s="1" t="s">
        <v>35</v>
      </c>
      <c r="AF53" s="5">
        <f t="shared" si="0"/>
        <v>45406</v>
      </c>
      <c r="AG53" s="5">
        <f t="shared" si="1"/>
        <v>45411</v>
      </c>
      <c r="AH53" s="5" t="b">
        <f t="shared" si="2"/>
        <v>1</v>
      </c>
      <c r="AI53" s="5" t="b">
        <f t="shared" si="3"/>
        <v>1</v>
      </c>
      <c r="AJ53" t="str">
        <f t="shared" si="4"/>
        <v>OK</v>
      </c>
      <c r="AK53">
        <f t="shared" si="5"/>
        <v>5</v>
      </c>
    </row>
    <row r="54" spans="1:37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  <c r="V54" s="1" t="s">
        <v>366</v>
      </c>
      <c r="W54" s="1" t="s">
        <v>41</v>
      </c>
      <c r="X54" s="1" t="s">
        <v>27</v>
      </c>
      <c r="Y54" s="1" t="s">
        <v>28</v>
      </c>
      <c r="Z54" s="1" t="s">
        <v>29</v>
      </c>
      <c r="AA54" s="1" t="s">
        <v>45</v>
      </c>
      <c r="AB54" s="1" t="s">
        <v>76</v>
      </c>
      <c r="AC54" s="1" t="s">
        <v>56</v>
      </c>
      <c r="AD54" s="1" t="s">
        <v>200</v>
      </c>
      <c r="AE54" s="1" t="s">
        <v>78</v>
      </c>
      <c r="AF54" s="5" t="e">
        <f t="shared" si="0"/>
        <v>#N/A</v>
      </c>
      <c r="AG54" s="5">
        <f t="shared" si="1"/>
        <v>45593</v>
      </c>
      <c r="AH54" s="5" t="b">
        <f t="shared" si="2"/>
        <v>0</v>
      </c>
      <c r="AI54" s="5" t="b">
        <f t="shared" si="3"/>
        <v>1</v>
      </c>
      <c r="AJ54" t="e">
        <f t="shared" si="4"/>
        <v>#N/A</v>
      </c>
      <c r="AK54" t="e">
        <f t="shared" si="5"/>
        <v>#N/A</v>
      </c>
    </row>
    <row r="55" spans="1:37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  <c r="V55" s="1" t="s">
        <v>366</v>
      </c>
      <c r="W55" s="1" t="s">
        <v>115</v>
      </c>
      <c r="X55" s="1" t="s">
        <v>73</v>
      </c>
      <c r="Y55" s="1" t="s">
        <v>235</v>
      </c>
      <c r="Z55" s="1" t="s">
        <v>236</v>
      </c>
      <c r="AA55" s="1" t="s">
        <v>30</v>
      </c>
      <c r="AB55" s="1" t="s">
        <v>156</v>
      </c>
      <c r="AC55" s="1" t="s">
        <v>56</v>
      </c>
      <c r="AD55" s="1" t="s">
        <v>34</v>
      </c>
      <c r="AE55" s="1" t="s">
        <v>35</v>
      </c>
      <c r="AF55" s="5">
        <f t="shared" si="0"/>
        <v>45747</v>
      </c>
      <c r="AG55" s="5">
        <f t="shared" si="1"/>
        <v>45747</v>
      </c>
      <c r="AH55" s="5" t="b">
        <f t="shared" si="2"/>
        <v>1</v>
      </c>
      <c r="AI55" s="5" t="b">
        <f t="shared" si="3"/>
        <v>1</v>
      </c>
      <c r="AJ55" t="str">
        <f t="shared" si="4"/>
        <v>OK</v>
      </c>
      <c r="AK55">
        <f t="shared" si="5"/>
        <v>0</v>
      </c>
    </row>
    <row r="56" spans="1:37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  <c r="V56" s="1" t="s">
        <v>61</v>
      </c>
      <c r="W56" s="1" t="s">
        <v>108</v>
      </c>
      <c r="X56" s="1" t="s">
        <v>62</v>
      </c>
      <c r="Y56" s="1" t="s">
        <v>339</v>
      </c>
      <c r="Z56" s="1" t="s">
        <v>340</v>
      </c>
      <c r="AA56" s="1" t="s">
        <v>30</v>
      </c>
      <c r="AB56" s="1" t="s">
        <v>109</v>
      </c>
      <c r="AC56" s="1" t="s">
        <v>48</v>
      </c>
      <c r="AD56" s="1" t="s">
        <v>200</v>
      </c>
      <c r="AE56" s="1" t="s">
        <v>78</v>
      </c>
      <c r="AF56" s="5">
        <f t="shared" si="0"/>
        <v>45807</v>
      </c>
      <c r="AG56" s="5">
        <f t="shared" si="1"/>
        <v>45810</v>
      </c>
      <c r="AH56" s="5" t="b">
        <f t="shared" si="2"/>
        <v>1</v>
      </c>
      <c r="AI56" s="5" t="b">
        <f t="shared" si="3"/>
        <v>1</v>
      </c>
      <c r="AJ56" t="str">
        <f t="shared" si="4"/>
        <v>OK</v>
      </c>
      <c r="AK56">
        <f t="shared" si="5"/>
        <v>3</v>
      </c>
    </row>
    <row r="57" spans="1:37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  <c r="V57" s="1" t="s">
        <v>40</v>
      </c>
      <c r="W57" s="1" t="s">
        <v>41</v>
      </c>
      <c r="X57" s="1" t="s">
        <v>62</v>
      </c>
      <c r="Y57" s="1" t="s">
        <v>100</v>
      </c>
      <c r="Z57" s="1" t="s">
        <v>101</v>
      </c>
      <c r="AA57" s="1" t="s">
        <v>86</v>
      </c>
      <c r="AB57" s="1" t="s">
        <v>382</v>
      </c>
      <c r="AC57" s="1" t="s">
        <v>48</v>
      </c>
      <c r="AD57" s="1" t="s">
        <v>34</v>
      </c>
      <c r="AE57" s="1" t="s">
        <v>35</v>
      </c>
      <c r="AF57" s="5">
        <f t="shared" si="0"/>
        <v>45664</v>
      </c>
      <c r="AG57" s="5">
        <f t="shared" si="1"/>
        <v>45723</v>
      </c>
      <c r="AH57" s="5" t="b">
        <f t="shared" si="2"/>
        <v>1</v>
      </c>
      <c r="AI57" s="5" t="b">
        <f t="shared" si="3"/>
        <v>1</v>
      </c>
      <c r="AJ57" t="str">
        <f t="shared" si="4"/>
        <v>OK</v>
      </c>
      <c r="AK57">
        <f t="shared" si="5"/>
        <v>59</v>
      </c>
    </row>
    <row r="58" spans="1:37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  <c r="V58" s="1" t="s">
        <v>25</v>
      </c>
      <c r="W58" s="1" t="s">
        <v>26</v>
      </c>
      <c r="X58" s="1" t="s">
        <v>62</v>
      </c>
      <c r="Y58" s="1" t="s">
        <v>229</v>
      </c>
      <c r="Z58" s="1" t="s">
        <v>230</v>
      </c>
      <c r="AA58" s="1" t="s">
        <v>30</v>
      </c>
      <c r="AB58" s="1" t="s">
        <v>198</v>
      </c>
      <c r="AC58" s="1" t="s">
        <v>33</v>
      </c>
      <c r="AD58" s="1" t="s">
        <v>124</v>
      </c>
      <c r="AE58" s="1" t="s">
        <v>78</v>
      </c>
      <c r="AF58" s="5">
        <f t="shared" si="0"/>
        <v>45662</v>
      </c>
      <c r="AG58" s="5">
        <f t="shared" si="1"/>
        <v>45809</v>
      </c>
      <c r="AH58" s="5" t="b">
        <f t="shared" si="2"/>
        <v>1</v>
      </c>
      <c r="AI58" s="5" t="b">
        <f t="shared" si="3"/>
        <v>1</v>
      </c>
      <c r="AJ58" t="str">
        <f t="shared" si="4"/>
        <v>OK</v>
      </c>
      <c r="AK58">
        <f t="shared" si="5"/>
        <v>147</v>
      </c>
    </row>
    <row r="59" spans="1:37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  <c r="V59" s="1" t="s">
        <v>142</v>
      </c>
      <c r="W59" s="1" t="s">
        <v>26</v>
      </c>
      <c r="X59" s="1" t="s">
        <v>73</v>
      </c>
      <c r="Y59" s="1" t="s">
        <v>249</v>
      </c>
      <c r="Z59" s="1" t="s">
        <v>250</v>
      </c>
      <c r="AA59" s="1" t="s">
        <v>45</v>
      </c>
      <c r="AB59" s="1" t="s">
        <v>76</v>
      </c>
      <c r="AC59" s="1" t="s">
        <v>48</v>
      </c>
      <c r="AD59" s="1" t="s">
        <v>34</v>
      </c>
      <c r="AE59" s="1" t="s">
        <v>35</v>
      </c>
      <c r="AF59" s="5">
        <f t="shared" si="0"/>
        <v>45329</v>
      </c>
      <c r="AG59" s="5">
        <f t="shared" si="1"/>
        <v>45337</v>
      </c>
      <c r="AH59" s="5" t="b">
        <f t="shared" si="2"/>
        <v>1</v>
      </c>
      <c r="AI59" s="5" t="b">
        <f t="shared" si="3"/>
        <v>1</v>
      </c>
      <c r="AJ59" t="str">
        <f t="shared" si="4"/>
        <v>OK</v>
      </c>
      <c r="AK59">
        <f t="shared" si="5"/>
        <v>8</v>
      </c>
    </row>
    <row r="60" spans="1:37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  <c r="V60" s="1" t="s">
        <v>53</v>
      </c>
      <c r="W60" s="1" t="s">
        <v>115</v>
      </c>
      <c r="X60" s="1" t="s">
        <v>27</v>
      </c>
      <c r="Y60" s="1" t="s">
        <v>28</v>
      </c>
      <c r="Z60" s="1" t="s">
        <v>29</v>
      </c>
      <c r="AA60" s="1" t="s">
        <v>30</v>
      </c>
      <c r="AB60" s="1" t="s">
        <v>156</v>
      </c>
      <c r="AC60" s="1" t="s">
        <v>4119</v>
      </c>
      <c r="AD60" s="1" t="s">
        <v>137</v>
      </c>
      <c r="AE60" s="1" t="s">
        <v>125</v>
      </c>
      <c r="AF60" s="5">
        <f t="shared" si="0"/>
        <v>45536</v>
      </c>
      <c r="AG60" s="5">
        <f t="shared" si="1"/>
        <v>45542</v>
      </c>
      <c r="AH60" s="5" t="b">
        <f t="shared" si="2"/>
        <v>1</v>
      </c>
      <c r="AI60" s="5" t="b">
        <f t="shared" si="3"/>
        <v>1</v>
      </c>
      <c r="AJ60" t="str">
        <f t="shared" si="4"/>
        <v>OK</v>
      </c>
      <c r="AK60">
        <f t="shared" si="5"/>
        <v>6</v>
      </c>
    </row>
    <row r="61" spans="1:37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  <c r="V61" s="1" t="s">
        <v>142</v>
      </c>
      <c r="W61" s="1" t="s">
        <v>108</v>
      </c>
      <c r="X61" s="1" t="s">
        <v>42</v>
      </c>
      <c r="Y61" s="1" t="s">
        <v>216</v>
      </c>
      <c r="Z61" s="1" t="s">
        <v>217</v>
      </c>
      <c r="AA61" s="1" t="s">
        <v>30</v>
      </c>
      <c r="AB61" s="1" t="s">
        <v>109</v>
      </c>
      <c r="AC61" s="1" t="s">
        <v>48</v>
      </c>
      <c r="AD61" s="1" t="s">
        <v>34</v>
      </c>
      <c r="AE61" s="1" t="s">
        <v>78</v>
      </c>
      <c r="AF61" s="5" t="e">
        <f t="shared" si="0"/>
        <v>#N/A</v>
      </c>
      <c r="AG61" s="5">
        <f t="shared" si="1"/>
        <v>45498</v>
      </c>
      <c r="AH61" s="5" t="b">
        <f t="shared" si="2"/>
        <v>0</v>
      </c>
      <c r="AI61" s="5" t="b">
        <f t="shared" si="3"/>
        <v>1</v>
      </c>
      <c r="AJ61" t="e">
        <f t="shared" si="4"/>
        <v>#N/A</v>
      </c>
      <c r="AK61" t="e">
        <f t="shared" si="5"/>
        <v>#N/A</v>
      </c>
    </row>
    <row r="62" spans="1:37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  <c r="V62" s="1" t="s">
        <v>72</v>
      </c>
      <c r="W62" s="1" t="s">
        <v>108</v>
      </c>
      <c r="X62" s="1" t="s">
        <v>42</v>
      </c>
      <c r="Y62" s="1" t="s">
        <v>216</v>
      </c>
      <c r="Z62" s="1" t="s">
        <v>217</v>
      </c>
      <c r="AA62" s="1" t="s">
        <v>30</v>
      </c>
      <c r="AB62" s="1" t="s">
        <v>109</v>
      </c>
      <c r="AC62" s="1" t="s">
        <v>48</v>
      </c>
      <c r="AD62" s="1" t="s">
        <v>124</v>
      </c>
      <c r="AE62" s="1" t="s">
        <v>78</v>
      </c>
      <c r="AF62" s="5">
        <f t="shared" si="0"/>
        <v>45486</v>
      </c>
      <c r="AG62" s="5">
        <f t="shared" si="1"/>
        <v>45492</v>
      </c>
      <c r="AH62" s="5" t="b">
        <f t="shared" si="2"/>
        <v>1</v>
      </c>
      <c r="AI62" s="5" t="b">
        <f t="shared" si="3"/>
        <v>1</v>
      </c>
      <c r="AJ62" t="str">
        <f t="shared" si="4"/>
        <v>OK</v>
      </c>
      <c r="AK62">
        <f t="shared" si="5"/>
        <v>6</v>
      </c>
    </row>
    <row r="63" spans="1:37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  <c r="V63" s="1" t="s">
        <v>83</v>
      </c>
      <c r="W63" s="1" t="s">
        <v>115</v>
      </c>
      <c r="X63" s="1" t="s">
        <v>42</v>
      </c>
      <c r="Y63" s="1" t="s">
        <v>186</v>
      </c>
      <c r="Z63" s="1" t="s">
        <v>187</v>
      </c>
      <c r="AA63" s="1" t="s">
        <v>45</v>
      </c>
      <c r="AB63" s="1" t="s">
        <v>204</v>
      </c>
      <c r="AC63" s="1" t="s">
        <v>67</v>
      </c>
      <c r="AD63" s="1" t="s">
        <v>34</v>
      </c>
      <c r="AE63" s="1" t="s">
        <v>35</v>
      </c>
      <c r="AF63" s="5">
        <f t="shared" si="0"/>
        <v>45398</v>
      </c>
      <c r="AG63" s="5">
        <f t="shared" si="1"/>
        <v>45398</v>
      </c>
      <c r="AH63" s="5" t="b">
        <f t="shared" si="2"/>
        <v>1</v>
      </c>
      <c r="AI63" s="5" t="b">
        <f t="shared" si="3"/>
        <v>1</v>
      </c>
      <c r="AJ63" t="str">
        <f t="shared" si="4"/>
        <v>OK</v>
      </c>
      <c r="AK63">
        <f t="shared" si="5"/>
        <v>0</v>
      </c>
    </row>
    <row r="64" spans="1:37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  <c r="V64" s="1" t="s">
        <v>168</v>
      </c>
      <c r="W64" s="1" t="s">
        <v>115</v>
      </c>
      <c r="X64" s="1" t="s">
        <v>27</v>
      </c>
      <c r="Y64" s="1" t="s">
        <v>28</v>
      </c>
      <c r="Z64" s="1" t="s">
        <v>29</v>
      </c>
      <c r="AA64" s="1" t="s">
        <v>86</v>
      </c>
      <c r="AB64" s="1" t="s">
        <v>223</v>
      </c>
      <c r="AC64" s="1" t="s">
        <v>67</v>
      </c>
      <c r="AD64" s="1" t="s">
        <v>34</v>
      </c>
      <c r="AE64" s="1" t="s">
        <v>35</v>
      </c>
      <c r="AF64" s="5">
        <f t="shared" si="0"/>
        <v>45595</v>
      </c>
      <c r="AG64" s="5">
        <f t="shared" si="1"/>
        <v>45333</v>
      </c>
      <c r="AH64" s="5" t="b">
        <f t="shared" si="2"/>
        <v>1</v>
      </c>
      <c r="AI64" s="5" t="b">
        <f t="shared" si="3"/>
        <v>1</v>
      </c>
      <c r="AJ64" t="str">
        <f t="shared" si="4"/>
        <v>Invalid: Ship before Order</v>
      </c>
      <c r="AK64" t="e">
        <f t="shared" si="5"/>
        <v>#NUM!</v>
      </c>
    </row>
    <row r="65" spans="1:37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  <c r="V65" s="1" t="s">
        <v>168</v>
      </c>
      <c r="W65" s="1" t="s">
        <v>115</v>
      </c>
      <c r="X65" s="1" t="s">
        <v>27</v>
      </c>
      <c r="Y65" s="1" t="s">
        <v>323</v>
      </c>
      <c r="Z65" s="1" t="s">
        <v>324</v>
      </c>
      <c r="AA65" s="1" t="s">
        <v>30</v>
      </c>
      <c r="AB65" s="1" t="s">
        <v>198</v>
      </c>
      <c r="AC65" s="1" t="s">
        <v>48</v>
      </c>
      <c r="AD65" s="1" t="s">
        <v>34</v>
      </c>
      <c r="AE65" s="1" t="s">
        <v>35</v>
      </c>
      <c r="AF65" s="5">
        <f t="shared" si="0"/>
        <v>45316</v>
      </c>
      <c r="AG65" s="5">
        <f t="shared" si="1"/>
        <v>45293</v>
      </c>
      <c r="AH65" s="5" t="b">
        <f t="shared" si="2"/>
        <v>1</v>
      </c>
      <c r="AI65" s="5" t="b">
        <f t="shared" si="3"/>
        <v>1</v>
      </c>
      <c r="AJ65" t="str">
        <f t="shared" si="4"/>
        <v>Invalid: Ship before Order</v>
      </c>
      <c r="AK65" t="e">
        <f t="shared" si="5"/>
        <v>#NUM!</v>
      </c>
    </row>
    <row r="66" spans="1:37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  <c r="V66" s="1" t="s">
        <v>162</v>
      </c>
      <c r="W66" s="1" t="s">
        <v>108</v>
      </c>
      <c r="X66" s="1" t="s">
        <v>42</v>
      </c>
      <c r="Y66" s="1" t="s">
        <v>311</v>
      </c>
      <c r="Z66" s="1" t="s">
        <v>312</v>
      </c>
      <c r="AA66" s="1" t="s">
        <v>30</v>
      </c>
      <c r="AB66" s="1" t="s">
        <v>31</v>
      </c>
      <c r="AC66" s="1" t="s">
        <v>56</v>
      </c>
      <c r="AD66" s="1" t="s">
        <v>124</v>
      </c>
      <c r="AE66" s="1" t="s">
        <v>125</v>
      </c>
      <c r="AF66" s="5">
        <f t="shared" si="0"/>
        <v>45649</v>
      </c>
      <c r="AG66" s="5">
        <f t="shared" si="1"/>
        <v>45655</v>
      </c>
      <c r="AH66" s="5" t="b">
        <f t="shared" si="2"/>
        <v>1</v>
      </c>
      <c r="AI66" s="5" t="b">
        <f t="shared" si="3"/>
        <v>1</v>
      </c>
      <c r="AJ66" t="str">
        <f t="shared" si="4"/>
        <v>OK</v>
      </c>
      <c r="AK66">
        <f t="shared" si="5"/>
        <v>6</v>
      </c>
    </row>
    <row r="67" spans="1:37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  <c r="V67" s="1" t="s">
        <v>40</v>
      </c>
      <c r="W67" s="1" t="s">
        <v>115</v>
      </c>
      <c r="X67" s="1" t="s">
        <v>73</v>
      </c>
      <c r="Y67" s="1" t="s">
        <v>74</v>
      </c>
      <c r="Z67" s="1" t="s">
        <v>75</v>
      </c>
      <c r="AA67" s="1" t="s">
        <v>30</v>
      </c>
      <c r="AB67" s="1" t="s">
        <v>31</v>
      </c>
      <c r="AC67" s="1" t="s">
        <v>33</v>
      </c>
      <c r="AD67" s="1" t="s">
        <v>34</v>
      </c>
      <c r="AE67" s="1" t="s">
        <v>35</v>
      </c>
      <c r="AF67" s="5">
        <f t="shared" ref="AF67:AF130" si="6">IFERROR(DATEVALUE(B67),IFERROR(DATE(VALUE(RIGHT(B67,4)),VALUE(MID(SUBSTITUTE(B67,"-","/"),6,2)),VALUE(LEFT(B67,2))),NA()))</f>
        <v>45404</v>
      </c>
      <c r="AG67" s="5">
        <f t="shared" ref="AG67:AG130" si="7">IFERROR(DATEVALUE(C67),IFERROR(DATE(VALUE(RIGHT(C67,4)),VALUE(MID(SUBSTITUTE(C67,"-","/"),6,2)),VALUE(LEFT(C67,2))),NA()))</f>
        <v>45409</v>
      </c>
      <c r="AH67" s="5" t="b">
        <f t="shared" ref="AH67:AH130" si="8">ISNUMBER(AF67)</f>
        <v>1</v>
      </c>
      <c r="AI67" s="5" t="b">
        <f t="shared" ref="AI67:AI130" si="9">ISNUMBER(AG67)</f>
        <v>1</v>
      </c>
      <c r="AJ67" t="str">
        <f t="shared" ref="AJ67:AJ130" si="10">IF(AG67&lt;AF67,"Invalid: Ship before Order","OK")</f>
        <v>OK</v>
      </c>
      <c r="AK67">
        <f t="shared" ref="AK67:AK130" si="11">DATEDIF(AF67, AG67, "D")</f>
        <v>5</v>
      </c>
    </row>
    <row r="68" spans="1:37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  <c r="V68" s="1" t="s">
        <v>25</v>
      </c>
      <c r="W68" s="1" t="s">
        <v>41</v>
      </c>
      <c r="X68" s="1" t="s">
        <v>62</v>
      </c>
      <c r="Y68" s="1" t="s">
        <v>339</v>
      </c>
      <c r="Z68" s="1" t="s">
        <v>340</v>
      </c>
      <c r="AA68" s="1" t="s">
        <v>86</v>
      </c>
      <c r="AB68" s="1" t="s">
        <v>87</v>
      </c>
      <c r="AC68" s="1" t="s">
        <v>48</v>
      </c>
      <c r="AD68" s="1" t="s">
        <v>34</v>
      </c>
      <c r="AE68" s="1" t="s">
        <v>35</v>
      </c>
      <c r="AF68" s="5">
        <f t="shared" si="6"/>
        <v>45897</v>
      </c>
      <c r="AG68" s="5">
        <f t="shared" si="7"/>
        <v>45901</v>
      </c>
      <c r="AH68" s="5" t="b">
        <f t="shared" si="8"/>
        <v>1</v>
      </c>
      <c r="AI68" s="5" t="b">
        <f t="shared" si="9"/>
        <v>1</v>
      </c>
      <c r="AJ68" t="str">
        <f t="shared" si="10"/>
        <v>OK</v>
      </c>
      <c r="AK68">
        <f t="shared" si="11"/>
        <v>4</v>
      </c>
    </row>
    <row r="69" spans="1:37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  <c r="V69" s="1" t="s">
        <v>366</v>
      </c>
      <c r="W69" s="1" t="s">
        <v>26</v>
      </c>
      <c r="X69" s="1" t="s">
        <v>27</v>
      </c>
      <c r="Y69" s="1" t="s">
        <v>323</v>
      </c>
      <c r="Z69" s="1" t="s">
        <v>324</v>
      </c>
      <c r="AA69" s="1" t="s">
        <v>30</v>
      </c>
      <c r="AB69" s="1" t="s">
        <v>31</v>
      </c>
      <c r="AC69" s="1" t="s">
        <v>56</v>
      </c>
      <c r="AD69" s="1" t="s">
        <v>34</v>
      </c>
      <c r="AE69" s="1" t="s">
        <v>35</v>
      </c>
      <c r="AF69" s="5">
        <f t="shared" si="6"/>
        <v>45691</v>
      </c>
      <c r="AG69" s="5">
        <f t="shared" si="7"/>
        <v>45840</v>
      </c>
      <c r="AH69" s="5" t="b">
        <f t="shared" si="8"/>
        <v>1</v>
      </c>
      <c r="AI69" s="5" t="b">
        <f t="shared" si="9"/>
        <v>1</v>
      </c>
      <c r="AJ69" t="str">
        <f t="shared" si="10"/>
        <v>OK</v>
      </c>
      <c r="AK69">
        <f t="shared" si="11"/>
        <v>149</v>
      </c>
    </row>
    <row r="70" spans="1:37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  <c r="V70" s="1" t="s">
        <v>53</v>
      </c>
      <c r="W70" s="1" t="s">
        <v>108</v>
      </c>
      <c r="X70" s="1" t="s">
        <v>42</v>
      </c>
      <c r="Y70" s="1" t="s">
        <v>311</v>
      </c>
      <c r="Z70" s="1" t="s">
        <v>312</v>
      </c>
      <c r="AA70" s="1" t="s">
        <v>30</v>
      </c>
      <c r="AB70" s="1" t="s">
        <v>156</v>
      </c>
      <c r="AC70" s="1" t="s">
        <v>33</v>
      </c>
      <c r="AD70" s="1" t="s">
        <v>200</v>
      </c>
      <c r="AE70" s="1" t="s">
        <v>125</v>
      </c>
      <c r="AF70" s="5">
        <f t="shared" si="6"/>
        <v>45606</v>
      </c>
      <c r="AG70" s="5">
        <f t="shared" si="7"/>
        <v>45609</v>
      </c>
      <c r="AH70" s="5" t="b">
        <f t="shared" si="8"/>
        <v>1</v>
      </c>
      <c r="AI70" s="5" t="b">
        <f t="shared" si="9"/>
        <v>1</v>
      </c>
      <c r="AJ70" t="str">
        <f t="shared" si="10"/>
        <v>OK</v>
      </c>
      <c r="AK70">
        <f t="shared" si="11"/>
        <v>3</v>
      </c>
    </row>
    <row r="71" spans="1:37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  <c r="V71" s="1" t="s">
        <v>93</v>
      </c>
      <c r="W71" s="1" t="s">
        <v>41</v>
      </c>
      <c r="X71" s="1" t="s">
        <v>73</v>
      </c>
      <c r="Y71" s="1" t="s">
        <v>235</v>
      </c>
      <c r="Z71" s="1" t="s">
        <v>236</v>
      </c>
      <c r="AA71" s="1" t="s">
        <v>86</v>
      </c>
      <c r="AB71" s="1" t="s">
        <v>382</v>
      </c>
      <c r="AC71" s="1" t="s">
        <v>48</v>
      </c>
      <c r="AD71" s="1" t="s">
        <v>124</v>
      </c>
      <c r="AE71" s="1" t="s">
        <v>125</v>
      </c>
      <c r="AF71" s="5">
        <f t="shared" si="6"/>
        <v>45391</v>
      </c>
      <c r="AG71" s="5">
        <f t="shared" si="7"/>
        <v>45396</v>
      </c>
      <c r="AH71" s="5" t="b">
        <f t="shared" si="8"/>
        <v>1</v>
      </c>
      <c r="AI71" s="5" t="b">
        <f t="shared" si="9"/>
        <v>1</v>
      </c>
      <c r="AJ71" t="str">
        <f t="shared" si="10"/>
        <v>OK</v>
      </c>
      <c r="AK71">
        <f t="shared" si="11"/>
        <v>5</v>
      </c>
    </row>
    <row r="72" spans="1:37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  <c r="V72" s="1" t="s">
        <v>25</v>
      </c>
      <c r="W72" s="1" t="s">
        <v>108</v>
      </c>
      <c r="X72" s="1" t="s">
        <v>62</v>
      </c>
      <c r="Y72" s="1" t="s">
        <v>100</v>
      </c>
      <c r="Z72" s="1" t="s">
        <v>101</v>
      </c>
      <c r="AA72" s="1" t="s">
        <v>86</v>
      </c>
      <c r="AB72" s="1" t="s">
        <v>223</v>
      </c>
      <c r="AC72" s="1" t="s">
        <v>56</v>
      </c>
      <c r="AD72" s="1" t="s">
        <v>34</v>
      </c>
      <c r="AE72" s="1" t="s">
        <v>35</v>
      </c>
      <c r="AF72" s="5">
        <f t="shared" si="6"/>
        <v>45891</v>
      </c>
      <c r="AG72" s="5">
        <f t="shared" si="7"/>
        <v>45896</v>
      </c>
      <c r="AH72" s="5" t="b">
        <f t="shared" si="8"/>
        <v>1</v>
      </c>
      <c r="AI72" s="5" t="b">
        <f t="shared" si="9"/>
        <v>1</v>
      </c>
      <c r="AJ72" t="str">
        <f t="shared" si="10"/>
        <v>OK</v>
      </c>
      <c r="AK72">
        <f t="shared" si="11"/>
        <v>5</v>
      </c>
    </row>
    <row r="73" spans="1:37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  <c r="V73" s="1" t="s">
        <v>40</v>
      </c>
      <c r="W73" s="1" t="s">
        <v>41</v>
      </c>
      <c r="X73" s="1" t="s">
        <v>73</v>
      </c>
      <c r="Y73" s="1" t="s">
        <v>249</v>
      </c>
      <c r="Z73" s="1" t="s">
        <v>250</v>
      </c>
      <c r="AA73" s="1" t="s">
        <v>86</v>
      </c>
      <c r="AB73" s="1" t="s">
        <v>382</v>
      </c>
      <c r="AC73" s="1" t="s">
        <v>67</v>
      </c>
      <c r="AD73" s="1" t="s">
        <v>34</v>
      </c>
      <c r="AE73" s="1" t="s">
        <v>35</v>
      </c>
      <c r="AF73" s="5">
        <f t="shared" si="6"/>
        <v>45763</v>
      </c>
      <c r="AG73" s="5">
        <f t="shared" si="7"/>
        <v>45770</v>
      </c>
      <c r="AH73" s="5" t="b">
        <f t="shared" si="8"/>
        <v>1</v>
      </c>
      <c r="AI73" s="5" t="b">
        <f t="shared" si="9"/>
        <v>1</v>
      </c>
      <c r="AJ73" t="str">
        <f t="shared" si="10"/>
        <v>OK</v>
      </c>
      <c r="AK73">
        <f t="shared" si="11"/>
        <v>7</v>
      </c>
    </row>
    <row r="74" spans="1:37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  <c r="V74" s="1" t="s">
        <v>25</v>
      </c>
      <c r="W74" s="1" t="s">
        <v>115</v>
      </c>
      <c r="X74" s="1" t="s">
        <v>62</v>
      </c>
      <c r="Y74" s="1" t="s">
        <v>339</v>
      </c>
      <c r="Z74" s="1" t="s">
        <v>340</v>
      </c>
      <c r="AA74" s="1" t="s">
        <v>45</v>
      </c>
      <c r="AB74" s="1" t="s">
        <v>46</v>
      </c>
      <c r="AC74" s="1" t="s">
        <v>56</v>
      </c>
      <c r="AD74" s="1" t="s">
        <v>34</v>
      </c>
      <c r="AE74" s="1" t="s">
        <v>35</v>
      </c>
      <c r="AF74" s="5">
        <f t="shared" si="6"/>
        <v>45333</v>
      </c>
      <c r="AG74" s="5">
        <f t="shared" si="7"/>
        <v>45329</v>
      </c>
      <c r="AH74" s="5" t="b">
        <f t="shared" si="8"/>
        <v>1</v>
      </c>
      <c r="AI74" s="5" t="b">
        <f t="shared" si="9"/>
        <v>1</v>
      </c>
      <c r="AJ74" t="str">
        <f t="shared" si="10"/>
        <v>Invalid: Ship before Order</v>
      </c>
      <c r="AK74" t="e">
        <f t="shared" si="11"/>
        <v>#NUM!</v>
      </c>
    </row>
    <row r="75" spans="1:37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  <c r="V75" s="1" t="s">
        <v>168</v>
      </c>
      <c r="W75" s="1" t="s">
        <v>108</v>
      </c>
      <c r="X75" s="1" t="s">
        <v>42</v>
      </c>
      <c r="Y75" s="1" t="s">
        <v>121</v>
      </c>
      <c r="Z75" s="1" t="s">
        <v>122</v>
      </c>
      <c r="AA75" s="1" t="s">
        <v>45</v>
      </c>
      <c r="AB75" s="1" t="s">
        <v>204</v>
      </c>
      <c r="AC75" s="1" t="s">
        <v>56</v>
      </c>
      <c r="AD75" s="1" t="s">
        <v>34</v>
      </c>
      <c r="AE75" s="1" t="s">
        <v>35</v>
      </c>
      <c r="AF75" s="5" t="e">
        <f t="shared" si="6"/>
        <v>#N/A</v>
      </c>
      <c r="AG75" s="5">
        <f t="shared" si="7"/>
        <v>45750</v>
      </c>
      <c r="AH75" s="5" t="b">
        <f t="shared" si="8"/>
        <v>0</v>
      </c>
      <c r="AI75" s="5" t="b">
        <f t="shared" si="9"/>
        <v>1</v>
      </c>
      <c r="AJ75" t="e">
        <f t="shared" si="10"/>
        <v>#N/A</v>
      </c>
      <c r="AK75" t="e">
        <f t="shared" si="11"/>
        <v>#N/A</v>
      </c>
    </row>
    <row r="76" spans="1:37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  <c r="V76" s="1" t="s">
        <v>83</v>
      </c>
      <c r="W76" s="1" t="s">
        <v>41</v>
      </c>
      <c r="X76" s="1" t="s">
        <v>42</v>
      </c>
      <c r="Y76" s="1" t="s">
        <v>121</v>
      </c>
      <c r="Z76" s="1" t="s">
        <v>122</v>
      </c>
      <c r="AA76" s="1" t="s">
        <v>45</v>
      </c>
      <c r="AB76" s="1" t="s">
        <v>76</v>
      </c>
      <c r="AC76" s="1" t="s">
        <v>67</v>
      </c>
      <c r="AD76" s="1" t="s">
        <v>34</v>
      </c>
      <c r="AE76" s="1" t="s">
        <v>35</v>
      </c>
      <c r="AF76" s="5">
        <f t="shared" si="6"/>
        <v>45715</v>
      </c>
      <c r="AG76" s="5">
        <f t="shared" si="7"/>
        <v>45717</v>
      </c>
      <c r="AH76" s="5" t="b">
        <f t="shared" si="8"/>
        <v>1</v>
      </c>
      <c r="AI76" s="5" t="b">
        <f t="shared" si="9"/>
        <v>1</v>
      </c>
      <c r="AJ76" t="str">
        <f t="shared" si="10"/>
        <v>OK</v>
      </c>
      <c r="AK76">
        <f t="shared" si="11"/>
        <v>2</v>
      </c>
    </row>
    <row r="77" spans="1:37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  <c r="V77" s="1" t="s">
        <v>142</v>
      </c>
      <c r="W77" s="1" t="s">
        <v>41</v>
      </c>
      <c r="X77" s="1" t="s">
        <v>42</v>
      </c>
      <c r="Y77" s="1" t="s">
        <v>43</v>
      </c>
      <c r="Z77" s="1" t="s">
        <v>44</v>
      </c>
      <c r="AA77" s="1" t="s">
        <v>30</v>
      </c>
      <c r="AB77" s="1" t="s">
        <v>109</v>
      </c>
      <c r="AC77" s="1" t="s">
        <v>56</v>
      </c>
      <c r="AD77" s="1" t="s">
        <v>34</v>
      </c>
      <c r="AE77" s="1" t="s">
        <v>35</v>
      </c>
      <c r="AF77" s="5" t="e">
        <f t="shared" si="6"/>
        <v>#N/A</v>
      </c>
      <c r="AG77" s="5">
        <f t="shared" si="7"/>
        <v>45896</v>
      </c>
      <c r="AH77" s="5" t="b">
        <f t="shared" si="8"/>
        <v>0</v>
      </c>
      <c r="AI77" s="5" t="b">
        <f t="shared" si="9"/>
        <v>1</v>
      </c>
      <c r="AJ77" t="e">
        <f t="shared" si="10"/>
        <v>#N/A</v>
      </c>
      <c r="AK77" t="e">
        <f t="shared" si="11"/>
        <v>#N/A</v>
      </c>
    </row>
    <row r="78" spans="1:37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  <c r="V78" s="1" t="s">
        <v>72</v>
      </c>
      <c r="W78" s="1" t="s">
        <v>108</v>
      </c>
      <c r="X78" s="1" t="s">
        <v>42</v>
      </c>
      <c r="Y78" s="1" t="s">
        <v>311</v>
      </c>
      <c r="Z78" s="1" t="s">
        <v>312</v>
      </c>
      <c r="AA78" s="1" t="s">
        <v>30</v>
      </c>
      <c r="AB78" s="1" t="s">
        <v>109</v>
      </c>
      <c r="AC78" s="1" t="s">
        <v>33</v>
      </c>
      <c r="AD78" s="1" t="s">
        <v>34</v>
      </c>
      <c r="AE78" s="1" t="s">
        <v>35</v>
      </c>
      <c r="AF78" s="5">
        <f t="shared" si="6"/>
        <v>45599</v>
      </c>
      <c r="AG78" s="5">
        <f t="shared" si="7"/>
        <v>45607</v>
      </c>
      <c r="AH78" s="5" t="b">
        <f t="shared" si="8"/>
        <v>1</v>
      </c>
      <c r="AI78" s="5" t="b">
        <f t="shared" si="9"/>
        <v>1</v>
      </c>
      <c r="AJ78" t="str">
        <f t="shared" si="10"/>
        <v>OK</v>
      </c>
      <c r="AK78">
        <f t="shared" si="11"/>
        <v>8</v>
      </c>
    </row>
    <row r="79" spans="1:37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  <c r="V79" s="1" t="s">
        <v>180</v>
      </c>
      <c r="W79" s="1" t="s">
        <v>115</v>
      </c>
      <c r="X79" s="1" t="s">
        <v>27</v>
      </c>
      <c r="Y79" s="1" t="s">
        <v>174</v>
      </c>
      <c r="Z79" s="1" t="s">
        <v>175</v>
      </c>
      <c r="AA79" s="1" t="s">
        <v>45</v>
      </c>
      <c r="AB79" s="1" t="s">
        <v>65</v>
      </c>
      <c r="AC79" s="1" t="s">
        <v>67</v>
      </c>
      <c r="AD79" s="1" t="s">
        <v>124</v>
      </c>
      <c r="AE79" s="1" t="s">
        <v>78</v>
      </c>
      <c r="AF79" s="5">
        <f t="shared" si="6"/>
        <v>45846</v>
      </c>
      <c r="AG79" s="5">
        <f t="shared" si="7"/>
        <v>45998</v>
      </c>
      <c r="AH79" s="5" t="b">
        <f t="shared" si="8"/>
        <v>1</v>
      </c>
      <c r="AI79" s="5" t="b">
        <f t="shared" si="9"/>
        <v>1</v>
      </c>
      <c r="AJ79" t="str">
        <f t="shared" si="10"/>
        <v>OK</v>
      </c>
      <c r="AK79">
        <f t="shared" si="11"/>
        <v>152</v>
      </c>
    </row>
    <row r="80" spans="1:37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  <c r="V80" s="1" t="s">
        <v>168</v>
      </c>
      <c r="W80" s="1" t="s">
        <v>108</v>
      </c>
      <c r="X80" s="1" t="s">
        <v>42</v>
      </c>
      <c r="Y80" s="1" t="s">
        <v>121</v>
      </c>
      <c r="Z80" s="1" t="s">
        <v>122</v>
      </c>
      <c r="AA80" s="1" t="s">
        <v>45</v>
      </c>
      <c r="AB80" s="1" t="s">
        <v>46</v>
      </c>
      <c r="AC80" s="1" t="s">
        <v>56</v>
      </c>
      <c r="AD80" s="1" t="s">
        <v>34</v>
      </c>
      <c r="AE80" s="1" t="s">
        <v>35</v>
      </c>
      <c r="AF80" s="5">
        <f t="shared" si="6"/>
        <v>45854</v>
      </c>
      <c r="AG80" s="5" t="e">
        <f t="shared" si="7"/>
        <v>#N/A</v>
      </c>
      <c r="AH80" s="5" t="b">
        <f t="shared" si="8"/>
        <v>1</v>
      </c>
      <c r="AI80" s="5" t="b">
        <f t="shared" si="9"/>
        <v>0</v>
      </c>
      <c r="AJ80" t="e">
        <f t="shared" si="10"/>
        <v>#N/A</v>
      </c>
      <c r="AK80" t="e">
        <f t="shared" si="11"/>
        <v>#N/A</v>
      </c>
    </row>
    <row r="81" spans="1:37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  <c r="V81" s="1" t="s">
        <v>210</v>
      </c>
      <c r="W81" s="1" t="s">
        <v>115</v>
      </c>
      <c r="X81" s="1" t="s">
        <v>62</v>
      </c>
      <c r="Y81" s="1" t="s">
        <v>339</v>
      </c>
      <c r="Z81" s="1" t="s">
        <v>340</v>
      </c>
      <c r="AA81" s="1" t="s">
        <v>45</v>
      </c>
      <c r="AB81" s="1" t="s">
        <v>76</v>
      </c>
      <c r="AC81" s="1" t="s">
        <v>48</v>
      </c>
      <c r="AD81" s="1" t="s">
        <v>34</v>
      </c>
      <c r="AE81" s="1" t="s">
        <v>35</v>
      </c>
      <c r="AF81" s="5">
        <f t="shared" si="6"/>
        <v>45927</v>
      </c>
      <c r="AG81" s="5">
        <f t="shared" si="7"/>
        <v>45933</v>
      </c>
      <c r="AH81" s="5" t="b">
        <f t="shared" si="8"/>
        <v>1</v>
      </c>
      <c r="AI81" s="5" t="b">
        <f t="shared" si="9"/>
        <v>1</v>
      </c>
      <c r="AJ81" t="str">
        <f t="shared" si="10"/>
        <v>OK</v>
      </c>
      <c r="AK81">
        <f t="shared" si="11"/>
        <v>6</v>
      </c>
    </row>
    <row r="82" spans="1:37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  <c r="V82" s="1" t="s">
        <v>162</v>
      </c>
      <c r="W82" s="1" t="s">
        <v>41</v>
      </c>
      <c r="X82" s="1" t="s">
        <v>27</v>
      </c>
      <c r="Y82" s="1" t="s">
        <v>506</v>
      </c>
      <c r="Z82" s="1" t="s">
        <v>507</v>
      </c>
      <c r="AA82" s="1" t="s">
        <v>30</v>
      </c>
      <c r="AB82" s="1" t="s">
        <v>156</v>
      </c>
      <c r="AC82" s="1" t="s">
        <v>33</v>
      </c>
      <c r="AD82" s="1" t="s">
        <v>137</v>
      </c>
      <c r="AE82" s="1" t="s">
        <v>125</v>
      </c>
      <c r="AF82" s="5">
        <f t="shared" si="6"/>
        <v>45514</v>
      </c>
      <c r="AG82" s="5">
        <f t="shared" si="7"/>
        <v>45518</v>
      </c>
      <c r="AH82" s="5" t="b">
        <f t="shared" si="8"/>
        <v>1</v>
      </c>
      <c r="AI82" s="5" t="b">
        <f t="shared" si="9"/>
        <v>1</v>
      </c>
      <c r="AJ82" t="str">
        <f t="shared" si="10"/>
        <v>OK</v>
      </c>
      <c r="AK82">
        <f t="shared" si="11"/>
        <v>4</v>
      </c>
    </row>
    <row r="83" spans="1:37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  <c r="V83" s="1" t="s">
        <v>25</v>
      </c>
      <c r="W83" s="1" t="s">
        <v>115</v>
      </c>
      <c r="X83" s="1" t="s">
        <v>73</v>
      </c>
      <c r="Y83" s="1" t="s">
        <v>249</v>
      </c>
      <c r="Z83" s="1" t="s">
        <v>250</v>
      </c>
      <c r="AA83" s="1" t="s">
        <v>30</v>
      </c>
      <c r="AB83" s="1" t="s">
        <v>109</v>
      </c>
      <c r="AC83" s="1" t="s">
        <v>48</v>
      </c>
      <c r="AD83" s="1" t="s">
        <v>34</v>
      </c>
      <c r="AE83" s="1" t="s">
        <v>35</v>
      </c>
      <c r="AF83" s="5">
        <f t="shared" si="6"/>
        <v>45732</v>
      </c>
      <c r="AG83" s="5" t="e">
        <f t="shared" si="7"/>
        <v>#N/A</v>
      </c>
      <c r="AH83" s="5" t="b">
        <f t="shared" si="8"/>
        <v>1</v>
      </c>
      <c r="AI83" s="5" t="b">
        <f t="shared" si="9"/>
        <v>0</v>
      </c>
      <c r="AJ83" t="e">
        <f t="shared" si="10"/>
        <v>#N/A</v>
      </c>
      <c r="AK83" t="e">
        <f t="shared" si="11"/>
        <v>#N/A</v>
      </c>
    </row>
    <row r="84" spans="1:37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  <c r="V84" s="1" t="s">
        <v>61</v>
      </c>
      <c r="W84" s="1" t="s">
        <v>26</v>
      </c>
      <c r="X84" s="1" t="s">
        <v>27</v>
      </c>
      <c r="Y84" s="1" t="s">
        <v>174</v>
      </c>
      <c r="Z84" s="1" t="s">
        <v>175</v>
      </c>
      <c r="AA84" s="1" t="s">
        <v>86</v>
      </c>
      <c r="AB84" s="1" t="s">
        <v>94</v>
      </c>
      <c r="AC84" s="1" t="s">
        <v>33</v>
      </c>
      <c r="AD84" s="1" t="s">
        <v>200</v>
      </c>
      <c r="AE84" s="1" t="s">
        <v>125</v>
      </c>
      <c r="AF84" s="5">
        <f t="shared" si="6"/>
        <v>45507</v>
      </c>
      <c r="AG84" s="5">
        <f t="shared" si="7"/>
        <v>45390</v>
      </c>
      <c r="AH84" s="5" t="b">
        <f t="shared" si="8"/>
        <v>1</v>
      </c>
      <c r="AI84" s="5" t="b">
        <f t="shared" si="9"/>
        <v>1</v>
      </c>
      <c r="AJ84" t="str">
        <f t="shared" si="10"/>
        <v>Invalid: Ship before Order</v>
      </c>
      <c r="AK84" t="e">
        <f t="shared" si="11"/>
        <v>#NUM!</v>
      </c>
    </row>
    <row r="85" spans="1:37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  <c r="V85" s="1" t="s">
        <v>107</v>
      </c>
      <c r="W85" s="1" t="s">
        <v>115</v>
      </c>
      <c r="X85" s="1" t="s">
        <v>73</v>
      </c>
      <c r="Y85" s="1" t="s">
        <v>74</v>
      </c>
      <c r="Z85" s="1" t="s">
        <v>75</v>
      </c>
      <c r="AA85" s="1" t="s">
        <v>45</v>
      </c>
      <c r="AB85" s="1" t="s">
        <v>46</v>
      </c>
      <c r="AC85" s="1" t="s">
        <v>33</v>
      </c>
      <c r="AD85" s="1" t="s">
        <v>34</v>
      </c>
      <c r="AE85" s="1" t="s">
        <v>35</v>
      </c>
      <c r="AF85" s="5" t="e">
        <f t="shared" si="6"/>
        <v>#N/A</v>
      </c>
      <c r="AG85" s="5" t="e">
        <f t="shared" si="7"/>
        <v>#N/A</v>
      </c>
      <c r="AH85" s="5" t="b">
        <f t="shared" si="8"/>
        <v>0</v>
      </c>
      <c r="AI85" s="5" t="b">
        <f t="shared" si="9"/>
        <v>0</v>
      </c>
      <c r="AJ85" t="e">
        <f t="shared" si="10"/>
        <v>#N/A</v>
      </c>
      <c r="AK85" t="e">
        <f t="shared" si="11"/>
        <v>#N/A</v>
      </c>
    </row>
    <row r="86" spans="1:37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  <c r="V86" s="1" t="s">
        <v>180</v>
      </c>
      <c r="W86" s="1" t="s">
        <v>108</v>
      </c>
      <c r="X86" s="1" t="s">
        <v>62</v>
      </c>
      <c r="Y86" s="1" t="s">
        <v>339</v>
      </c>
      <c r="Z86" s="1" t="s">
        <v>340</v>
      </c>
      <c r="AA86" s="1" t="s">
        <v>86</v>
      </c>
      <c r="AB86" s="1" t="s">
        <v>223</v>
      </c>
      <c r="AC86" s="1" t="s">
        <v>33</v>
      </c>
      <c r="AD86" s="1" t="s">
        <v>34</v>
      </c>
      <c r="AE86" s="1" t="s">
        <v>35</v>
      </c>
      <c r="AF86" s="5">
        <f t="shared" si="6"/>
        <v>45566</v>
      </c>
      <c r="AG86" s="5">
        <f t="shared" si="7"/>
        <v>45568</v>
      </c>
      <c r="AH86" s="5" t="b">
        <f t="shared" si="8"/>
        <v>1</v>
      </c>
      <c r="AI86" s="5" t="b">
        <f t="shared" si="9"/>
        <v>1</v>
      </c>
      <c r="AJ86" t="str">
        <f t="shared" si="10"/>
        <v>OK</v>
      </c>
      <c r="AK86">
        <f t="shared" si="11"/>
        <v>2</v>
      </c>
    </row>
    <row r="87" spans="1:37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  <c r="V87" s="1" t="s">
        <v>366</v>
      </c>
      <c r="W87" s="1" t="s">
        <v>108</v>
      </c>
      <c r="X87" s="1" t="s">
        <v>27</v>
      </c>
      <c r="Y87" s="1" t="s">
        <v>506</v>
      </c>
      <c r="Z87" s="1" t="s">
        <v>507</v>
      </c>
      <c r="AA87" s="1" t="s">
        <v>30</v>
      </c>
      <c r="AB87" s="1" t="s">
        <v>198</v>
      </c>
      <c r="AC87" s="1" t="s">
        <v>67</v>
      </c>
      <c r="AD87" s="1" t="s">
        <v>34</v>
      </c>
      <c r="AE87" s="1" t="s">
        <v>78</v>
      </c>
      <c r="AF87" s="5">
        <f t="shared" si="6"/>
        <v>45503</v>
      </c>
      <c r="AG87" s="5">
        <f t="shared" si="7"/>
        <v>45509</v>
      </c>
      <c r="AH87" s="5" t="b">
        <f t="shared" si="8"/>
        <v>1</v>
      </c>
      <c r="AI87" s="5" t="b">
        <f t="shared" si="9"/>
        <v>1</v>
      </c>
      <c r="AJ87" t="str">
        <f t="shared" si="10"/>
        <v>OK</v>
      </c>
      <c r="AK87">
        <f t="shared" si="11"/>
        <v>6</v>
      </c>
    </row>
    <row r="88" spans="1:37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  <c r="V88" s="1" t="s">
        <v>72</v>
      </c>
      <c r="W88" s="1" t="s">
        <v>41</v>
      </c>
      <c r="X88" s="1" t="s">
        <v>27</v>
      </c>
      <c r="Y88" s="1" t="s">
        <v>506</v>
      </c>
      <c r="Z88" s="1" t="s">
        <v>507</v>
      </c>
      <c r="AA88" s="1" t="s">
        <v>86</v>
      </c>
      <c r="AB88" s="1" t="s">
        <v>94</v>
      </c>
      <c r="AC88" s="1" t="s">
        <v>33</v>
      </c>
      <c r="AD88" s="1" t="s">
        <v>124</v>
      </c>
      <c r="AE88" s="1" t="s">
        <v>78</v>
      </c>
      <c r="AF88" s="5">
        <f t="shared" si="6"/>
        <v>45474</v>
      </c>
      <c r="AG88" s="5">
        <f t="shared" si="7"/>
        <v>45474</v>
      </c>
      <c r="AH88" s="5" t="b">
        <f t="shared" si="8"/>
        <v>1</v>
      </c>
      <c r="AI88" s="5" t="b">
        <f t="shared" si="9"/>
        <v>1</v>
      </c>
      <c r="AJ88" t="str">
        <f t="shared" si="10"/>
        <v>OK</v>
      </c>
      <c r="AK88">
        <f t="shared" si="11"/>
        <v>0</v>
      </c>
    </row>
    <row r="89" spans="1:37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  <c r="V89" s="1" t="s">
        <v>83</v>
      </c>
      <c r="W89" s="1" t="s">
        <v>26</v>
      </c>
      <c r="X89" s="1" t="s">
        <v>42</v>
      </c>
      <c r="Y89" s="1" t="s">
        <v>216</v>
      </c>
      <c r="Z89" s="1" t="s">
        <v>217</v>
      </c>
      <c r="AA89" s="1" t="s">
        <v>30</v>
      </c>
      <c r="AB89" s="1" t="s">
        <v>198</v>
      </c>
      <c r="AC89" s="1" t="s">
        <v>67</v>
      </c>
      <c r="AD89" s="1" t="s">
        <v>34</v>
      </c>
      <c r="AE89" s="1" t="s">
        <v>35</v>
      </c>
      <c r="AF89" s="5">
        <f t="shared" si="6"/>
        <v>45330</v>
      </c>
      <c r="AG89" s="5">
        <f t="shared" si="7"/>
        <v>45507</v>
      </c>
      <c r="AH89" s="5" t="b">
        <f t="shared" si="8"/>
        <v>1</v>
      </c>
      <c r="AI89" s="5" t="b">
        <f t="shared" si="9"/>
        <v>1</v>
      </c>
      <c r="AJ89" t="str">
        <f t="shared" si="10"/>
        <v>OK</v>
      </c>
      <c r="AK89">
        <f t="shared" si="11"/>
        <v>177</v>
      </c>
    </row>
    <row r="90" spans="1:37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  <c r="V90" s="1" t="s">
        <v>180</v>
      </c>
      <c r="W90" s="1" t="s">
        <v>41</v>
      </c>
      <c r="X90" s="1" t="s">
        <v>73</v>
      </c>
      <c r="Y90" s="1" t="s">
        <v>74</v>
      </c>
      <c r="Z90" s="1" t="s">
        <v>75</v>
      </c>
      <c r="AA90" s="1" t="s">
        <v>45</v>
      </c>
      <c r="AB90" s="1" t="s">
        <v>204</v>
      </c>
      <c r="AC90" s="1" t="s">
        <v>67</v>
      </c>
      <c r="AD90" s="1" t="s">
        <v>34</v>
      </c>
      <c r="AE90" s="1" t="s">
        <v>35</v>
      </c>
      <c r="AF90" s="5">
        <f t="shared" si="6"/>
        <v>45375</v>
      </c>
      <c r="AG90" s="5">
        <f t="shared" si="7"/>
        <v>45378</v>
      </c>
      <c r="AH90" s="5" t="b">
        <f t="shared" si="8"/>
        <v>1</v>
      </c>
      <c r="AI90" s="5" t="b">
        <f t="shared" si="9"/>
        <v>1</v>
      </c>
      <c r="AJ90" t="str">
        <f t="shared" si="10"/>
        <v>OK</v>
      </c>
      <c r="AK90">
        <f t="shared" si="11"/>
        <v>3</v>
      </c>
    </row>
    <row r="91" spans="1:37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  <c r="V91" s="1" t="s">
        <v>366</v>
      </c>
      <c r="W91" s="1" t="s">
        <v>26</v>
      </c>
      <c r="X91" s="1" t="s">
        <v>62</v>
      </c>
      <c r="Y91" s="1" t="s">
        <v>100</v>
      </c>
      <c r="Z91" s="1" t="s">
        <v>101</v>
      </c>
      <c r="AA91" s="1" t="s">
        <v>45</v>
      </c>
      <c r="AB91" s="1" t="s">
        <v>204</v>
      </c>
      <c r="AC91" s="1" t="s">
        <v>67</v>
      </c>
      <c r="AD91" s="1" t="s">
        <v>137</v>
      </c>
      <c r="AE91" s="1" t="s">
        <v>78</v>
      </c>
      <c r="AF91" s="5">
        <f t="shared" si="6"/>
        <v>45540</v>
      </c>
      <c r="AG91" s="5">
        <f t="shared" si="7"/>
        <v>45540</v>
      </c>
      <c r="AH91" s="5" t="b">
        <f t="shared" si="8"/>
        <v>1</v>
      </c>
      <c r="AI91" s="5" t="b">
        <f t="shared" si="9"/>
        <v>1</v>
      </c>
      <c r="AJ91" t="str">
        <f t="shared" si="10"/>
        <v>OK</v>
      </c>
      <c r="AK91">
        <f t="shared" si="11"/>
        <v>0</v>
      </c>
    </row>
    <row r="92" spans="1:37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  <c r="V92" s="1" t="s">
        <v>162</v>
      </c>
      <c r="W92" s="1" t="s">
        <v>41</v>
      </c>
      <c r="X92" s="1" t="s">
        <v>42</v>
      </c>
      <c r="Y92" s="1" t="s">
        <v>186</v>
      </c>
      <c r="Z92" s="1" t="s">
        <v>187</v>
      </c>
      <c r="AA92" s="1" t="s">
        <v>86</v>
      </c>
      <c r="AB92" s="1" t="s">
        <v>94</v>
      </c>
      <c r="AC92" s="1" t="s">
        <v>56</v>
      </c>
      <c r="AD92" s="1" t="s">
        <v>34</v>
      </c>
      <c r="AE92" s="1" t="s">
        <v>35</v>
      </c>
      <c r="AF92" s="5">
        <f t="shared" si="6"/>
        <v>45893</v>
      </c>
      <c r="AG92" s="5">
        <f t="shared" si="7"/>
        <v>45898</v>
      </c>
      <c r="AH92" s="5" t="b">
        <f t="shared" si="8"/>
        <v>1</v>
      </c>
      <c r="AI92" s="5" t="b">
        <f t="shared" si="9"/>
        <v>1</v>
      </c>
      <c r="AJ92" t="str">
        <f t="shared" si="10"/>
        <v>OK</v>
      </c>
      <c r="AK92">
        <f t="shared" si="11"/>
        <v>5</v>
      </c>
    </row>
    <row r="93" spans="1:37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  <c r="V93" s="1" t="s">
        <v>168</v>
      </c>
      <c r="W93" s="1" t="s">
        <v>108</v>
      </c>
      <c r="X93" s="1" t="s">
        <v>73</v>
      </c>
      <c r="Y93" s="1" t="s">
        <v>84</v>
      </c>
      <c r="Z93" s="1" t="s">
        <v>85</v>
      </c>
      <c r="AA93" s="1" t="s">
        <v>86</v>
      </c>
      <c r="AB93" s="1" t="s">
        <v>94</v>
      </c>
      <c r="AC93" s="1" t="s">
        <v>33</v>
      </c>
      <c r="AD93" s="1" t="s">
        <v>34</v>
      </c>
      <c r="AE93" s="1" t="s">
        <v>35</v>
      </c>
      <c r="AF93" s="5">
        <f t="shared" si="6"/>
        <v>45691</v>
      </c>
      <c r="AG93" s="5">
        <f t="shared" si="7"/>
        <v>45724</v>
      </c>
      <c r="AH93" s="5" t="b">
        <f t="shared" si="8"/>
        <v>1</v>
      </c>
      <c r="AI93" s="5" t="b">
        <f t="shared" si="9"/>
        <v>1</v>
      </c>
      <c r="AJ93" t="str">
        <f t="shared" si="10"/>
        <v>OK</v>
      </c>
      <c r="AK93">
        <f t="shared" si="11"/>
        <v>33</v>
      </c>
    </row>
    <row r="94" spans="1:37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  <c r="V94" s="1" t="s">
        <v>162</v>
      </c>
      <c r="W94" s="1" t="s">
        <v>26</v>
      </c>
      <c r="X94" s="1" t="s">
        <v>73</v>
      </c>
      <c r="Y94" s="1" t="s">
        <v>84</v>
      </c>
      <c r="Z94" s="1" t="s">
        <v>85</v>
      </c>
      <c r="AA94" s="1" t="s">
        <v>30</v>
      </c>
      <c r="AB94" s="1" t="s">
        <v>31</v>
      </c>
      <c r="AC94" s="1" t="s">
        <v>67</v>
      </c>
      <c r="AD94" s="1" t="s">
        <v>34</v>
      </c>
      <c r="AE94" s="1" t="s">
        <v>35</v>
      </c>
      <c r="AF94" s="5">
        <f t="shared" si="6"/>
        <v>45680</v>
      </c>
      <c r="AG94" s="5">
        <f t="shared" si="7"/>
        <v>45683</v>
      </c>
      <c r="AH94" s="5" t="b">
        <f t="shared" si="8"/>
        <v>1</v>
      </c>
      <c r="AI94" s="5" t="b">
        <f t="shared" si="9"/>
        <v>1</v>
      </c>
      <c r="AJ94" t="str">
        <f t="shared" si="10"/>
        <v>OK</v>
      </c>
      <c r="AK94">
        <f t="shared" si="11"/>
        <v>3</v>
      </c>
    </row>
    <row r="95" spans="1:37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  <c r="V95" s="1" t="s">
        <v>180</v>
      </c>
      <c r="W95" s="1" t="s">
        <v>108</v>
      </c>
      <c r="X95" s="1" t="s">
        <v>27</v>
      </c>
      <c r="Y95" s="1" t="s">
        <v>174</v>
      </c>
      <c r="Z95" s="1" t="s">
        <v>175</v>
      </c>
      <c r="AA95" s="1" t="s">
        <v>30</v>
      </c>
      <c r="AB95" s="1" t="s">
        <v>198</v>
      </c>
      <c r="AC95" s="1" t="s">
        <v>67</v>
      </c>
      <c r="AD95" s="1" t="s">
        <v>34</v>
      </c>
      <c r="AE95" s="1" t="s">
        <v>35</v>
      </c>
      <c r="AF95" s="5">
        <f t="shared" si="6"/>
        <v>45298</v>
      </c>
      <c r="AG95" s="5" t="e">
        <f t="shared" si="7"/>
        <v>#N/A</v>
      </c>
      <c r="AH95" s="5" t="b">
        <f t="shared" si="8"/>
        <v>1</v>
      </c>
      <c r="AI95" s="5" t="b">
        <f t="shared" si="9"/>
        <v>0</v>
      </c>
      <c r="AJ95" t="e">
        <f t="shared" si="10"/>
        <v>#N/A</v>
      </c>
      <c r="AK95" t="e">
        <f t="shared" si="11"/>
        <v>#N/A</v>
      </c>
    </row>
    <row r="96" spans="1:37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  <c r="V96" s="1" t="s">
        <v>210</v>
      </c>
      <c r="W96" s="1" t="s">
        <v>26</v>
      </c>
      <c r="X96" s="1" t="s">
        <v>27</v>
      </c>
      <c r="Y96" s="1" t="s">
        <v>323</v>
      </c>
      <c r="Z96" s="1" t="s">
        <v>324</v>
      </c>
      <c r="AA96" s="1" t="s">
        <v>86</v>
      </c>
      <c r="AB96" s="1" t="s">
        <v>223</v>
      </c>
      <c r="AC96" s="1" t="s">
        <v>33</v>
      </c>
      <c r="AD96" s="1" t="s">
        <v>137</v>
      </c>
      <c r="AE96" s="1" t="s">
        <v>78</v>
      </c>
      <c r="AF96" s="5">
        <f t="shared" si="6"/>
        <v>45541</v>
      </c>
      <c r="AG96" s="5">
        <f t="shared" si="7"/>
        <v>45544</v>
      </c>
      <c r="AH96" s="5" t="b">
        <f t="shared" si="8"/>
        <v>1</v>
      </c>
      <c r="AI96" s="5" t="b">
        <f t="shared" si="9"/>
        <v>1</v>
      </c>
      <c r="AJ96" t="str">
        <f t="shared" si="10"/>
        <v>OK</v>
      </c>
      <c r="AK96">
        <f t="shared" si="11"/>
        <v>3</v>
      </c>
    </row>
    <row r="97" spans="1:37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  <c r="V97" s="1" t="s">
        <v>168</v>
      </c>
      <c r="W97" s="1" t="s">
        <v>108</v>
      </c>
      <c r="X97" s="1" t="s">
        <v>73</v>
      </c>
      <c r="Y97" s="1" t="s">
        <v>249</v>
      </c>
      <c r="Z97" s="1" t="s">
        <v>250</v>
      </c>
      <c r="AA97" s="1" t="s">
        <v>45</v>
      </c>
      <c r="AB97" s="1" t="s">
        <v>204</v>
      </c>
      <c r="AC97" s="1" t="s">
        <v>48</v>
      </c>
      <c r="AD97" s="1" t="s">
        <v>34</v>
      </c>
      <c r="AE97" s="1" t="s">
        <v>35</v>
      </c>
      <c r="AF97" s="5">
        <f t="shared" si="6"/>
        <v>45786</v>
      </c>
      <c r="AG97" s="5">
        <f t="shared" si="7"/>
        <v>45910</v>
      </c>
      <c r="AH97" s="5" t="b">
        <f t="shared" si="8"/>
        <v>1</v>
      </c>
      <c r="AI97" s="5" t="b">
        <f t="shared" si="9"/>
        <v>1</v>
      </c>
      <c r="AJ97" t="str">
        <f t="shared" si="10"/>
        <v>OK</v>
      </c>
      <c r="AK97">
        <f t="shared" si="11"/>
        <v>124</v>
      </c>
    </row>
    <row r="98" spans="1:37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  <c r="V98" s="1" t="s">
        <v>148</v>
      </c>
      <c r="W98" s="1" t="s">
        <v>115</v>
      </c>
      <c r="X98" s="1" t="s">
        <v>42</v>
      </c>
      <c r="Y98" s="1" t="s">
        <v>43</v>
      </c>
      <c r="Z98" s="1" t="s">
        <v>44</v>
      </c>
      <c r="AA98" s="1" t="s">
        <v>86</v>
      </c>
      <c r="AB98" s="1" t="s">
        <v>94</v>
      </c>
      <c r="AC98" s="1" t="s">
        <v>33</v>
      </c>
      <c r="AD98" s="1" t="s">
        <v>34</v>
      </c>
      <c r="AE98" s="1" t="s">
        <v>35</v>
      </c>
      <c r="AF98" s="5">
        <f t="shared" si="6"/>
        <v>45448</v>
      </c>
      <c r="AG98" s="5">
        <f t="shared" si="7"/>
        <v>45479</v>
      </c>
      <c r="AH98" s="5" t="b">
        <f t="shared" si="8"/>
        <v>1</v>
      </c>
      <c r="AI98" s="5" t="b">
        <f t="shared" si="9"/>
        <v>1</v>
      </c>
      <c r="AJ98" t="str">
        <f t="shared" si="10"/>
        <v>OK</v>
      </c>
      <c r="AK98">
        <f t="shared" si="11"/>
        <v>31</v>
      </c>
    </row>
    <row r="99" spans="1:37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  <c r="V99" s="1" t="s">
        <v>210</v>
      </c>
      <c r="W99" s="1" t="s">
        <v>41</v>
      </c>
      <c r="X99" s="1" t="s">
        <v>73</v>
      </c>
      <c r="Y99" s="1" t="s">
        <v>235</v>
      </c>
      <c r="Z99" s="1" t="s">
        <v>236</v>
      </c>
      <c r="AA99" s="1" t="s">
        <v>30</v>
      </c>
      <c r="AB99" s="1" t="s">
        <v>156</v>
      </c>
      <c r="AC99" s="1" t="s">
        <v>48</v>
      </c>
      <c r="AD99" s="1" t="s">
        <v>137</v>
      </c>
      <c r="AE99" s="1" t="s">
        <v>125</v>
      </c>
      <c r="AF99" s="5">
        <f t="shared" si="6"/>
        <v>45877</v>
      </c>
      <c r="AG99" s="5">
        <f t="shared" si="7"/>
        <v>45880</v>
      </c>
      <c r="AH99" s="5" t="b">
        <f t="shared" si="8"/>
        <v>1</v>
      </c>
      <c r="AI99" s="5" t="b">
        <f t="shared" si="9"/>
        <v>1</v>
      </c>
      <c r="AJ99" t="str">
        <f t="shared" si="10"/>
        <v>OK</v>
      </c>
      <c r="AK99">
        <f t="shared" si="11"/>
        <v>3</v>
      </c>
    </row>
    <row r="100" spans="1:37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  <c r="V100" s="1" t="s">
        <v>180</v>
      </c>
      <c r="W100" s="1" t="s">
        <v>115</v>
      </c>
      <c r="X100" s="1" t="s">
        <v>62</v>
      </c>
      <c r="Y100" s="1" t="s">
        <v>242</v>
      </c>
      <c r="Z100" s="1" t="s">
        <v>243</v>
      </c>
      <c r="AA100" s="1" t="s">
        <v>86</v>
      </c>
      <c r="AB100" s="1" t="s">
        <v>94</v>
      </c>
      <c r="AC100" s="1" t="s">
        <v>4119</v>
      </c>
      <c r="AD100" s="1" t="s">
        <v>34</v>
      </c>
      <c r="AE100" s="1" t="s">
        <v>35</v>
      </c>
      <c r="AF100" s="5">
        <f t="shared" si="6"/>
        <v>45317</v>
      </c>
      <c r="AG100" s="5">
        <f t="shared" si="7"/>
        <v>45323</v>
      </c>
      <c r="AH100" s="5" t="b">
        <f t="shared" si="8"/>
        <v>1</v>
      </c>
      <c r="AI100" s="5" t="b">
        <f t="shared" si="9"/>
        <v>1</v>
      </c>
      <c r="AJ100" t="str">
        <f t="shared" si="10"/>
        <v>OK</v>
      </c>
      <c r="AK100">
        <f t="shared" si="11"/>
        <v>6</v>
      </c>
    </row>
    <row r="101" spans="1:37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  <c r="V101" s="1" t="s">
        <v>107</v>
      </c>
      <c r="W101" s="1" t="s">
        <v>41</v>
      </c>
      <c r="X101" s="1" t="s">
        <v>73</v>
      </c>
      <c r="Y101" s="1" t="s">
        <v>28</v>
      </c>
      <c r="Z101" s="1" t="s">
        <v>135</v>
      </c>
      <c r="AA101" s="1" t="s">
        <v>86</v>
      </c>
      <c r="AB101" s="1" t="s">
        <v>87</v>
      </c>
      <c r="AC101" s="1" t="s">
        <v>48</v>
      </c>
      <c r="AD101" s="1" t="s">
        <v>34</v>
      </c>
      <c r="AE101" s="1" t="s">
        <v>35</v>
      </c>
      <c r="AF101" s="5">
        <f t="shared" si="6"/>
        <v>45962</v>
      </c>
      <c r="AG101" s="5">
        <f t="shared" si="7"/>
        <v>45962</v>
      </c>
      <c r="AH101" s="5" t="b">
        <f t="shared" si="8"/>
        <v>1</v>
      </c>
      <c r="AI101" s="5" t="b">
        <f t="shared" si="9"/>
        <v>1</v>
      </c>
      <c r="AJ101" t="str">
        <f t="shared" si="10"/>
        <v>OK</v>
      </c>
      <c r="AK101">
        <f t="shared" si="11"/>
        <v>0</v>
      </c>
    </row>
    <row r="102" spans="1:37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  <c r="V102" s="1" t="s">
        <v>162</v>
      </c>
      <c r="W102" s="1" t="s">
        <v>115</v>
      </c>
      <c r="X102" s="1" t="s">
        <v>62</v>
      </c>
      <c r="Y102" s="1" t="s">
        <v>242</v>
      </c>
      <c r="Z102" s="1" t="s">
        <v>243</v>
      </c>
      <c r="AA102" s="1" t="s">
        <v>30</v>
      </c>
      <c r="AB102" s="1" t="s">
        <v>156</v>
      </c>
      <c r="AC102" s="1" t="s">
        <v>67</v>
      </c>
      <c r="AD102" s="1" t="s">
        <v>34</v>
      </c>
      <c r="AE102" s="1" t="s">
        <v>35</v>
      </c>
      <c r="AF102" s="5">
        <f t="shared" si="6"/>
        <v>45912</v>
      </c>
      <c r="AG102" s="5">
        <f t="shared" si="7"/>
        <v>45918</v>
      </c>
      <c r="AH102" s="5" t="b">
        <f t="shared" si="8"/>
        <v>1</v>
      </c>
      <c r="AI102" s="5" t="b">
        <f t="shared" si="9"/>
        <v>1</v>
      </c>
      <c r="AJ102" t="str">
        <f t="shared" si="10"/>
        <v>OK</v>
      </c>
      <c r="AK102">
        <f t="shared" si="11"/>
        <v>6</v>
      </c>
    </row>
    <row r="103" spans="1:37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  <c r="V103" s="1" t="s">
        <v>180</v>
      </c>
      <c r="W103" s="1" t="s">
        <v>115</v>
      </c>
      <c r="X103" s="1" t="s">
        <v>42</v>
      </c>
      <c r="Y103" s="1" t="s">
        <v>186</v>
      </c>
      <c r="Z103" s="1" t="s">
        <v>187</v>
      </c>
      <c r="AA103" s="1" t="s">
        <v>45</v>
      </c>
      <c r="AB103" s="1" t="s">
        <v>65</v>
      </c>
      <c r="AC103" s="1" t="s">
        <v>56</v>
      </c>
      <c r="AD103" s="1" t="s">
        <v>34</v>
      </c>
      <c r="AE103" s="1" t="s">
        <v>35</v>
      </c>
      <c r="AF103" s="5">
        <f t="shared" si="6"/>
        <v>45465</v>
      </c>
      <c r="AG103" s="5" t="e">
        <f t="shared" si="7"/>
        <v>#N/A</v>
      </c>
      <c r="AH103" s="5" t="b">
        <f t="shared" si="8"/>
        <v>1</v>
      </c>
      <c r="AI103" s="5" t="b">
        <f t="shared" si="9"/>
        <v>0</v>
      </c>
      <c r="AJ103" t="e">
        <f t="shared" si="10"/>
        <v>#N/A</v>
      </c>
      <c r="AK103" t="e">
        <f t="shared" si="11"/>
        <v>#N/A</v>
      </c>
    </row>
    <row r="104" spans="1:37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  <c r="V104" s="1" t="s">
        <v>83</v>
      </c>
      <c r="W104" s="1" t="s">
        <v>26</v>
      </c>
      <c r="X104" s="1" t="s">
        <v>62</v>
      </c>
      <c r="Y104" s="1" t="s">
        <v>229</v>
      </c>
      <c r="Z104" s="1" t="s">
        <v>230</v>
      </c>
      <c r="AA104" s="1" t="s">
        <v>45</v>
      </c>
      <c r="AB104" s="1" t="s">
        <v>76</v>
      </c>
      <c r="AC104" s="1" t="s">
        <v>56</v>
      </c>
      <c r="AD104" s="1" t="s">
        <v>124</v>
      </c>
      <c r="AE104" s="1" t="s">
        <v>78</v>
      </c>
      <c r="AF104" s="5">
        <f t="shared" si="6"/>
        <v>45850</v>
      </c>
      <c r="AG104" s="5">
        <f t="shared" si="7"/>
        <v>45854</v>
      </c>
      <c r="AH104" s="5" t="b">
        <f t="shared" si="8"/>
        <v>1</v>
      </c>
      <c r="AI104" s="5" t="b">
        <f t="shared" si="9"/>
        <v>1</v>
      </c>
      <c r="AJ104" t="str">
        <f t="shared" si="10"/>
        <v>OK</v>
      </c>
      <c r="AK104">
        <f t="shared" si="11"/>
        <v>4</v>
      </c>
    </row>
    <row r="105" spans="1:37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  <c r="V105" s="1" t="s">
        <v>366</v>
      </c>
      <c r="W105" s="1" t="s">
        <v>108</v>
      </c>
      <c r="X105" s="1" t="s">
        <v>73</v>
      </c>
      <c r="Y105" s="1" t="s">
        <v>74</v>
      </c>
      <c r="Z105" s="1" t="s">
        <v>75</v>
      </c>
      <c r="AA105" s="1" t="s">
        <v>45</v>
      </c>
      <c r="AB105" s="1" t="s">
        <v>46</v>
      </c>
      <c r="AC105" s="1" t="s">
        <v>56</v>
      </c>
      <c r="AD105" s="1" t="s">
        <v>34</v>
      </c>
      <c r="AE105" s="1" t="s">
        <v>35</v>
      </c>
      <c r="AF105" s="5">
        <f t="shared" si="6"/>
        <v>45779</v>
      </c>
      <c r="AG105" s="5">
        <f t="shared" si="7"/>
        <v>45787</v>
      </c>
      <c r="AH105" s="5" t="b">
        <f t="shared" si="8"/>
        <v>1</v>
      </c>
      <c r="AI105" s="5" t="b">
        <f t="shared" si="9"/>
        <v>1</v>
      </c>
      <c r="AJ105" t="str">
        <f t="shared" si="10"/>
        <v>OK</v>
      </c>
      <c r="AK105">
        <f t="shared" si="11"/>
        <v>8</v>
      </c>
    </row>
    <row r="106" spans="1:37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  <c r="V106" s="1" t="s">
        <v>72</v>
      </c>
      <c r="W106" s="1" t="s">
        <v>26</v>
      </c>
      <c r="X106" s="1" t="s">
        <v>62</v>
      </c>
      <c r="Y106" s="1" t="s">
        <v>229</v>
      </c>
      <c r="Z106" s="1" t="s">
        <v>230</v>
      </c>
      <c r="AA106" s="1" t="s">
        <v>30</v>
      </c>
      <c r="AB106" s="1" t="s">
        <v>109</v>
      </c>
      <c r="AC106" s="1" t="s">
        <v>48</v>
      </c>
      <c r="AD106" s="1" t="s">
        <v>34</v>
      </c>
      <c r="AE106" s="1" t="s">
        <v>78</v>
      </c>
      <c r="AF106" s="5">
        <f t="shared" si="6"/>
        <v>45689</v>
      </c>
      <c r="AG106" s="5">
        <f t="shared" si="7"/>
        <v>45696</v>
      </c>
      <c r="AH106" s="5" t="b">
        <f t="shared" si="8"/>
        <v>1</v>
      </c>
      <c r="AI106" s="5" t="b">
        <f t="shared" si="9"/>
        <v>1</v>
      </c>
      <c r="AJ106" t="str">
        <f t="shared" si="10"/>
        <v>OK</v>
      </c>
      <c r="AK106">
        <f t="shared" si="11"/>
        <v>7</v>
      </c>
    </row>
    <row r="107" spans="1:37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  <c r="V107" s="1" t="s">
        <v>40</v>
      </c>
      <c r="W107" s="1" t="s">
        <v>115</v>
      </c>
      <c r="X107" s="1" t="s">
        <v>42</v>
      </c>
      <c r="Y107" s="1" t="s">
        <v>121</v>
      </c>
      <c r="Z107" s="1" t="s">
        <v>122</v>
      </c>
      <c r="AA107" s="1" t="s">
        <v>45</v>
      </c>
      <c r="AB107" s="1" t="s">
        <v>46</v>
      </c>
      <c r="AC107" s="1" t="s">
        <v>33</v>
      </c>
      <c r="AD107" s="1" t="s">
        <v>34</v>
      </c>
      <c r="AE107" s="1" t="s">
        <v>35</v>
      </c>
      <c r="AF107" s="5">
        <f t="shared" si="6"/>
        <v>45467</v>
      </c>
      <c r="AG107" s="5" t="e">
        <f t="shared" si="7"/>
        <v>#N/A</v>
      </c>
      <c r="AH107" s="5" t="b">
        <f t="shared" si="8"/>
        <v>1</v>
      </c>
      <c r="AI107" s="5" t="b">
        <f t="shared" si="9"/>
        <v>0</v>
      </c>
      <c r="AJ107" t="e">
        <f t="shared" si="10"/>
        <v>#N/A</v>
      </c>
      <c r="AK107" t="e">
        <f t="shared" si="11"/>
        <v>#N/A</v>
      </c>
    </row>
    <row r="108" spans="1:37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  <c r="V108" s="1" t="s">
        <v>61</v>
      </c>
      <c r="W108" s="1" t="s">
        <v>115</v>
      </c>
      <c r="X108" s="1" t="s">
        <v>42</v>
      </c>
      <c r="Y108" s="1" t="s">
        <v>121</v>
      </c>
      <c r="Z108" s="1" t="s">
        <v>122</v>
      </c>
      <c r="AA108" s="1" t="s">
        <v>30</v>
      </c>
      <c r="AB108" s="1" t="s">
        <v>31</v>
      </c>
      <c r="AC108" s="1" t="s">
        <v>67</v>
      </c>
      <c r="AD108" s="1" t="s">
        <v>34</v>
      </c>
      <c r="AE108" s="1" t="s">
        <v>78</v>
      </c>
      <c r="AF108" s="5" t="e">
        <f t="shared" si="6"/>
        <v>#N/A</v>
      </c>
      <c r="AG108" s="5">
        <f t="shared" si="7"/>
        <v>45350</v>
      </c>
      <c r="AH108" s="5" t="b">
        <f t="shared" si="8"/>
        <v>0</v>
      </c>
      <c r="AI108" s="5" t="b">
        <f t="shared" si="9"/>
        <v>1</v>
      </c>
      <c r="AJ108" t="e">
        <f t="shared" si="10"/>
        <v>#N/A</v>
      </c>
      <c r="AK108" t="e">
        <f t="shared" si="11"/>
        <v>#N/A</v>
      </c>
    </row>
    <row r="109" spans="1:37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  <c r="V109" s="1" t="s">
        <v>180</v>
      </c>
      <c r="W109" s="1" t="s">
        <v>115</v>
      </c>
      <c r="X109" s="1" t="s">
        <v>42</v>
      </c>
      <c r="Y109" s="1" t="s">
        <v>121</v>
      </c>
      <c r="Z109" s="1" t="s">
        <v>122</v>
      </c>
      <c r="AA109" s="1" t="s">
        <v>45</v>
      </c>
      <c r="AB109" s="1" t="s">
        <v>65</v>
      </c>
      <c r="AC109" s="1" t="s">
        <v>56</v>
      </c>
      <c r="AD109" s="1" t="s">
        <v>34</v>
      </c>
      <c r="AE109" s="1" t="s">
        <v>35</v>
      </c>
      <c r="AF109" s="5">
        <f t="shared" si="6"/>
        <v>45594</v>
      </c>
      <c r="AG109" s="5">
        <f t="shared" si="7"/>
        <v>45600</v>
      </c>
      <c r="AH109" s="5" t="b">
        <f t="shared" si="8"/>
        <v>1</v>
      </c>
      <c r="AI109" s="5" t="b">
        <f t="shared" si="9"/>
        <v>1</v>
      </c>
      <c r="AJ109" t="str">
        <f t="shared" si="10"/>
        <v>OK</v>
      </c>
      <c r="AK109">
        <f t="shared" si="11"/>
        <v>6</v>
      </c>
    </row>
    <row r="110" spans="1:37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  <c r="V110" s="1" t="s">
        <v>107</v>
      </c>
      <c r="W110" s="1" t="s">
        <v>41</v>
      </c>
      <c r="X110" s="1" t="s">
        <v>42</v>
      </c>
      <c r="Y110" s="1" t="s">
        <v>43</v>
      </c>
      <c r="Z110" s="1" t="s">
        <v>44</v>
      </c>
      <c r="AA110" s="1" t="s">
        <v>45</v>
      </c>
      <c r="AB110" s="1" t="s">
        <v>204</v>
      </c>
      <c r="AC110" s="1" t="s">
        <v>48</v>
      </c>
      <c r="AD110" s="1" t="s">
        <v>34</v>
      </c>
      <c r="AE110" s="1" t="s">
        <v>35</v>
      </c>
      <c r="AF110" s="5">
        <f t="shared" si="6"/>
        <v>45519</v>
      </c>
      <c r="AG110" s="5">
        <f t="shared" si="7"/>
        <v>45527</v>
      </c>
      <c r="AH110" s="5" t="b">
        <f t="shared" si="8"/>
        <v>1</v>
      </c>
      <c r="AI110" s="5" t="b">
        <f t="shared" si="9"/>
        <v>1</v>
      </c>
      <c r="AJ110" t="str">
        <f t="shared" si="10"/>
        <v>OK</v>
      </c>
      <c r="AK110">
        <f t="shared" si="11"/>
        <v>8</v>
      </c>
    </row>
    <row r="111" spans="1:37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  <c r="V111" s="1" t="s">
        <v>168</v>
      </c>
      <c r="W111" s="1" t="s">
        <v>26</v>
      </c>
      <c r="X111" s="1" t="s">
        <v>27</v>
      </c>
      <c r="Y111" s="1" t="s">
        <v>506</v>
      </c>
      <c r="Z111" s="1" t="s">
        <v>507</v>
      </c>
      <c r="AA111" s="1" t="s">
        <v>30</v>
      </c>
      <c r="AB111" s="1" t="s">
        <v>198</v>
      </c>
      <c r="AC111" s="1" t="s">
        <v>33</v>
      </c>
      <c r="AD111" s="1" t="s">
        <v>34</v>
      </c>
      <c r="AE111" s="1" t="s">
        <v>35</v>
      </c>
      <c r="AF111" s="5" t="e">
        <f t="shared" si="6"/>
        <v>#N/A</v>
      </c>
      <c r="AG111" s="5">
        <f t="shared" si="7"/>
        <v>45896</v>
      </c>
      <c r="AH111" s="5" t="b">
        <f t="shared" si="8"/>
        <v>0</v>
      </c>
      <c r="AI111" s="5" t="b">
        <f t="shared" si="9"/>
        <v>1</v>
      </c>
      <c r="AJ111" t="e">
        <f t="shared" si="10"/>
        <v>#N/A</v>
      </c>
      <c r="AK111" t="e">
        <f t="shared" si="11"/>
        <v>#N/A</v>
      </c>
    </row>
    <row r="112" spans="1:37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  <c r="V112" s="1" t="s">
        <v>83</v>
      </c>
      <c r="W112" s="1" t="s">
        <v>108</v>
      </c>
      <c r="X112" s="1" t="s">
        <v>62</v>
      </c>
      <c r="Y112" s="1" t="s">
        <v>242</v>
      </c>
      <c r="Z112" s="1" t="s">
        <v>243</v>
      </c>
      <c r="AA112" s="1" t="s">
        <v>30</v>
      </c>
      <c r="AB112" s="1" t="s">
        <v>109</v>
      </c>
      <c r="AC112" s="1" t="s">
        <v>56</v>
      </c>
      <c r="AD112" s="1" t="s">
        <v>124</v>
      </c>
      <c r="AE112" s="1" t="s">
        <v>78</v>
      </c>
      <c r="AF112" s="5">
        <f t="shared" si="6"/>
        <v>45583</v>
      </c>
      <c r="AG112" s="5">
        <f t="shared" si="7"/>
        <v>45589</v>
      </c>
      <c r="AH112" s="5" t="b">
        <f t="shared" si="8"/>
        <v>1</v>
      </c>
      <c r="AI112" s="5" t="b">
        <f t="shared" si="9"/>
        <v>1</v>
      </c>
      <c r="AJ112" t="str">
        <f t="shared" si="10"/>
        <v>OK</v>
      </c>
      <c r="AK112">
        <f t="shared" si="11"/>
        <v>6</v>
      </c>
    </row>
    <row r="113" spans="1:37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  <c r="V113" s="1" t="s">
        <v>93</v>
      </c>
      <c r="W113" s="1" t="s">
        <v>108</v>
      </c>
      <c r="X113" s="1" t="s">
        <v>42</v>
      </c>
      <c r="Y113" s="1" t="s">
        <v>186</v>
      </c>
      <c r="Z113" s="1" t="s">
        <v>187</v>
      </c>
      <c r="AA113" s="1" t="s">
        <v>86</v>
      </c>
      <c r="AB113" s="1" t="s">
        <v>87</v>
      </c>
      <c r="AC113" s="1" t="s">
        <v>56</v>
      </c>
      <c r="AD113" s="1" t="s">
        <v>137</v>
      </c>
      <c r="AE113" s="1" t="s">
        <v>78</v>
      </c>
      <c r="AF113" s="5">
        <f t="shared" si="6"/>
        <v>45835</v>
      </c>
      <c r="AG113" s="5">
        <f t="shared" si="7"/>
        <v>45838</v>
      </c>
      <c r="AH113" s="5" t="b">
        <f t="shared" si="8"/>
        <v>1</v>
      </c>
      <c r="AI113" s="5" t="b">
        <f t="shared" si="9"/>
        <v>1</v>
      </c>
      <c r="AJ113" t="str">
        <f t="shared" si="10"/>
        <v>OK</v>
      </c>
      <c r="AK113">
        <f t="shared" si="11"/>
        <v>3</v>
      </c>
    </row>
    <row r="114" spans="1:37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  <c r="V114" s="1" t="s">
        <v>168</v>
      </c>
      <c r="W114" s="1" t="s">
        <v>26</v>
      </c>
      <c r="X114" s="1" t="s">
        <v>4119</v>
      </c>
      <c r="Y114" s="1" t="s">
        <v>235</v>
      </c>
      <c r="Z114" s="1" t="s">
        <v>236</v>
      </c>
      <c r="AA114" s="1" t="s">
        <v>86</v>
      </c>
      <c r="AB114" s="1" t="s">
        <v>87</v>
      </c>
      <c r="AC114" s="1" t="s">
        <v>67</v>
      </c>
      <c r="AD114" s="1" t="s">
        <v>34</v>
      </c>
      <c r="AE114" s="1" t="s">
        <v>35</v>
      </c>
      <c r="AF114" s="5">
        <f t="shared" si="6"/>
        <v>45301</v>
      </c>
      <c r="AG114" s="5" t="e">
        <f t="shared" si="7"/>
        <v>#N/A</v>
      </c>
      <c r="AH114" s="5" t="b">
        <f t="shared" si="8"/>
        <v>1</v>
      </c>
      <c r="AI114" s="5" t="b">
        <f t="shared" si="9"/>
        <v>0</v>
      </c>
      <c r="AJ114" t="e">
        <f t="shared" si="10"/>
        <v>#N/A</v>
      </c>
      <c r="AK114" t="e">
        <f t="shared" si="11"/>
        <v>#N/A</v>
      </c>
    </row>
    <row r="115" spans="1:37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  <c r="V115" s="1" t="s">
        <v>53</v>
      </c>
      <c r="W115" s="1" t="s">
        <v>115</v>
      </c>
      <c r="X115" s="1" t="s">
        <v>62</v>
      </c>
      <c r="Y115" s="1" t="s">
        <v>339</v>
      </c>
      <c r="Z115" s="1" t="s">
        <v>340</v>
      </c>
      <c r="AA115" s="1" t="s">
        <v>45</v>
      </c>
      <c r="AB115" s="1" t="s">
        <v>46</v>
      </c>
      <c r="AC115" s="1" t="s">
        <v>67</v>
      </c>
      <c r="AD115" s="1" t="s">
        <v>34</v>
      </c>
      <c r="AE115" s="1" t="s">
        <v>35</v>
      </c>
      <c r="AF115" s="5">
        <f t="shared" si="6"/>
        <v>45628</v>
      </c>
      <c r="AG115" s="5">
        <f t="shared" si="7"/>
        <v>45628</v>
      </c>
      <c r="AH115" s="5" t="b">
        <f t="shared" si="8"/>
        <v>1</v>
      </c>
      <c r="AI115" s="5" t="b">
        <f t="shared" si="9"/>
        <v>1</v>
      </c>
      <c r="AJ115" t="str">
        <f t="shared" si="10"/>
        <v>OK</v>
      </c>
      <c r="AK115">
        <f t="shared" si="11"/>
        <v>0</v>
      </c>
    </row>
    <row r="116" spans="1:37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  <c r="V116" s="1" t="s">
        <v>93</v>
      </c>
      <c r="W116" s="1" t="s">
        <v>41</v>
      </c>
      <c r="X116" s="1" t="s">
        <v>27</v>
      </c>
      <c r="Y116" s="1" t="s">
        <v>28</v>
      </c>
      <c r="Z116" s="1" t="s">
        <v>29</v>
      </c>
      <c r="AA116" s="1" t="s">
        <v>86</v>
      </c>
      <c r="AB116" s="1" t="s">
        <v>87</v>
      </c>
      <c r="AC116" s="1" t="s">
        <v>33</v>
      </c>
      <c r="AD116" s="1" t="s">
        <v>137</v>
      </c>
      <c r="AE116" s="1" t="s">
        <v>78</v>
      </c>
      <c r="AF116" s="5">
        <f t="shared" si="6"/>
        <v>45560</v>
      </c>
      <c r="AG116" s="5">
        <f t="shared" si="7"/>
        <v>45565</v>
      </c>
      <c r="AH116" s="5" t="b">
        <f t="shared" si="8"/>
        <v>1</v>
      </c>
      <c r="AI116" s="5" t="b">
        <f t="shared" si="9"/>
        <v>1</v>
      </c>
      <c r="AJ116" t="str">
        <f t="shared" si="10"/>
        <v>OK</v>
      </c>
      <c r="AK116">
        <f t="shared" si="11"/>
        <v>5</v>
      </c>
    </row>
    <row r="117" spans="1:37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  <c r="V117" s="1" t="s">
        <v>366</v>
      </c>
      <c r="W117" s="1" t="s">
        <v>108</v>
      </c>
      <c r="X117" s="1" t="s">
        <v>62</v>
      </c>
      <c r="Y117" s="1" t="s">
        <v>339</v>
      </c>
      <c r="Z117" s="1" t="s">
        <v>340</v>
      </c>
      <c r="AA117" s="1" t="s">
        <v>30</v>
      </c>
      <c r="AB117" s="1" t="s">
        <v>198</v>
      </c>
      <c r="AC117" s="1" t="s">
        <v>48</v>
      </c>
      <c r="AD117" s="1" t="s">
        <v>34</v>
      </c>
      <c r="AE117" s="1" t="s">
        <v>78</v>
      </c>
      <c r="AF117" s="5">
        <f t="shared" si="6"/>
        <v>45653</v>
      </c>
      <c r="AG117" s="5">
        <f t="shared" si="7"/>
        <v>45658</v>
      </c>
      <c r="AH117" s="5" t="b">
        <f t="shared" si="8"/>
        <v>1</v>
      </c>
      <c r="AI117" s="5" t="b">
        <f t="shared" si="9"/>
        <v>1</v>
      </c>
      <c r="AJ117" t="str">
        <f t="shared" si="10"/>
        <v>OK</v>
      </c>
      <c r="AK117">
        <f t="shared" si="11"/>
        <v>5</v>
      </c>
    </row>
    <row r="118" spans="1:37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  <c r="V118" s="1" t="s">
        <v>72</v>
      </c>
      <c r="W118" s="1" t="s">
        <v>41</v>
      </c>
      <c r="X118" s="1" t="s">
        <v>4119</v>
      </c>
      <c r="Y118" s="1" t="s">
        <v>84</v>
      </c>
      <c r="Z118" s="1" t="s">
        <v>85</v>
      </c>
      <c r="AA118" s="1" t="s">
        <v>30</v>
      </c>
      <c r="AB118" s="1" t="s">
        <v>198</v>
      </c>
      <c r="AC118" s="1" t="s">
        <v>56</v>
      </c>
      <c r="AD118" s="1" t="s">
        <v>200</v>
      </c>
      <c r="AE118" s="1" t="s">
        <v>78</v>
      </c>
      <c r="AF118" s="5">
        <f t="shared" si="6"/>
        <v>45703</v>
      </c>
      <c r="AG118" s="5">
        <f t="shared" si="7"/>
        <v>45707</v>
      </c>
      <c r="AH118" s="5" t="b">
        <f t="shared" si="8"/>
        <v>1</v>
      </c>
      <c r="AI118" s="5" t="b">
        <f t="shared" si="9"/>
        <v>1</v>
      </c>
      <c r="AJ118" t="str">
        <f t="shared" si="10"/>
        <v>OK</v>
      </c>
      <c r="AK118">
        <f t="shared" si="11"/>
        <v>4</v>
      </c>
    </row>
    <row r="119" spans="1:37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  <c r="V119" s="1" t="s">
        <v>40</v>
      </c>
      <c r="W119" s="1" t="s">
        <v>115</v>
      </c>
      <c r="X119" s="1" t="s">
        <v>62</v>
      </c>
      <c r="Y119" s="1" t="s">
        <v>339</v>
      </c>
      <c r="Z119" s="1" t="s">
        <v>340</v>
      </c>
      <c r="AA119" s="1" t="s">
        <v>86</v>
      </c>
      <c r="AB119" s="1" t="s">
        <v>382</v>
      </c>
      <c r="AC119" s="1" t="s">
        <v>67</v>
      </c>
      <c r="AD119" s="1" t="s">
        <v>34</v>
      </c>
      <c r="AE119" s="1" t="s">
        <v>35</v>
      </c>
      <c r="AF119" s="5">
        <f t="shared" si="6"/>
        <v>45337</v>
      </c>
      <c r="AG119" s="5">
        <f t="shared" si="7"/>
        <v>45339</v>
      </c>
      <c r="AH119" s="5" t="b">
        <f t="shared" si="8"/>
        <v>1</v>
      </c>
      <c r="AI119" s="5" t="b">
        <f t="shared" si="9"/>
        <v>1</v>
      </c>
      <c r="AJ119" t="str">
        <f t="shared" si="10"/>
        <v>OK</v>
      </c>
      <c r="AK119">
        <f t="shared" si="11"/>
        <v>2</v>
      </c>
    </row>
    <row r="120" spans="1:37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  <c r="V120" s="1" t="s">
        <v>83</v>
      </c>
      <c r="W120" s="1" t="s">
        <v>115</v>
      </c>
      <c r="X120" s="1" t="s">
        <v>62</v>
      </c>
      <c r="Y120" s="1" t="s">
        <v>100</v>
      </c>
      <c r="Z120" s="1" t="s">
        <v>101</v>
      </c>
      <c r="AA120" s="1" t="s">
        <v>86</v>
      </c>
      <c r="AB120" s="1" t="s">
        <v>94</v>
      </c>
      <c r="AC120" s="1" t="s">
        <v>48</v>
      </c>
      <c r="AD120" s="1" t="s">
        <v>34</v>
      </c>
      <c r="AE120" s="1" t="s">
        <v>35</v>
      </c>
      <c r="AF120" s="5">
        <f t="shared" si="6"/>
        <v>45453</v>
      </c>
      <c r="AG120" s="5">
        <f t="shared" si="7"/>
        <v>45461</v>
      </c>
      <c r="AH120" s="5" t="b">
        <f t="shared" si="8"/>
        <v>1</v>
      </c>
      <c r="AI120" s="5" t="b">
        <f t="shared" si="9"/>
        <v>1</v>
      </c>
      <c r="AJ120" t="str">
        <f t="shared" si="10"/>
        <v>OK</v>
      </c>
      <c r="AK120">
        <f t="shared" si="11"/>
        <v>8</v>
      </c>
    </row>
    <row r="121" spans="1:37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  <c r="V121" s="1" t="s">
        <v>107</v>
      </c>
      <c r="W121" s="1" t="s">
        <v>41</v>
      </c>
      <c r="X121" s="1" t="s">
        <v>62</v>
      </c>
      <c r="Y121" s="1" t="s">
        <v>242</v>
      </c>
      <c r="Z121" s="1" t="s">
        <v>243</v>
      </c>
      <c r="AA121" s="1" t="s">
        <v>45</v>
      </c>
      <c r="AB121" s="1" t="s">
        <v>76</v>
      </c>
      <c r="AC121" s="1" t="s">
        <v>67</v>
      </c>
      <c r="AD121" s="1" t="s">
        <v>124</v>
      </c>
      <c r="AE121" s="1" t="s">
        <v>125</v>
      </c>
      <c r="AF121" s="5">
        <f t="shared" si="6"/>
        <v>45455</v>
      </c>
      <c r="AG121" s="5">
        <f t="shared" si="7"/>
        <v>45462</v>
      </c>
      <c r="AH121" s="5" t="b">
        <f t="shared" si="8"/>
        <v>1</v>
      </c>
      <c r="AI121" s="5" t="b">
        <f t="shared" si="9"/>
        <v>1</v>
      </c>
      <c r="AJ121" t="str">
        <f t="shared" si="10"/>
        <v>OK</v>
      </c>
      <c r="AK121">
        <f t="shared" si="11"/>
        <v>7</v>
      </c>
    </row>
    <row r="122" spans="1:37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  <c r="V122" s="1" t="s">
        <v>168</v>
      </c>
      <c r="W122" s="1" t="s">
        <v>41</v>
      </c>
      <c r="X122" s="1" t="s">
        <v>42</v>
      </c>
      <c r="Y122" s="1" t="s">
        <v>186</v>
      </c>
      <c r="Z122" s="1" t="s">
        <v>187</v>
      </c>
      <c r="AA122" s="1" t="s">
        <v>86</v>
      </c>
      <c r="AB122" s="1" t="s">
        <v>223</v>
      </c>
      <c r="AC122" s="1" t="s">
        <v>67</v>
      </c>
      <c r="AD122" s="1" t="s">
        <v>34</v>
      </c>
      <c r="AE122" s="1" t="s">
        <v>125</v>
      </c>
      <c r="AF122" s="5">
        <f t="shared" si="6"/>
        <v>45514</v>
      </c>
      <c r="AG122" s="5">
        <f t="shared" si="7"/>
        <v>45522</v>
      </c>
      <c r="AH122" s="5" t="b">
        <f t="shared" si="8"/>
        <v>1</v>
      </c>
      <c r="AI122" s="5" t="b">
        <f t="shared" si="9"/>
        <v>1</v>
      </c>
      <c r="AJ122" t="str">
        <f t="shared" si="10"/>
        <v>OK</v>
      </c>
      <c r="AK122">
        <f t="shared" si="11"/>
        <v>8</v>
      </c>
    </row>
    <row r="123" spans="1:37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  <c r="V123" s="1" t="s">
        <v>366</v>
      </c>
      <c r="W123" s="1" t="s">
        <v>41</v>
      </c>
      <c r="X123" s="1" t="s">
        <v>62</v>
      </c>
      <c r="Y123" s="1" t="s">
        <v>100</v>
      </c>
      <c r="Z123" s="1" t="s">
        <v>101</v>
      </c>
      <c r="AA123" s="1" t="s">
        <v>86</v>
      </c>
      <c r="AB123" s="1" t="s">
        <v>382</v>
      </c>
      <c r="AC123" s="1" t="s">
        <v>33</v>
      </c>
      <c r="AD123" s="1" t="s">
        <v>124</v>
      </c>
      <c r="AE123" s="1" t="s">
        <v>78</v>
      </c>
      <c r="AF123" s="5">
        <f t="shared" si="6"/>
        <v>45891</v>
      </c>
      <c r="AG123" s="5">
        <f t="shared" si="7"/>
        <v>45895</v>
      </c>
      <c r="AH123" s="5" t="b">
        <f t="shared" si="8"/>
        <v>1</v>
      </c>
      <c r="AI123" s="5" t="b">
        <f t="shared" si="9"/>
        <v>1</v>
      </c>
      <c r="AJ123" t="str">
        <f t="shared" si="10"/>
        <v>OK</v>
      </c>
      <c r="AK123">
        <f t="shared" si="11"/>
        <v>4</v>
      </c>
    </row>
    <row r="124" spans="1:37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  <c r="V124" s="1" t="s">
        <v>72</v>
      </c>
      <c r="W124" s="1" t="s">
        <v>41</v>
      </c>
      <c r="X124" s="1" t="s">
        <v>42</v>
      </c>
      <c r="Y124" s="1" t="s">
        <v>216</v>
      </c>
      <c r="Z124" s="1" t="s">
        <v>217</v>
      </c>
      <c r="AA124" s="1" t="s">
        <v>45</v>
      </c>
      <c r="AB124" s="1" t="s">
        <v>76</v>
      </c>
      <c r="AC124" s="1" t="s">
        <v>33</v>
      </c>
      <c r="AD124" s="1" t="s">
        <v>34</v>
      </c>
      <c r="AE124" s="1" t="s">
        <v>35</v>
      </c>
      <c r="AF124" s="5">
        <f t="shared" si="6"/>
        <v>45626</v>
      </c>
      <c r="AG124" s="5">
        <f t="shared" si="7"/>
        <v>45394</v>
      </c>
      <c r="AH124" s="5" t="b">
        <f t="shared" si="8"/>
        <v>1</v>
      </c>
      <c r="AI124" s="5" t="b">
        <f t="shared" si="9"/>
        <v>1</v>
      </c>
      <c r="AJ124" t="str">
        <f t="shared" si="10"/>
        <v>Invalid: Ship before Order</v>
      </c>
      <c r="AK124" t="e">
        <f t="shared" si="11"/>
        <v>#NUM!</v>
      </c>
    </row>
    <row r="125" spans="1:37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  <c r="V125" s="1" t="s">
        <v>168</v>
      </c>
      <c r="W125" s="1" t="s">
        <v>41</v>
      </c>
      <c r="X125" s="1" t="s">
        <v>27</v>
      </c>
      <c r="Y125" s="1" t="s">
        <v>154</v>
      </c>
      <c r="Z125" s="1" t="s">
        <v>155</v>
      </c>
      <c r="AA125" s="1" t="s">
        <v>86</v>
      </c>
      <c r="AB125" s="1" t="s">
        <v>94</v>
      </c>
      <c r="AC125" s="1" t="s">
        <v>48</v>
      </c>
      <c r="AD125" s="1" t="s">
        <v>124</v>
      </c>
      <c r="AE125" s="1" t="s">
        <v>78</v>
      </c>
      <c r="AF125" s="5">
        <f t="shared" si="6"/>
        <v>45436</v>
      </c>
      <c r="AG125" s="5">
        <f t="shared" si="7"/>
        <v>45437</v>
      </c>
      <c r="AH125" s="5" t="b">
        <f t="shared" si="8"/>
        <v>1</v>
      </c>
      <c r="AI125" s="5" t="b">
        <f t="shared" si="9"/>
        <v>1</v>
      </c>
      <c r="AJ125" t="str">
        <f t="shared" si="10"/>
        <v>OK</v>
      </c>
      <c r="AK125">
        <f t="shared" si="11"/>
        <v>1</v>
      </c>
    </row>
    <row r="126" spans="1:37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  <c r="V126" s="1" t="s">
        <v>53</v>
      </c>
      <c r="W126" s="1" t="s">
        <v>108</v>
      </c>
      <c r="X126" s="1" t="s">
        <v>62</v>
      </c>
      <c r="Y126" s="1" t="s">
        <v>229</v>
      </c>
      <c r="Z126" s="1" t="s">
        <v>230</v>
      </c>
      <c r="AA126" s="1" t="s">
        <v>86</v>
      </c>
      <c r="AB126" s="1" t="s">
        <v>94</v>
      </c>
      <c r="AC126" s="1" t="s">
        <v>67</v>
      </c>
      <c r="AD126" s="1" t="s">
        <v>34</v>
      </c>
      <c r="AE126" s="1" t="s">
        <v>35</v>
      </c>
      <c r="AF126" s="5">
        <f t="shared" si="6"/>
        <v>45494</v>
      </c>
      <c r="AG126" s="5">
        <f t="shared" si="7"/>
        <v>45497</v>
      </c>
      <c r="AH126" s="5" t="b">
        <f t="shared" si="8"/>
        <v>1</v>
      </c>
      <c r="AI126" s="5" t="b">
        <f t="shared" si="9"/>
        <v>1</v>
      </c>
      <c r="AJ126" t="str">
        <f t="shared" si="10"/>
        <v>OK</v>
      </c>
      <c r="AK126">
        <f t="shared" si="11"/>
        <v>3</v>
      </c>
    </row>
    <row r="127" spans="1:37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  <c r="V127" s="1" t="s">
        <v>93</v>
      </c>
      <c r="W127" s="1" t="s">
        <v>41</v>
      </c>
      <c r="X127" s="1" t="s">
        <v>73</v>
      </c>
      <c r="Y127" s="1" t="s">
        <v>28</v>
      </c>
      <c r="Z127" s="1" t="s">
        <v>135</v>
      </c>
      <c r="AA127" s="1" t="s">
        <v>45</v>
      </c>
      <c r="AB127" s="1" t="s">
        <v>46</v>
      </c>
      <c r="AC127" s="1" t="s">
        <v>48</v>
      </c>
      <c r="AD127" s="1" t="s">
        <v>124</v>
      </c>
      <c r="AE127" s="1" t="s">
        <v>125</v>
      </c>
      <c r="AF127" s="5">
        <f t="shared" si="6"/>
        <v>45855</v>
      </c>
      <c r="AG127" s="5" t="e">
        <f t="shared" si="7"/>
        <v>#N/A</v>
      </c>
      <c r="AH127" s="5" t="b">
        <f t="shared" si="8"/>
        <v>1</v>
      </c>
      <c r="AI127" s="5" t="b">
        <f t="shared" si="9"/>
        <v>0</v>
      </c>
      <c r="AJ127" t="e">
        <f t="shared" si="10"/>
        <v>#N/A</v>
      </c>
      <c r="AK127" t="e">
        <f t="shared" si="11"/>
        <v>#N/A</v>
      </c>
    </row>
    <row r="128" spans="1:37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  <c r="V128" s="1" t="s">
        <v>142</v>
      </c>
      <c r="W128" s="1" t="s">
        <v>108</v>
      </c>
      <c r="X128" s="1" t="s">
        <v>27</v>
      </c>
      <c r="Y128" s="1" t="s">
        <v>506</v>
      </c>
      <c r="Z128" s="1" t="s">
        <v>507</v>
      </c>
      <c r="AA128" s="1" t="s">
        <v>86</v>
      </c>
      <c r="AB128" s="1" t="s">
        <v>94</v>
      </c>
      <c r="AC128" s="1" t="s">
        <v>67</v>
      </c>
      <c r="AD128" s="1" t="s">
        <v>34</v>
      </c>
      <c r="AE128" s="1" t="s">
        <v>35</v>
      </c>
      <c r="AF128" s="5" t="e">
        <f t="shared" si="6"/>
        <v>#N/A</v>
      </c>
      <c r="AG128" s="5">
        <f t="shared" si="7"/>
        <v>45926</v>
      </c>
      <c r="AH128" s="5" t="b">
        <f t="shared" si="8"/>
        <v>0</v>
      </c>
      <c r="AI128" s="5" t="b">
        <f t="shared" si="9"/>
        <v>1</v>
      </c>
      <c r="AJ128" t="e">
        <f t="shared" si="10"/>
        <v>#N/A</v>
      </c>
      <c r="AK128" t="e">
        <f t="shared" si="11"/>
        <v>#N/A</v>
      </c>
    </row>
    <row r="129" spans="1:37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  <c r="V129" s="1" t="s">
        <v>142</v>
      </c>
      <c r="W129" s="1" t="s">
        <v>108</v>
      </c>
      <c r="X129" s="1" t="s">
        <v>73</v>
      </c>
      <c r="Y129" s="1" t="s">
        <v>84</v>
      </c>
      <c r="Z129" s="1" t="s">
        <v>85</v>
      </c>
      <c r="AA129" s="1" t="s">
        <v>30</v>
      </c>
      <c r="AB129" s="1" t="s">
        <v>156</v>
      </c>
      <c r="AC129" s="1" t="s">
        <v>33</v>
      </c>
      <c r="AD129" s="1" t="s">
        <v>34</v>
      </c>
      <c r="AE129" s="1" t="s">
        <v>35</v>
      </c>
      <c r="AF129" s="5">
        <f t="shared" si="6"/>
        <v>45687</v>
      </c>
      <c r="AG129" s="5" t="e">
        <f t="shared" si="7"/>
        <v>#N/A</v>
      </c>
      <c r="AH129" s="5" t="b">
        <f t="shared" si="8"/>
        <v>1</v>
      </c>
      <c r="AI129" s="5" t="b">
        <f t="shared" si="9"/>
        <v>0</v>
      </c>
      <c r="AJ129" t="e">
        <f t="shared" si="10"/>
        <v>#N/A</v>
      </c>
      <c r="AK129" t="e">
        <f t="shared" si="11"/>
        <v>#N/A</v>
      </c>
    </row>
    <row r="130" spans="1:37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  <c r="V130" s="1" t="s">
        <v>93</v>
      </c>
      <c r="W130" s="1" t="s">
        <v>41</v>
      </c>
      <c r="X130" s="1" t="s">
        <v>42</v>
      </c>
      <c r="Y130" s="1" t="s">
        <v>43</v>
      </c>
      <c r="Z130" s="1" t="s">
        <v>44</v>
      </c>
      <c r="AA130" s="1" t="s">
        <v>45</v>
      </c>
      <c r="AB130" s="1" t="s">
        <v>65</v>
      </c>
      <c r="AC130" s="1" t="s">
        <v>67</v>
      </c>
      <c r="AD130" s="1" t="s">
        <v>34</v>
      </c>
      <c r="AE130" s="1" t="s">
        <v>125</v>
      </c>
      <c r="AF130" s="5">
        <f t="shared" si="6"/>
        <v>45639</v>
      </c>
      <c r="AG130" s="5">
        <f t="shared" si="7"/>
        <v>45642</v>
      </c>
      <c r="AH130" s="5" t="b">
        <f t="shared" si="8"/>
        <v>1</v>
      </c>
      <c r="AI130" s="5" t="b">
        <f t="shared" si="9"/>
        <v>1</v>
      </c>
      <c r="AJ130" t="str">
        <f t="shared" si="10"/>
        <v>OK</v>
      </c>
      <c r="AK130">
        <f t="shared" si="11"/>
        <v>3</v>
      </c>
    </row>
    <row r="131" spans="1:37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  <c r="V131" s="1" t="s">
        <v>53</v>
      </c>
      <c r="W131" s="1" t="s">
        <v>41</v>
      </c>
      <c r="X131" s="1" t="s">
        <v>73</v>
      </c>
      <c r="Y131" s="1" t="s">
        <v>249</v>
      </c>
      <c r="Z131" s="1" t="s">
        <v>250</v>
      </c>
      <c r="AA131" s="1" t="s">
        <v>30</v>
      </c>
      <c r="AB131" s="1" t="s">
        <v>198</v>
      </c>
      <c r="AC131" s="1" t="s">
        <v>67</v>
      </c>
      <c r="AD131" s="1" t="s">
        <v>34</v>
      </c>
      <c r="AE131" s="1" t="s">
        <v>35</v>
      </c>
      <c r="AF131" s="5">
        <f t="shared" ref="AF131:AF194" si="12">IFERROR(DATEVALUE(B131),IFERROR(DATE(VALUE(RIGHT(B131,4)),VALUE(MID(SUBSTITUTE(B131,"-","/"),6,2)),VALUE(LEFT(B131,2))),NA()))</f>
        <v>45492</v>
      </c>
      <c r="AG131" s="5" t="e">
        <f t="shared" ref="AG131:AG194" si="13">IFERROR(DATEVALUE(C131),IFERROR(DATE(VALUE(RIGHT(C131,4)),VALUE(MID(SUBSTITUTE(C131,"-","/"),6,2)),VALUE(LEFT(C131,2))),NA()))</f>
        <v>#N/A</v>
      </c>
      <c r="AH131" s="5" t="b">
        <f t="shared" ref="AH131:AH194" si="14">ISNUMBER(AF131)</f>
        <v>1</v>
      </c>
      <c r="AI131" s="5" t="b">
        <f t="shared" ref="AI131:AI194" si="15">ISNUMBER(AG131)</f>
        <v>0</v>
      </c>
      <c r="AJ131" t="e">
        <f t="shared" ref="AJ131:AJ194" si="16">IF(AG131&lt;AF131,"Invalid: Ship before Order","OK")</f>
        <v>#N/A</v>
      </c>
      <c r="AK131" t="e">
        <f t="shared" ref="AK131:AK194" si="17">DATEDIF(AF131, AG131, "D")</f>
        <v>#N/A</v>
      </c>
    </row>
    <row r="132" spans="1:37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  <c r="V132" s="1" t="s">
        <v>61</v>
      </c>
      <c r="W132" s="1" t="s">
        <v>26</v>
      </c>
      <c r="X132" s="1" t="s">
        <v>73</v>
      </c>
      <c r="Y132" s="1" t="s">
        <v>235</v>
      </c>
      <c r="Z132" s="1" t="s">
        <v>236</v>
      </c>
      <c r="AA132" s="1" t="s">
        <v>30</v>
      </c>
      <c r="AB132" s="1" t="s">
        <v>109</v>
      </c>
      <c r="AC132" s="1" t="s">
        <v>48</v>
      </c>
      <c r="AD132" s="1" t="s">
        <v>137</v>
      </c>
      <c r="AE132" s="1" t="s">
        <v>78</v>
      </c>
      <c r="AF132" s="5">
        <f t="shared" si="12"/>
        <v>45318</v>
      </c>
      <c r="AG132" s="5">
        <f t="shared" si="13"/>
        <v>45324</v>
      </c>
      <c r="AH132" s="5" t="b">
        <f t="shared" si="14"/>
        <v>1</v>
      </c>
      <c r="AI132" s="5" t="b">
        <f t="shared" si="15"/>
        <v>1</v>
      </c>
      <c r="AJ132" t="str">
        <f t="shared" si="16"/>
        <v>OK</v>
      </c>
      <c r="AK132">
        <f t="shared" si="17"/>
        <v>6</v>
      </c>
    </row>
    <row r="133" spans="1:37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  <c r="V133" s="1" t="s">
        <v>72</v>
      </c>
      <c r="W133" s="1" t="s">
        <v>115</v>
      </c>
      <c r="X133" s="1" t="s">
        <v>42</v>
      </c>
      <c r="Y133" s="1" t="s">
        <v>311</v>
      </c>
      <c r="Z133" s="1" t="s">
        <v>312</v>
      </c>
      <c r="AA133" s="1" t="s">
        <v>30</v>
      </c>
      <c r="AB133" s="1" t="s">
        <v>31</v>
      </c>
      <c r="AC133" s="1" t="s">
        <v>48</v>
      </c>
      <c r="AD133" s="1" t="s">
        <v>34</v>
      </c>
      <c r="AE133" s="1" t="s">
        <v>35</v>
      </c>
      <c r="AF133" s="5">
        <f t="shared" si="12"/>
        <v>45929</v>
      </c>
      <c r="AG133" s="5">
        <f t="shared" si="13"/>
        <v>45934</v>
      </c>
      <c r="AH133" s="5" t="b">
        <f t="shared" si="14"/>
        <v>1</v>
      </c>
      <c r="AI133" s="5" t="b">
        <f t="shared" si="15"/>
        <v>1</v>
      </c>
      <c r="AJ133" t="str">
        <f t="shared" si="16"/>
        <v>OK</v>
      </c>
      <c r="AK133">
        <f t="shared" si="17"/>
        <v>5</v>
      </c>
    </row>
    <row r="134" spans="1:37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  <c r="V134" s="1" t="s">
        <v>366</v>
      </c>
      <c r="W134" s="1" t="s">
        <v>108</v>
      </c>
      <c r="X134" s="1" t="s">
        <v>42</v>
      </c>
      <c r="Y134" s="1" t="s">
        <v>216</v>
      </c>
      <c r="Z134" s="1" t="s">
        <v>217</v>
      </c>
      <c r="AA134" s="1" t="s">
        <v>86</v>
      </c>
      <c r="AB134" s="1" t="s">
        <v>382</v>
      </c>
      <c r="AC134" s="1" t="s">
        <v>56</v>
      </c>
      <c r="AD134" s="1" t="s">
        <v>200</v>
      </c>
      <c r="AE134" s="1" t="s">
        <v>78</v>
      </c>
      <c r="AF134" s="5">
        <f t="shared" si="12"/>
        <v>45600</v>
      </c>
      <c r="AG134" s="5">
        <f t="shared" si="13"/>
        <v>45600</v>
      </c>
      <c r="AH134" s="5" t="b">
        <f t="shared" si="14"/>
        <v>1</v>
      </c>
      <c r="AI134" s="5" t="b">
        <f t="shared" si="15"/>
        <v>1</v>
      </c>
      <c r="AJ134" t="str">
        <f t="shared" si="16"/>
        <v>OK</v>
      </c>
      <c r="AK134">
        <f t="shared" si="17"/>
        <v>0</v>
      </c>
    </row>
    <row r="135" spans="1:37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  <c r="V135" s="1" t="s">
        <v>25</v>
      </c>
      <c r="W135" s="1" t="s">
        <v>26</v>
      </c>
      <c r="X135" s="1" t="s">
        <v>73</v>
      </c>
      <c r="Y135" s="1" t="s">
        <v>249</v>
      </c>
      <c r="Z135" s="1" t="s">
        <v>250</v>
      </c>
      <c r="AA135" s="1" t="s">
        <v>86</v>
      </c>
      <c r="AB135" s="1" t="s">
        <v>223</v>
      </c>
      <c r="AC135" s="1" t="s">
        <v>33</v>
      </c>
      <c r="AD135" s="1" t="s">
        <v>34</v>
      </c>
      <c r="AE135" s="1" t="s">
        <v>35</v>
      </c>
      <c r="AF135" s="5">
        <f t="shared" si="12"/>
        <v>45639</v>
      </c>
      <c r="AG135" s="5">
        <f t="shared" si="13"/>
        <v>45644</v>
      </c>
      <c r="AH135" s="5" t="b">
        <f t="shared" si="14"/>
        <v>1</v>
      </c>
      <c r="AI135" s="5" t="b">
        <f t="shared" si="15"/>
        <v>1</v>
      </c>
      <c r="AJ135" t="str">
        <f t="shared" si="16"/>
        <v>OK</v>
      </c>
      <c r="AK135">
        <f t="shared" si="17"/>
        <v>5</v>
      </c>
    </row>
    <row r="136" spans="1:37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  <c r="V136" s="1" t="s">
        <v>83</v>
      </c>
      <c r="W136" s="1" t="s">
        <v>115</v>
      </c>
      <c r="X136" s="1" t="s">
        <v>42</v>
      </c>
      <c r="Y136" s="1" t="s">
        <v>121</v>
      </c>
      <c r="Z136" s="1" t="s">
        <v>122</v>
      </c>
      <c r="AA136" s="1" t="s">
        <v>45</v>
      </c>
      <c r="AB136" s="1" t="s">
        <v>204</v>
      </c>
      <c r="AC136" s="1" t="s">
        <v>4119</v>
      </c>
      <c r="AD136" s="1" t="s">
        <v>137</v>
      </c>
      <c r="AE136" s="1" t="s">
        <v>78</v>
      </c>
      <c r="AF136" s="5">
        <f t="shared" si="12"/>
        <v>45852</v>
      </c>
      <c r="AG136" s="5">
        <f t="shared" si="13"/>
        <v>45852</v>
      </c>
      <c r="AH136" s="5" t="b">
        <f t="shared" si="14"/>
        <v>1</v>
      </c>
      <c r="AI136" s="5" t="b">
        <f t="shared" si="15"/>
        <v>1</v>
      </c>
      <c r="AJ136" t="str">
        <f t="shared" si="16"/>
        <v>OK</v>
      </c>
      <c r="AK136">
        <f t="shared" si="17"/>
        <v>0</v>
      </c>
    </row>
    <row r="137" spans="1:37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  <c r="V137" s="1" t="s">
        <v>210</v>
      </c>
      <c r="W137" s="1" t="s">
        <v>41</v>
      </c>
      <c r="X137" s="1" t="s">
        <v>62</v>
      </c>
      <c r="Y137" s="1" t="s">
        <v>242</v>
      </c>
      <c r="Z137" s="1" t="s">
        <v>243</v>
      </c>
      <c r="AA137" s="1" t="s">
        <v>45</v>
      </c>
      <c r="AB137" s="1" t="s">
        <v>204</v>
      </c>
      <c r="AC137" s="1" t="s">
        <v>67</v>
      </c>
      <c r="AD137" s="1" t="s">
        <v>34</v>
      </c>
      <c r="AE137" s="1" t="s">
        <v>35</v>
      </c>
      <c r="AF137" s="5">
        <f t="shared" si="12"/>
        <v>45893</v>
      </c>
      <c r="AG137" s="5">
        <f t="shared" si="13"/>
        <v>45893</v>
      </c>
      <c r="AH137" s="5" t="b">
        <f t="shared" si="14"/>
        <v>1</v>
      </c>
      <c r="AI137" s="5" t="b">
        <f t="shared" si="15"/>
        <v>1</v>
      </c>
      <c r="AJ137" t="str">
        <f t="shared" si="16"/>
        <v>OK</v>
      </c>
      <c r="AK137">
        <f t="shared" si="17"/>
        <v>0</v>
      </c>
    </row>
    <row r="138" spans="1:37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  <c r="V138" s="1" t="s">
        <v>40</v>
      </c>
      <c r="W138" s="1" t="s">
        <v>115</v>
      </c>
      <c r="X138" s="1" t="s">
        <v>42</v>
      </c>
      <c r="Y138" s="1" t="s">
        <v>311</v>
      </c>
      <c r="Z138" s="1" t="s">
        <v>312</v>
      </c>
      <c r="AA138" s="1" t="s">
        <v>30</v>
      </c>
      <c r="AB138" s="1" t="s">
        <v>198</v>
      </c>
      <c r="AC138" s="1" t="s">
        <v>67</v>
      </c>
      <c r="AD138" s="1" t="s">
        <v>34</v>
      </c>
      <c r="AE138" s="1" t="s">
        <v>35</v>
      </c>
      <c r="AF138" s="5">
        <f t="shared" si="12"/>
        <v>45902</v>
      </c>
      <c r="AG138" s="5" t="e">
        <f t="shared" si="13"/>
        <v>#N/A</v>
      </c>
      <c r="AH138" s="5" t="b">
        <f t="shared" si="14"/>
        <v>1</v>
      </c>
      <c r="AI138" s="5" t="b">
        <f t="shared" si="15"/>
        <v>0</v>
      </c>
      <c r="AJ138" t="e">
        <f t="shared" si="16"/>
        <v>#N/A</v>
      </c>
      <c r="AK138" t="e">
        <f t="shared" si="17"/>
        <v>#N/A</v>
      </c>
    </row>
    <row r="139" spans="1:37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  <c r="V139" s="1" t="s">
        <v>168</v>
      </c>
      <c r="W139" s="1" t="s">
        <v>41</v>
      </c>
      <c r="X139" s="1" t="s">
        <v>27</v>
      </c>
      <c r="Y139" s="1" t="s">
        <v>28</v>
      </c>
      <c r="Z139" s="1" t="s">
        <v>29</v>
      </c>
      <c r="AA139" s="1" t="s">
        <v>45</v>
      </c>
      <c r="AB139" s="1" t="s">
        <v>76</v>
      </c>
      <c r="AC139" s="1" t="s">
        <v>48</v>
      </c>
      <c r="AD139" s="1" t="s">
        <v>34</v>
      </c>
      <c r="AE139" s="1" t="s">
        <v>35</v>
      </c>
      <c r="AF139" s="5">
        <f t="shared" si="12"/>
        <v>45666</v>
      </c>
      <c r="AG139" s="5">
        <f t="shared" si="13"/>
        <v>45666</v>
      </c>
      <c r="AH139" s="5" t="b">
        <f t="shared" si="14"/>
        <v>1</v>
      </c>
      <c r="AI139" s="5" t="b">
        <f t="shared" si="15"/>
        <v>1</v>
      </c>
      <c r="AJ139" t="str">
        <f t="shared" si="16"/>
        <v>OK</v>
      </c>
      <c r="AK139">
        <f t="shared" si="17"/>
        <v>0</v>
      </c>
    </row>
    <row r="140" spans="1:37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  <c r="V140" s="1" t="s">
        <v>210</v>
      </c>
      <c r="W140" s="1" t="s">
        <v>115</v>
      </c>
      <c r="X140" s="1" t="s">
        <v>42</v>
      </c>
      <c r="Y140" s="1" t="s">
        <v>311</v>
      </c>
      <c r="Z140" s="1" t="s">
        <v>312</v>
      </c>
      <c r="AA140" s="1" t="s">
        <v>86</v>
      </c>
      <c r="AB140" s="1" t="s">
        <v>382</v>
      </c>
      <c r="AC140" s="1" t="s">
        <v>67</v>
      </c>
      <c r="AD140" s="1" t="s">
        <v>34</v>
      </c>
      <c r="AE140" s="1" t="s">
        <v>35</v>
      </c>
      <c r="AF140" s="5">
        <f t="shared" si="12"/>
        <v>45311</v>
      </c>
      <c r="AG140" s="5" t="e">
        <f t="shared" si="13"/>
        <v>#N/A</v>
      </c>
      <c r="AH140" s="5" t="b">
        <f t="shared" si="14"/>
        <v>1</v>
      </c>
      <c r="AI140" s="5" t="b">
        <f t="shared" si="15"/>
        <v>0</v>
      </c>
      <c r="AJ140" t="e">
        <f t="shared" si="16"/>
        <v>#N/A</v>
      </c>
      <c r="AK140" t="e">
        <f t="shared" si="17"/>
        <v>#N/A</v>
      </c>
    </row>
    <row r="141" spans="1:37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  <c r="V141" s="1" t="s">
        <v>93</v>
      </c>
      <c r="W141" s="1" t="s">
        <v>115</v>
      </c>
      <c r="X141" s="1" t="s">
        <v>62</v>
      </c>
      <c r="Y141" s="1" t="s">
        <v>229</v>
      </c>
      <c r="Z141" s="1" t="s">
        <v>230</v>
      </c>
      <c r="AA141" s="1" t="s">
        <v>30</v>
      </c>
      <c r="AB141" s="1" t="s">
        <v>109</v>
      </c>
      <c r="AC141" s="1" t="s">
        <v>67</v>
      </c>
      <c r="AD141" s="1" t="s">
        <v>34</v>
      </c>
      <c r="AE141" s="1" t="s">
        <v>35</v>
      </c>
      <c r="AF141" s="5">
        <f t="shared" si="12"/>
        <v>45718</v>
      </c>
      <c r="AG141" s="5">
        <f t="shared" si="13"/>
        <v>45841</v>
      </c>
      <c r="AH141" s="5" t="b">
        <f t="shared" si="14"/>
        <v>1</v>
      </c>
      <c r="AI141" s="5" t="b">
        <f t="shared" si="15"/>
        <v>1</v>
      </c>
      <c r="AJ141" t="str">
        <f t="shared" si="16"/>
        <v>OK</v>
      </c>
      <c r="AK141">
        <f t="shared" si="17"/>
        <v>123</v>
      </c>
    </row>
    <row r="142" spans="1:37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  <c r="V142" s="1" t="s">
        <v>40</v>
      </c>
      <c r="W142" s="1" t="s">
        <v>108</v>
      </c>
      <c r="X142" s="1" t="s">
        <v>62</v>
      </c>
      <c r="Y142" s="1" t="s">
        <v>229</v>
      </c>
      <c r="Z142" s="1" t="s">
        <v>230</v>
      </c>
      <c r="AA142" s="1" t="s">
        <v>45</v>
      </c>
      <c r="AB142" s="1" t="s">
        <v>204</v>
      </c>
      <c r="AC142" s="1" t="s">
        <v>48</v>
      </c>
      <c r="AD142" s="1" t="s">
        <v>34</v>
      </c>
      <c r="AE142" s="1" t="s">
        <v>35</v>
      </c>
      <c r="AF142" s="5" t="e">
        <f t="shared" si="12"/>
        <v>#N/A</v>
      </c>
      <c r="AG142" s="5">
        <f t="shared" si="13"/>
        <v>45444</v>
      </c>
      <c r="AH142" s="5" t="b">
        <f t="shared" si="14"/>
        <v>0</v>
      </c>
      <c r="AI142" s="5" t="b">
        <f t="shared" si="15"/>
        <v>1</v>
      </c>
      <c r="AJ142" t="e">
        <f t="shared" si="16"/>
        <v>#N/A</v>
      </c>
      <c r="AK142" t="e">
        <f t="shared" si="17"/>
        <v>#N/A</v>
      </c>
    </row>
    <row r="143" spans="1:37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  <c r="V143" s="1" t="s">
        <v>142</v>
      </c>
      <c r="W143" s="1" t="s">
        <v>108</v>
      </c>
      <c r="X143" s="1" t="s">
        <v>27</v>
      </c>
      <c r="Y143" s="1" t="s">
        <v>506</v>
      </c>
      <c r="Z143" s="1" t="s">
        <v>507</v>
      </c>
      <c r="AA143" s="1" t="s">
        <v>45</v>
      </c>
      <c r="AB143" s="1" t="s">
        <v>204</v>
      </c>
      <c r="AC143" s="1" t="s">
        <v>48</v>
      </c>
      <c r="AD143" s="1" t="s">
        <v>34</v>
      </c>
      <c r="AE143" s="1" t="s">
        <v>125</v>
      </c>
      <c r="AF143" s="5">
        <f t="shared" si="12"/>
        <v>45374</v>
      </c>
      <c r="AG143" s="5">
        <f t="shared" si="13"/>
        <v>45380</v>
      </c>
      <c r="AH143" s="5" t="b">
        <f t="shared" si="14"/>
        <v>1</v>
      </c>
      <c r="AI143" s="5" t="b">
        <f t="shared" si="15"/>
        <v>1</v>
      </c>
      <c r="AJ143" t="str">
        <f t="shared" si="16"/>
        <v>OK</v>
      </c>
      <c r="AK143">
        <f t="shared" si="17"/>
        <v>6</v>
      </c>
    </row>
    <row r="144" spans="1:37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  <c r="V144" s="1" t="s">
        <v>107</v>
      </c>
      <c r="W144" s="1" t="s">
        <v>115</v>
      </c>
      <c r="X144" s="1" t="s">
        <v>27</v>
      </c>
      <c r="Y144" s="1" t="s">
        <v>28</v>
      </c>
      <c r="Z144" s="1" t="s">
        <v>29</v>
      </c>
      <c r="AA144" s="1" t="s">
        <v>86</v>
      </c>
      <c r="AB144" s="1" t="s">
        <v>223</v>
      </c>
      <c r="AC144" s="1" t="s">
        <v>33</v>
      </c>
      <c r="AD144" s="1" t="s">
        <v>34</v>
      </c>
      <c r="AE144" s="1" t="s">
        <v>35</v>
      </c>
      <c r="AF144" s="5">
        <f t="shared" si="12"/>
        <v>45381</v>
      </c>
      <c r="AG144" s="5">
        <f t="shared" si="13"/>
        <v>45377</v>
      </c>
      <c r="AH144" s="5" t="b">
        <f t="shared" si="14"/>
        <v>1</v>
      </c>
      <c r="AI144" s="5" t="b">
        <f t="shared" si="15"/>
        <v>1</v>
      </c>
      <c r="AJ144" t="str">
        <f t="shared" si="16"/>
        <v>Invalid: Ship before Order</v>
      </c>
      <c r="AK144" t="e">
        <f t="shared" si="17"/>
        <v>#NUM!</v>
      </c>
    </row>
    <row r="145" spans="1:37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  <c r="V145" s="1" t="s">
        <v>142</v>
      </c>
      <c r="W145" s="1" t="s">
        <v>26</v>
      </c>
      <c r="X145" s="1" t="s">
        <v>73</v>
      </c>
      <c r="Y145" s="1" t="s">
        <v>235</v>
      </c>
      <c r="Z145" s="1" t="s">
        <v>236</v>
      </c>
      <c r="AA145" s="1" t="s">
        <v>30</v>
      </c>
      <c r="AB145" s="1" t="s">
        <v>31</v>
      </c>
      <c r="AC145" s="1" t="s">
        <v>33</v>
      </c>
      <c r="AD145" s="1" t="s">
        <v>34</v>
      </c>
      <c r="AE145" s="1" t="s">
        <v>125</v>
      </c>
      <c r="AF145" s="5">
        <f t="shared" si="12"/>
        <v>45375</v>
      </c>
      <c r="AG145" s="5">
        <f t="shared" si="13"/>
        <v>45377</v>
      </c>
      <c r="AH145" s="5" t="b">
        <f t="shared" si="14"/>
        <v>1</v>
      </c>
      <c r="AI145" s="5" t="b">
        <f t="shared" si="15"/>
        <v>1</v>
      </c>
      <c r="AJ145" t="str">
        <f t="shared" si="16"/>
        <v>OK</v>
      </c>
      <c r="AK145">
        <f t="shared" si="17"/>
        <v>2</v>
      </c>
    </row>
    <row r="146" spans="1:37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  <c r="V146" s="1" t="s">
        <v>366</v>
      </c>
      <c r="W146" s="1" t="s">
        <v>41</v>
      </c>
      <c r="X146" s="1" t="s">
        <v>62</v>
      </c>
      <c r="Y146" s="1" t="s">
        <v>63</v>
      </c>
      <c r="Z146" s="1" t="s">
        <v>64</v>
      </c>
      <c r="AA146" s="1" t="s">
        <v>86</v>
      </c>
      <c r="AB146" s="1" t="s">
        <v>87</v>
      </c>
      <c r="AC146" s="1" t="s">
        <v>56</v>
      </c>
      <c r="AD146" s="1" t="s">
        <v>124</v>
      </c>
      <c r="AE146" s="1" t="s">
        <v>125</v>
      </c>
      <c r="AF146" s="5">
        <f t="shared" si="12"/>
        <v>45479</v>
      </c>
      <c r="AG146" s="5">
        <f t="shared" si="13"/>
        <v>45458</v>
      </c>
      <c r="AH146" s="5" t="b">
        <f t="shared" si="14"/>
        <v>1</v>
      </c>
      <c r="AI146" s="5" t="b">
        <f t="shared" si="15"/>
        <v>1</v>
      </c>
      <c r="AJ146" t="str">
        <f t="shared" si="16"/>
        <v>Invalid: Ship before Order</v>
      </c>
      <c r="AK146" t="e">
        <f t="shared" si="17"/>
        <v>#NUM!</v>
      </c>
    </row>
    <row r="147" spans="1:37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  <c r="V147" s="1" t="s">
        <v>40</v>
      </c>
      <c r="W147" s="1" t="s">
        <v>41</v>
      </c>
      <c r="X147" s="1" t="s">
        <v>73</v>
      </c>
      <c r="Y147" s="1" t="s">
        <v>249</v>
      </c>
      <c r="Z147" s="1" t="s">
        <v>250</v>
      </c>
      <c r="AA147" s="1" t="s">
        <v>30</v>
      </c>
      <c r="AB147" s="1" t="s">
        <v>31</v>
      </c>
      <c r="AC147" s="1" t="s">
        <v>67</v>
      </c>
      <c r="AD147" s="1" t="s">
        <v>34</v>
      </c>
      <c r="AE147" s="1" t="s">
        <v>35</v>
      </c>
      <c r="AF147" s="5">
        <f t="shared" si="12"/>
        <v>45965</v>
      </c>
      <c r="AG147" s="5">
        <f t="shared" si="13"/>
        <v>45760</v>
      </c>
      <c r="AH147" s="5" t="b">
        <f t="shared" si="14"/>
        <v>1</v>
      </c>
      <c r="AI147" s="5" t="b">
        <f t="shared" si="15"/>
        <v>1</v>
      </c>
      <c r="AJ147" t="str">
        <f t="shared" si="16"/>
        <v>Invalid: Ship before Order</v>
      </c>
      <c r="AK147" t="e">
        <f t="shared" si="17"/>
        <v>#NUM!</v>
      </c>
    </row>
    <row r="148" spans="1:37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  <c r="V148" s="1" t="s">
        <v>168</v>
      </c>
      <c r="W148" s="1" t="s">
        <v>41</v>
      </c>
      <c r="X148" s="1" t="s">
        <v>62</v>
      </c>
      <c r="Y148" s="1" t="s">
        <v>339</v>
      </c>
      <c r="Z148" s="1" t="s">
        <v>340</v>
      </c>
      <c r="AA148" s="1" t="s">
        <v>30</v>
      </c>
      <c r="AB148" s="1" t="s">
        <v>156</v>
      </c>
      <c r="AC148" s="1" t="s">
        <v>48</v>
      </c>
      <c r="AD148" s="1" t="s">
        <v>34</v>
      </c>
      <c r="AE148" s="1" t="s">
        <v>35</v>
      </c>
      <c r="AF148" s="5">
        <f t="shared" si="12"/>
        <v>45868</v>
      </c>
      <c r="AG148" s="5">
        <f t="shared" si="13"/>
        <v>45870</v>
      </c>
      <c r="AH148" s="5" t="b">
        <f t="shared" si="14"/>
        <v>1</v>
      </c>
      <c r="AI148" s="5" t="b">
        <f t="shared" si="15"/>
        <v>1</v>
      </c>
      <c r="AJ148" t="str">
        <f t="shared" si="16"/>
        <v>OK</v>
      </c>
      <c r="AK148">
        <f t="shared" si="17"/>
        <v>2</v>
      </c>
    </row>
    <row r="149" spans="1:37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  <c r="V149" s="1" t="s">
        <v>142</v>
      </c>
      <c r="W149" s="1" t="s">
        <v>115</v>
      </c>
      <c r="X149" s="1" t="s">
        <v>73</v>
      </c>
      <c r="Y149" s="1" t="s">
        <v>249</v>
      </c>
      <c r="Z149" s="1" t="s">
        <v>250</v>
      </c>
      <c r="AA149" s="1" t="s">
        <v>45</v>
      </c>
      <c r="AB149" s="1" t="s">
        <v>65</v>
      </c>
      <c r="AC149" s="1" t="s">
        <v>56</v>
      </c>
      <c r="AD149" s="1" t="s">
        <v>34</v>
      </c>
      <c r="AE149" s="1" t="s">
        <v>35</v>
      </c>
      <c r="AF149" s="5" t="e">
        <f t="shared" si="12"/>
        <v>#N/A</v>
      </c>
      <c r="AG149" s="5">
        <f t="shared" si="13"/>
        <v>45656</v>
      </c>
      <c r="AH149" s="5" t="b">
        <f t="shared" si="14"/>
        <v>0</v>
      </c>
      <c r="AI149" s="5" t="b">
        <f t="shared" si="15"/>
        <v>1</v>
      </c>
      <c r="AJ149" t="e">
        <f t="shared" si="16"/>
        <v>#N/A</v>
      </c>
      <c r="AK149" t="e">
        <f t="shared" si="17"/>
        <v>#N/A</v>
      </c>
    </row>
    <row r="150" spans="1:37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  <c r="V150" s="1" t="s">
        <v>40</v>
      </c>
      <c r="W150" s="1" t="s">
        <v>115</v>
      </c>
      <c r="X150" s="1" t="s">
        <v>73</v>
      </c>
      <c r="Y150" s="1" t="s">
        <v>84</v>
      </c>
      <c r="Z150" s="1" t="s">
        <v>85</v>
      </c>
      <c r="AA150" s="1" t="s">
        <v>86</v>
      </c>
      <c r="AB150" s="1" t="s">
        <v>223</v>
      </c>
      <c r="AC150" s="1" t="s">
        <v>4119</v>
      </c>
      <c r="AD150" s="1" t="s">
        <v>34</v>
      </c>
      <c r="AE150" s="1" t="s">
        <v>35</v>
      </c>
      <c r="AF150" s="5">
        <f t="shared" si="12"/>
        <v>45697</v>
      </c>
      <c r="AG150" s="5" t="e">
        <f t="shared" si="13"/>
        <v>#N/A</v>
      </c>
      <c r="AH150" s="5" t="b">
        <f t="shared" si="14"/>
        <v>1</v>
      </c>
      <c r="AI150" s="5" t="b">
        <f t="shared" si="15"/>
        <v>0</v>
      </c>
      <c r="AJ150" t="e">
        <f t="shared" si="16"/>
        <v>#N/A</v>
      </c>
      <c r="AK150" t="e">
        <f t="shared" si="17"/>
        <v>#N/A</v>
      </c>
    </row>
    <row r="151" spans="1:37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  <c r="V151" s="1" t="s">
        <v>162</v>
      </c>
      <c r="W151" s="1" t="s">
        <v>41</v>
      </c>
      <c r="X151" s="1" t="s">
        <v>73</v>
      </c>
      <c r="Y151" s="1" t="s">
        <v>28</v>
      </c>
      <c r="Z151" s="1" t="s">
        <v>135</v>
      </c>
      <c r="AA151" s="1" t="s">
        <v>86</v>
      </c>
      <c r="AB151" s="1" t="s">
        <v>94</v>
      </c>
      <c r="AC151" s="1" t="s">
        <v>48</v>
      </c>
      <c r="AD151" s="1" t="s">
        <v>34</v>
      </c>
      <c r="AE151" s="1" t="s">
        <v>35</v>
      </c>
      <c r="AF151" s="5" t="e">
        <f t="shared" si="12"/>
        <v>#N/A</v>
      </c>
      <c r="AG151" s="5" t="e">
        <f t="shared" si="13"/>
        <v>#N/A</v>
      </c>
      <c r="AH151" s="5" t="b">
        <f t="shared" si="14"/>
        <v>0</v>
      </c>
      <c r="AI151" s="5" t="b">
        <f t="shared" si="15"/>
        <v>0</v>
      </c>
      <c r="AJ151" t="e">
        <f t="shared" si="16"/>
        <v>#N/A</v>
      </c>
      <c r="AK151" t="e">
        <f t="shared" si="17"/>
        <v>#N/A</v>
      </c>
    </row>
    <row r="152" spans="1:37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  <c r="V152" s="1" t="s">
        <v>61</v>
      </c>
      <c r="W152" s="1" t="s">
        <v>26</v>
      </c>
      <c r="X152" s="1" t="s">
        <v>4119</v>
      </c>
      <c r="Y152" s="1" t="s">
        <v>235</v>
      </c>
      <c r="Z152" s="1" t="s">
        <v>236</v>
      </c>
      <c r="AA152" s="1" t="s">
        <v>45</v>
      </c>
      <c r="AB152" s="1" t="s">
        <v>204</v>
      </c>
      <c r="AC152" s="1" t="s">
        <v>56</v>
      </c>
      <c r="AD152" s="1" t="s">
        <v>34</v>
      </c>
      <c r="AE152" s="1" t="s">
        <v>35</v>
      </c>
      <c r="AF152" s="5">
        <f t="shared" si="12"/>
        <v>45385</v>
      </c>
      <c r="AG152" s="5">
        <f t="shared" si="13"/>
        <v>45363</v>
      </c>
      <c r="AH152" s="5" t="b">
        <f t="shared" si="14"/>
        <v>1</v>
      </c>
      <c r="AI152" s="5" t="b">
        <f t="shared" si="15"/>
        <v>1</v>
      </c>
      <c r="AJ152" t="str">
        <f t="shared" si="16"/>
        <v>Invalid: Ship before Order</v>
      </c>
      <c r="AK152" t="e">
        <f t="shared" si="17"/>
        <v>#NUM!</v>
      </c>
    </row>
    <row r="153" spans="1:37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  <c r="V153" s="1" t="s">
        <v>93</v>
      </c>
      <c r="W153" s="1" t="s">
        <v>115</v>
      </c>
      <c r="X153" s="1" t="s">
        <v>4119</v>
      </c>
      <c r="Y153" s="1" t="s">
        <v>84</v>
      </c>
      <c r="Z153" s="1" t="s">
        <v>85</v>
      </c>
      <c r="AA153" s="1" t="s">
        <v>86</v>
      </c>
      <c r="AB153" s="1" t="s">
        <v>94</v>
      </c>
      <c r="AC153" s="1" t="s">
        <v>67</v>
      </c>
      <c r="AD153" s="1" t="s">
        <v>137</v>
      </c>
      <c r="AE153" s="1" t="s">
        <v>125</v>
      </c>
      <c r="AF153" s="5">
        <f t="shared" si="12"/>
        <v>45470</v>
      </c>
      <c r="AG153" s="5">
        <f t="shared" si="13"/>
        <v>45470</v>
      </c>
      <c r="AH153" s="5" t="b">
        <f t="shared" si="14"/>
        <v>1</v>
      </c>
      <c r="AI153" s="5" t="b">
        <f t="shared" si="15"/>
        <v>1</v>
      </c>
      <c r="AJ153" t="str">
        <f t="shared" si="16"/>
        <v>OK</v>
      </c>
      <c r="AK153">
        <f t="shared" si="17"/>
        <v>0</v>
      </c>
    </row>
    <row r="154" spans="1:37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  <c r="V154" s="1" t="s">
        <v>366</v>
      </c>
      <c r="W154" s="1" t="s">
        <v>41</v>
      </c>
      <c r="X154" s="1" t="s">
        <v>62</v>
      </c>
      <c r="Y154" s="1" t="s">
        <v>242</v>
      </c>
      <c r="Z154" s="1" t="s">
        <v>243</v>
      </c>
      <c r="AA154" s="1" t="s">
        <v>45</v>
      </c>
      <c r="AB154" s="1" t="s">
        <v>46</v>
      </c>
      <c r="AC154" s="1" t="s">
        <v>33</v>
      </c>
      <c r="AD154" s="1" t="s">
        <v>137</v>
      </c>
      <c r="AE154" s="1" t="s">
        <v>125</v>
      </c>
      <c r="AF154" s="5">
        <f t="shared" si="12"/>
        <v>45457</v>
      </c>
      <c r="AG154" s="5">
        <f t="shared" si="13"/>
        <v>45460</v>
      </c>
      <c r="AH154" s="5" t="b">
        <f t="shared" si="14"/>
        <v>1</v>
      </c>
      <c r="AI154" s="5" t="b">
        <f t="shared" si="15"/>
        <v>1</v>
      </c>
      <c r="AJ154" t="str">
        <f t="shared" si="16"/>
        <v>OK</v>
      </c>
      <c r="AK154">
        <f t="shared" si="17"/>
        <v>3</v>
      </c>
    </row>
    <row r="155" spans="1:37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  <c r="V155" s="1" t="s">
        <v>107</v>
      </c>
      <c r="W155" s="1" t="s">
        <v>26</v>
      </c>
      <c r="X155" s="1" t="s">
        <v>42</v>
      </c>
      <c r="Y155" s="1" t="s">
        <v>43</v>
      </c>
      <c r="Z155" s="1" t="s">
        <v>44</v>
      </c>
      <c r="AA155" s="1" t="s">
        <v>30</v>
      </c>
      <c r="AB155" s="1" t="s">
        <v>109</v>
      </c>
      <c r="AC155" s="1" t="s">
        <v>67</v>
      </c>
      <c r="AD155" s="1" t="s">
        <v>124</v>
      </c>
      <c r="AE155" s="1" t="s">
        <v>125</v>
      </c>
      <c r="AF155" s="5">
        <f t="shared" si="12"/>
        <v>45923</v>
      </c>
      <c r="AG155" s="5">
        <f t="shared" si="13"/>
        <v>45925</v>
      </c>
      <c r="AH155" s="5" t="b">
        <f t="shared" si="14"/>
        <v>1</v>
      </c>
      <c r="AI155" s="5" t="b">
        <f t="shared" si="15"/>
        <v>1</v>
      </c>
      <c r="AJ155" t="str">
        <f t="shared" si="16"/>
        <v>OK</v>
      </c>
      <c r="AK155">
        <f t="shared" si="17"/>
        <v>2</v>
      </c>
    </row>
    <row r="156" spans="1:37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  <c r="V156" s="1" t="s">
        <v>142</v>
      </c>
      <c r="W156" s="1" t="s">
        <v>26</v>
      </c>
      <c r="X156" s="1" t="s">
        <v>62</v>
      </c>
      <c r="Y156" s="1" t="s">
        <v>339</v>
      </c>
      <c r="Z156" s="1" t="s">
        <v>340</v>
      </c>
      <c r="AA156" s="1" t="s">
        <v>45</v>
      </c>
      <c r="AB156" s="1" t="s">
        <v>204</v>
      </c>
      <c r="AC156" s="1" t="s">
        <v>48</v>
      </c>
      <c r="AD156" s="1" t="s">
        <v>34</v>
      </c>
      <c r="AE156" s="1" t="s">
        <v>35</v>
      </c>
      <c r="AF156" s="5">
        <f t="shared" si="12"/>
        <v>45334</v>
      </c>
      <c r="AG156" s="5">
        <f t="shared" si="13"/>
        <v>45333</v>
      </c>
      <c r="AH156" s="5" t="b">
        <f t="shared" si="14"/>
        <v>1</v>
      </c>
      <c r="AI156" s="5" t="b">
        <f t="shared" si="15"/>
        <v>1</v>
      </c>
      <c r="AJ156" t="str">
        <f t="shared" si="16"/>
        <v>Invalid: Ship before Order</v>
      </c>
      <c r="AK156" t="e">
        <f t="shared" si="17"/>
        <v>#NUM!</v>
      </c>
    </row>
    <row r="157" spans="1:37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  <c r="V157" s="1" t="s">
        <v>25</v>
      </c>
      <c r="W157" s="1" t="s">
        <v>108</v>
      </c>
      <c r="X157" s="1" t="s">
        <v>73</v>
      </c>
      <c r="Y157" s="1" t="s">
        <v>28</v>
      </c>
      <c r="Z157" s="1" t="s">
        <v>135</v>
      </c>
      <c r="AA157" s="1" t="s">
        <v>45</v>
      </c>
      <c r="AB157" s="1" t="s">
        <v>65</v>
      </c>
      <c r="AC157" s="1" t="s">
        <v>48</v>
      </c>
      <c r="AD157" s="1" t="s">
        <v>124</v>
      </c>
      <c r="AE157" s="1" t="s">
        <v>125</v>
      </c>
      <c r="AF157" s="5">
        <f t="shared" si="12"/>
        <v>45683</v>
      </c>
      <c r="AG157" s="5">
        <f t="shared" si="13"/>
        <v>45691</v>
      </c>
      <c r="AH157" s="5" t="b">
        <f t="shared" si="14"/>
        <v>1</v>
      </c>
      <c r="AI157" s="5" t="b">
        <f t="shared" si="15"/>
        <v>1</v>
      </c>
      <c r="AJ157" t="str">
        <f t="shared" si="16"/>
        <v>OK</v>
      </c>
      <c r="AK157">
        <f t="shared" si="17"/>
        <v>8</v>
      </c>
    </row>
    <row r="158" spans="1:37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  <c r="V158" s="1" t="s">
        <v>83</v>
      </c>
      <c r="W158" s="1" t="s">
        <v>41</v>
      </c>
      <c r="X158" s="1" t="s">
        <v>42</v>
      </c>
      <c r="Y158" s="1" t="s">
        <v>186</v>
      </c>
      <c r="Z158" s="1" t="s">
        <v>187</v>
      </c>
      <c r="AA158" s="1" t="s">
        <v>86</v>
      </c>
      <c r="AB158" s="1" t="s">
        <v>382</v>
      </c>
      <c r="AC158" s="1" t="s">
        <v>33</v>
      </c>
      <c r="AD158" s="1" t="s">
        <v>34</v>
      </c>
      <c r="AE158" s="1" t="s">
        <v>35</v>
      </c>
      <c r="AF158" s="5" t="e">
        <f t="shared" si="12"/>
        <v>#N/A</v>
      </c>
      <c r="AG158" s="5">
        <f t="shared" si="13"/>
        <v>45743</v>
      </c>
      <c r="AH158" s="5" t="b">
        <f t="shared" si="14"/>
        <v>0</v>
      </c>
      <c r="AI158" s="5" t="b">
        <f t="shared" si="15"/>
        <v>1</v>
      </c>
      <c r="AJ158" t="e">
        <f t="shared" si="16"/>
        <v>#N/A</v>
      </c>
      <c r="AK158" t="e">
        <f t="shared" si="17"/>
        <v>#N/A</v>
      </c>
    </row>
    <row r="159" spans="1:37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  <c r="V159" s="1" t="s">
        <v>180</v>
      </c>
      <c r="W159" s="1" t="s">
        <v>41</v>
      </c>
      <c r="X159" s="1" t="s">
        <v>62</v>
      </c>
      <c r="Y159" s="1" t="s">
        <v>100</v>
      </c>
      <c r="Z159" s="1" t="s">
        <v>101</v>
      </c>
      <c r="AA159" s="1" t="s">
        <v>45</v>
      </c>
      <c r="AB159" s="1" t="s">
        <v>204</v>
      </c>
      <c r="AC159" s="1" t="s">
        <v>67</v>
      </c>
      <c r="AD159" s="1" t="s">
        <v>34</v>
      </c>
      <c r="AE159" s="1" t="s">
        <v>35</v>
      </c>
      <c r="AF159" s="5">
        <f t="shared" si="12"/>
        <v>45587</v>
      </c>
      <c r="AG159" s="5" t="e">
        <f t="shared" si="13"/>
        <v>#N/A</v>
      </c>
      <c r="AH159" s="5" t="b">
        <f t="shared" si="14"/>
        <v>1</v>
      </c>
      <c r="AI159" s="5" t="b">
        <f t="shared" si="15"/>
        <v>0</v>
      </c>
      <c r="AJ159" t="e">
        <f t="shared" si="16"/>
        <v>#N/A</v>
      </c>
      <c r="AK159" t="e">
        <f t="shared" si="17"/>
        <v>#N/A</v>
      </c>
    </row>
    <row r="160" spans="1:37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  <c r="V160" s="1" t="s">
        <v>93</v>
      </c>
      <c r="W160" s="1" t="s">
        <v>115</v>
      </c>
      <c r="X160" s="1" t="s">
        <v>62</v>
      </c>
      <c r="Y160" s="1" t="s">
        <v>63</v>
      </c>
      <c r="Z160" s="1" t="s">
        <v>64</v>
      </c>
      <c r="AA160" s="1" t="s">
        <v>45</v>
      </c>
      <c r="AB160" s="1" t="s">
        <v>204</v>
      </c>
      <c r="AC160" s="1" t="s">
        <v>56</v>
      </c>
      <c r="AD160" s="1" t="s">
        <v>34</v>
      </c>
      <c r="AE160" s="1" t="s">
        <v>35</v>
      </c>
      <c r="AF160" s="5">
        <f t="shared" si="12"/>
        <v>45544</v>
      </c>
      <c r="AG160" s="5">
        <f t="shared" si="13"/>
        <v>45546</v>
      </c>
      <c r="AH160" s="5" t="b">
        <f t="shared" si="14"/>
        <v>1</v>
      </c>
      <c r="AI160" s="5" t="b">
        <f t="shared" si="15"/>
        <v>1</v>
      </c>
      <c r="AJ160" t="str">
        <f t="shared" si="16"/>
        <v>OK</v>
      </c>
      <c r="AK160">
        <f t="shared" si="17"/>
        <v>2</v>
      </c>
    </row>
    <row r="161" spans="1:37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  <c r="V161" s="1" t="s">
        <v>142</v>
      </c>
      <c r="W161" s="1" t="s">
        <v>108</v>
      </c>
      <c r="X161" s="1" t="s">
        <v>27</v>
      </c>
      <c r="Y161" s="1" t="s">
        <v>323</v>
      </c>
      <c r="Z161" s="1" t="s">
        <v>324</v>
      </c>
      <c r="AA161" s="1" t="s">
        <v>45</v>
      </c>
      <c r="AB161" s="1" t="s">
        <v>76</v>
      </c>
      <c r="AC161" s="1" t="s">
        <v>48</v>
      </c>
      <c r="AD161" s="1" t="s">
        <v>137</v>
      </c>
      <c r="AE161" s="1" t="s">
        <v>78</v>
      </c>
      <c r="AF161" s="5">
        <f t="shared" si="12"/>
        <v>45687</v>
      </c>
      <c r="AG161" s="5">
        <f t="shared" si="13"/>
        <v>45749</v>
      </c>
      <c r="AH161" s="5" t="b">
        <f t="shared" si="14"/>
        <v>1</v>
      </c>
      <c r="AI161" s="5" t="b">
        <f t="shared" si="15"/>
        <v>1</v>
      </c>
      <c r="AJ161" t="str">
        <f t="shared" si="16"/>
        <v>OK</v>
      </c>
      <c r="AK161">
        <f t="shared" si="17"/>
        <v>62</v>
      </c>
    </row>
    <row r="162" spans="1:37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  <c r="V162" s="1" t="s">
        <v>83</v>
      </c>
      <c r="W162" s="1" t="s">
        <v>41</v>
      </c>
      <c r="X162" s="1" t="s">
        <v>73</v>
      </c>
      <c r="Y162" s="1" t="s">
        <v>74</v>
      </c>
      <c r="Z162" s="1" t="s">
        <v>75</v>
      </c>
      <c r="AA162" s="1" t="s">
        <v>30</v>
      </c>
      <c r="AB162" s="1" t="s">
        <v>31</v>
      </c>
      <c r="AC162" s="1" t="s">
        <v>33</v>
      </c>
      <c r="AD162" s="1" t="s">
        <v>137</v>
      </c>
      <c r="AE162" s="1" t="s">
        <v>78</v>
      </c>
      <c r="AF162" s="5">
        <f t="shared" si="12"/>
        <v>45879</v>
      </c>
      <c r="AG162" s="5">
        <f t="shared" si="13"/>
        <v>45936</v>
      </c>
      <c r="AH162" s="5" t="b">
        <f t="shared" si="14"/>
        <v>1</v>
      </c>
      <c r="AI162" s="5" t="b">
        <f t="shared" si="15"/>
        <v>1</v>
      </c>
      <c r="AJ162" t="str">
        <f t="shared" si="16"/>
        <v>OK</v>
      </c>
      <c r="AK162">
        <f t="shared" si="17"/>
        <v>57</v>
      </c>
    </row>
    <row r="163" spans="1:37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  <c r="V163" s="1" t="s">
        <v>61</v>
      </c>
      <c r="W163" s="1" t="s">
        <v>26</v>
      </c>
      <c r="X163" s="1" t="s">
        <v>73</v>
      </c>
      <c r="Y163" s="1" t="s">
        <v>28</v>
      </c>
      <c r="Z163" s="1" t="s">
        <v>135</v>
      </c>
      <c r="AA163" s="1" t="s">
        <v>30</v>
      </c>
      <c r="AB163" s="1" t="s">
        <v>198</v>
      </c>
      <c r="AC163" s="1" t="s">
        <v>67</v>
      </c>
      <c r="AD163" s="1" t="s">
        <v>137</v>
      </c>
      <c r="AE163" s="1" t="s">
        <v>78</v>
      </c>
      <c r="AF163" s="5">
        <f t="shared" si="12"/>
        <v>45862</v>
      </c>
      <c r="AG163" s="5" t="e">
        <f t="shared" si="13"/>
        <v>#N/A</v>
      </c>
      <c r="AH163" s="5" t="b">
        <f t="shared" si="14"/>
        <v>1</v>
      </c>
      <c r="AI163" s="5" t="b">
        <f t="shared" si="15"/>
        <v>0</v>
      </c>
      <c r="AJ163" t="e">
        <f t="shared" si="16"/>
        <v>#N/A</v>
      </c>
      <c r="AK163" t="e">
        <f t="shared" si="17"/>
        <v>#N/A</v>
      </c>
    </row>
    <row r="164" spans="1:37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  <c r="V164" s="1" t="s">
        <v>93</v>
      </c>
      <c r="W164" s="1" t="s">
        <v>41</v>
      </c>
      <c r="X164" s="1" t="s">
        <v>73</v>
      </c>
      <c r="Y164" s="1" t="s">
        <v>249</v>
      </c>
      <c r="Z164" s="1" t="s">
        <v>250</v>
      </c>
      <c r="AA164" s="1" t="s">
        <v>45</v>
      </c>
      <c r="AB164" s="1" t="s">
        <v>65</v>
      </c>
      <c r="AC164" s="1" t="s">
        <v>33</v>
      </c>
      <c r="AD164" s="1" t="s">
        <v>137</v>
      </c>
      <c r="AE164" s="1" t="s">
        <v>125</v>
      </c>
      <c r="AF164" s="5">
        <f t="shared" si="12"/>
        <v>45360</v>
      </c>
      <c r="AG164" s="5">
        <f t="shared" si="13"/>
        <v>45365</v>
      </c>
      <c r="AH164" s="5" t="b">
        <f t="shared" si="14"/>
        <v>1</v>
      </c>
      <c r="AI164" s="5" t="b">
        <f t="shared" si="15"/>
        <v>1</v>
      </c>
      <c r="AJ164" t="str">
        <f t="shared" si="16"/>
        <v>OK</v>
      </c>
      <c r="AK164">
        <f t="shared" si="17"/>
        <v>5</v>
      </c>
    </row>
    <row r="165" spans="1:37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  <c r="V165" s="1" t="s">
        <v>180</v>
      </c>
      <c r="W165" s="1" t="s">
        <v>115</v>
      </c>
      <c r="X165" s="1" t="s">
        <v>73</v>
      </c>
      <c r="Y165" s="1" t="s">
        <v>235</v>
      </c>
      <c r="Z165" s="1" t="s">
        <v>236</v>
      </c>
      <c r="AA165" s="1" t="s">
        <v>45</v>
      </c>
      <c r="AB165" s="1" t="s">
        <v>46</v>
      </c>
      <c r="AC165" s="1" t="s">
        <v>4119</v>
      </c>
      <c r="AD165" s="1" t="s">
        <v>137</v>
      </c>
      <c r="AE165" s="1" t="s">
        <v>125</v>
      </c>
      <c r="AF165" s="5">
        <f t="shared" si="12"/>
        <v>45921</v>
      </c>
      <c r="AG165" s="5">
        <f t="shared" si="13"/>
        <v>45926</v>
      </c>
      <c r="AH165" s="5" t="b">
        <f t="shared" si="14"/>
        <v>1</v>
      </c>
      <c r="AI165" s="5" t="b">
        <f t="shared" si="15"/>
        <v>1</v>
      </c>
      <c r="AJ165" t="str">
        <f t="shared" si="16"/>
        <v>OK</v>
      </c>
      <c r="AK165">
        <f t="shared" si="17"/>
        <v>5</v>
      </c>
    </row>
    <row r="166" spans="1:37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  <c r="V166" s="1" t="s">
        <v>148</v>
      </c>
      <c r="W166" s="1" t="s">
        <v>41</v>
      </c>
      <c r="X166" s="1" t="s">
        <v>42</v>
      </c>
      <c r="Y166" s="1" t="s">
        <v>121</v>
      </c>
      <c r="Z166" s="1" t="s">
        <v>122</v>
      </c>
      <c r="AA166" s="1" t="s">
        <v>45</v>
      </c>
      <c r="AB166" s="1" t="s">
        <v>204</v>
      </c>
      <c r="AC166" s="1" t="s">
        <v>33</v>
      </c>
      <c r="AD166" s="1" t="s">
        <v>34</v>
      </c>
      <c r="AE166" s="1" t="s">
        <v>35</v>
      </c>
      <c r="AF166" s="5">
        <f t="shared" si="12"/>
        <v>45909</v>
      </c>
      <c r="AG166" s="5">
        <f t="shared" si="13"/>
        <v>45914</v>
      </c>
      <c r="AH166" s="5" t="b">
        <f t="shared" si="14"/>
        <v>1</v>
      </c>
      <c r="AI166" s="5" t="b">
        <f t="shared" si="15"/>
        <v>1</v>
      </c>
      <c r="AJ166" t="str">
        <f t="shared" si="16"/>
        <v>OK</v>
      </c>
      <c r="AK166">
        <f t="shared" si="17"/>
        <v>5</v>
      </c>
    </row>
    <row r="167" spans="1:37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  <c r="V167" s="1" t="s">
        <v>40</v>
      </c>
      <c r="W167" s="1" t="s">
        <v>115</v>
      </c>
      <c r="X167" s="1" t="s">
        <v>42</v>
      </c>
      <c r="Y167" s="1" t="s">
        <v>186</v>
      </c>
      <c r="Z167" s="1" t="s">
        <v>187</v>
      </c>
      <c r="AA167" s="1" t="s">
        <v>45</v>
      </c>
      <c r="AB167" s="1" t="s">
        <v>76</v>
      </c>
      <c r="AC167" s="1" t="s">
        <v>67</v>
      </c>
      <c r="AD167" s="1" t="s">
        <v>34</v>
      </c>
      <c r="AE167" s="1" t="s">
        <v>35</v>
      </c>
      <c r="AF167" s="5">
        <f t="shared" si="12"/>
        <v>45618</v>
      </c>
      <c r="AG167" s="5" t="e">
        <f t="shared" si="13"/>
        <v>#N/A</v>
      </c>
      <c r="AH167" s="5" t="b">
        <f t="shared" si="14"/>
        <v>1</v>
      </c>
      <c r="AI167" s="5" t="b">
        <f t="shared" si="15"/>
        <v>0</v>
      </c>
      <c r="AJ167" t="e">
        <f t="shared" si="16"/>
        <v>#N/A</v>
      </c>
      <c r="AK167" t="e">
        <f t="shared" si="17"/>
        <v>#N/A</v>
      </c>
    </row>
    <row r="168" spans="1:37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  <c r="V168" s="1" t="s">
        <v>25</v>
      </c>
      <c r="W168" s="1" t="s">
        <v>41</v>
      </c>
      <c r="X168" s="1" t="s">
        <v>73</v>
      </c>
      <c r="Y168" s="1" t="s">
        <v>235</v>
      </c>
      <c r="Z168" s="1" t="s">
        <v>236</v>
      </c>
      <c r="AA168" s="1" t="s">
        <v>30</v>
      </c>
      <c r="AB168" s="1" t="s">
        <v>109</v>
      </c>
      <c r="AC168" s="1" t="s">
        <v>56</v>
      </c>
      <c r="AD168" s="1" t="s">
        <v>34</v>
      </c>
      <c r="AE168" s="1" t="s">
        <v>35</v>
      </c>
      <c r="AF168" s="5" t="e">
        <f t="shared" si="12"/>
        <v>#N/A</v>
      </c>
      <c r="AG168" s="5" t="e">
        <f t="shared" si="13"/>
        <v>#N/A</v>
      </c>
      <c r="AH168" s="5" t="b">
        <f t="shared" si="14"/>
        <v>0</v>
      </c>
      <c r="AI168" s="5" t="b">
        <f t="shared" si="15"/>
        <v>0</v>
      </c>
      <c r="AJ168" t="e">
        <f t="shared" si="16"/>
        <v>#N/A</v>
      </c>
      <c r="AK168" t="e">
        <f t="shared" si="17"/>
        <v>#N/A</v>
      </c>
    </row>
    <row r="169" spans="1:37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  <c r="V169" s="1" t="s">
        <v>61</v>
      </c>
      <c r="W169" s="1" t="s">
        <v>115</v>
      </c>
      <c r="X169" s="1" t="s">
        <v>62</v>
      </c>
      <c r="Y169" s="1" t="s">
        <v>229</v>
      </c>
      <c r="Z169" s="1" t="s">
        <v>230</v>
      </c>
      <c r="AA169" s="1" t="s">
        <v>30</v>
      </c>
      <c r="AB169" s="1" t="s">
        <v>156</v>
      </c>
      <c r="AC169" s="1" t="s">
        <v>56</v>
      </c>
      <c r="AD169" s="1" t="s">
        <v>34</v>
      </c>
      <c r="AE169" s="1" t="s">
        <v>125</v>
      </c>
      <c r="AF169" s="5">
        <f t="shared" si="12"/>
        <v>45887</v>
      </c>
      <c r="AG169" s="5">
        <f t="shared" si="13"/>
        <v>45887</v>
      </c>
      <c r="AH169" s="5" t="b">
        <f t="shared" si="14"/>
        <v>1</v>
      </c>
      <c r="AI169" s="5" t="b">
        <f t="shared" si="15"/>
        <v>1</v>
      </c>
      <c r="AJ169" t="str">
        <f t="shared" si="16"/>
        <v>OK</v>
      </c>
      <c r="AK169">
        <f t="shared" si="17"/>
        <v>0</v>
      </c>
    </row>
    <row r="170" spans="1:37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  <c r="V170" s="1" t="s">
        <v>366</v>
      </c>
      <c r="W170" s="1" t="s">
        <v>26</v>
      </c>
      <c r="X170" s="1" t="s">
        <v>73</v>
      </c>
      <c r="Y170" s="1" t="s">
        <v>74</v>
      </c>
      <c r="Z170" s="1" t="s">
        <v>75</v>
      </c>
      <c r="AA170" s="1" t="s">
        <v>86</v>
      </c>
      <c r="AB170" s="1" t="s">
        <v>87</v>
      </c>
      <c r="AC170" s="1" t="s">
        <v>48</v>
      </c>
      <c r="AD170" s="1" t="s">
        <v>34</v>
      </c>
      <c r="AE170" s="1" t="s">
        <v>78</v>
      </c>
      <c r="AF170" s="5">
        <f t="shared" si="12"/>
        <v>45677</v>
      </c>
      <c r="AG170" s="5">
        <f t="shared" si="13"/>
        <v>45680</v>
      </c>
      <c r="AH170" s="5" t="b">
        <f t="shared" si="14"/>
        <v>1</v>
      </c>
      <c r="AI170" s="5" t="b">
        <f t="shared" si="15"/>
        <v>1</v>
      </c>
      <c r="AJ170" t="str">
        <f t="shared" si="16"/>
        <v>OK</v>
      </c>
      <c r="AK170">
        <f t="shared" si="17"/>
        <v>3</v>
      </c>
    </row>
    <row r="171" spans="1:37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  <c r="V171" s="1" t="s">
        <v>210</v>
      </c>
      <c r="W171" s="1" t="s">
        <v>26</v>
      </c>
      <c r="X171" s="1" t="s">
        <v>42</v>
      </c>
      <c r="Y171" s="1" t="s">
        <v>216</v>
      </c>
      <c r="Z171" s="1" t="s">
        <v>217</v>
      </c>
      <c r="AA171" s="1" t="s">
        <v>30</v>
      </c>
      <c r="AB171" s="1" t="s">
        <v>54</v>
      </c>
      <c r="AC171" s="1" t="s">
        <v>67</v>
      </c>
      <c r="AD171" s="1" t="s">
        <v>137</v>
      </c>
      <c r="AE171" s="1" t="s">
        <v>125</v>
      </c>
      <c r="AF171" s="5">
        <f t="shared" si="12"/>
        <v>45913</v>
      </c>
      <c r="AG171" s="5">
        <f t="shared" si="13"/>
        <v>45913</v>
      </c>
      <c r="AH171" s="5" t="b">
        <f t="shared" si="14"/>
        <v>1</v>
      </c>
      <c r="AI171" s="5" t="b">
        <f t="shared" si="15"/>
        <v>1</v>
      </c>
      <c r="AJ171" t="str">
        <f t="shared" si="16"/>
        <v>OK</v>
      </c>
      <c r="AK171">
        <f t="shared" si="17"/>
        <v>0</v>
      </c>
    </row>
    <row r="172" spans="1:37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  <c r="V172" s="1" t="s">
        <v>180</v>
      </c>
      <c r="W172" s="1" t="s">
        <v>108</v>
      </c>
      <c r="X172" s="1" t="s">
        <v>42</v>
      </c>
      <c r="Y172" s="1" t="s">
        <v>186</v>
      </c>
      <c r="Z172" s="1" t="s">
        <v>187</v>
      </c>
      <c r="AA172" s="1" t="s">
        <v>86</v>
      </c>
      <c r="AB172" s="1" t="s">
        <v>94</v>
      </c>
      <c r="AC172" s="1" t="s">
        <v>67</v>
      </c>
      <c r="AD172" s="1" t="s">
        <v>34</v>
      </c>
      <c r="AE172" s="1" t="s">
        <v>35</v>
      </c>
      <c r="AF172" s="5">
        <f t="shared" si="12"/>
        <v>45847</v>
      </c>
      <c r="AG172" s="5">
        <f t="shared" si="13"/>
        <v>45915</v>
      </c>
      <c r="AH172" s="5" t="b">
        <f t="shared" si="14"/>
        <v>1</v>
      </c>
      <c r="AI172" s="5" t="b">
        <f t="shared" si="15"/>
        <v>1</v>
      </c>
      <c r="AJ172" t="str">
        <f t="shared" si="16"/>
        <v>OK</v>
      </c>
      <c r="AK172">
        <f t="shared" si="17"/>
        <v>68</v>
      </c>
    </row>
    <row r="173" spans="1:37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  <c r="V173" s="1" t="s">
        <v>25</v>
      </c>
      <c r="W173" s="1" t="s">
        <v>108</v>
      </c>
      <c r="X173" s="1" t="s">
        <v>42</v>
      </c>
      <c r="Y173" s="1" t="s">
        <v>186</v>
      </c>
      <c r="Z173" s="1" t="s">
        <v>187</v>
      </c>
      <c r="AA173" s="1" t="s">
        <v>30</v>
      </c>
      <c r="AB173" s="1" t="s">
        <v>109</v>
      </c>
      <c r="AC173" s="1" t="s">
        <v>48</v>
      </c>
      <c r="AD173" s="1" t="s">
        <v>34</v>
      </c>
      <c r="AE173" s="1" t="s">
        <v>35</v>
      </c>
      <c r="AF173" s="5">
        <f t="shared" si="12"/>
        <v>45711</v>
      </c>
      <c r="AG173" s="5">
        <f t="shared" si="13"/>
        <v>45713</v>
      </c>
      <c r="AH173" s="5" t="b">
        <f t="shared" si="14"/>
        <v>1</v>
      </c>
      <c r="AI173" s="5" t="b">
        <f t="shared" si="15"/>
        <v>1</v>
      </c>
      <c r="AJ173" t="str">
        <f t="shared" si="16"/>
        <v>OK</v>
      </c>
      <c r="AK173">
        <f t="shared" si="17"/>
        <v>2</v>
      </c>
    </row>
    <row r="174" spans="1:37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  <c r="V174" s="1" t="s">
        <v>25</v>
      </c>
      <c r="W174" s="1" t="s">
        <v>108</v>
      </c>
      <c r="X174" s="1" t="s">
        <v>27</v>
      </c>
      <c r="Y174" s="1" t="s">
        <v>506</v>
      </c>
      <c r="Z174" s="1" t="s">
        <v>507</v>
      </c>
      <c r="AA174" s="1" t="s">
        <v>45</v>
      </c>
      <c r="AB174" s="1" t="s">
        <v>65</v>
      </c>
      <c r="AC174" s="1" t="s">
        <v>48</v>
      </c>
      <c r="AD174" s="1" t="s">
        <v>124</v>
      </c>
      <c r="AE174" s="1" t="s">
        <v>125</v>
      </c>
      <c r="AF174" s="5">
        <f t="shared" si="12"/>
        <v>45696</v>
      </c>
      <c r="AG174" s="5">
        <f t="shared" si="13"/>
        <v>45938</v>
      </c>
      <c r="AH174" s="5" t="b">
        <f t="shared" si="14"/>
        <v>1</v>
      </c>
      <c r="AI174" s="5" t="b">
        <f t="shared" si="15"/>
        <v>1</v>
      </c>
      <c r="AJ174" t="str">
        <f t="shared" si="16"/>
        <v>OK</v>
      </c>
      <c r="AK174">
        <f t="shared" si="17"/>
        <v>242</v>
      </c>
    </row>
    <row r="175" spans="1:37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  <c r="V175" s="1" t="s">
        <v>142</v>
      </c>
      <c r="W175" s="1" t="s">
        <v>115</v>
      </c>
      <c r="X175" s="1" t="s">
        <v>27</v>
      </c>
      <c r="Y175" s="1" t="s">
        <v>154</v>
      </c>
      <c r="Z175" s="1" t="s">
        <v>155</v>
      </c>
      <c r="AA175" s="1" t="s">
        <v>86</v>
      </c>
      <c r="AB175" s="1" t="s">
        <v>94</v>
      </c>
      <c r="AC175" s="1" t="s">
        <v>33</v>
      </c>
      <c r="AD175" s="1" t="s">
        <v>34</v>
      </c>
      <c r="AE175" s="1" t="s">
        <v>35</v>
      </c>
      <c r="AF175" s="5">
        <f t="shared" si="12"/>
        <v>45327</v>
      </c>
      <c r="AG175" s="5">
        <f t="shared" si="13"/>
        <v>45420</v>
      </c>
      <c r="AH175" s="5" t="b">
        <f t="shared" si="14"/>
        <v>1</v>
      </c>
      <c r="AI175" s="5" t="b">
        <f t="shared" si="15"/>
        <v>1</v>
      </c>
      <c r="AJ175" t="str">
        <f t="shared" si="16"/>
        <v>OK</v>
      </c>
      <c r="AK175">
        <f t="shared" si="17"/>
        <v>93</v>
      </c>
    </row>
    <row r="176" spans="1:37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  <c r="V176" s="1" t="s">
        <v>25</v>
      </c>
      <c r="W176" s="1" t="s">
        <v>41</v>
      </c>
      <c r="X176" s="1" t="s">
        <v>62</v>
      </c>
      <c r="Y176" s="1" t="s">
        <v>229</v>
      </c>
      <c r="Z176" s="1" t="s">
        <v>230</v>
      </c>
      <c r="AA176" s="1" t="s">
        <v>45</v>
      </c>
      <c r="AB176" s="1" t="s">
        <v>204</v>
      </c>
      <c r="AC176" s="1" t="s">
        <v>56</v>
      </c>
      <c r="AD176" s="1" t="s">
        <v>137</v>
      </c>
      <c r="AE176" s="1" t="s">
        <v>125</v>
      </c>
      <c r="AF176" s="5">
        <f t="shared" si="12"/>
        <v>45928</v>
      </c>
      <c r="AG176" s="5">
        <f t="shared" si="13"/>
        <v>45757</v>
      </c>
      <c r="AH176" s="5" t="b">
        <f t="shared" si="14"/>
        <v>1</v>
      </c>
      <c r="AI176" s="5" t="b">
        <f t="shared" si="15"/>
        <v>1</v>
      </c>
      <c r="AJ176" t="str">
        <f t="shared" si="16"/>
        <v>Invalid: Ship before Order</v>
      </c>
      <c r="AK176" t="e">
        <f t="shared" si="17"/>
        <v>#NUM!</v>
      </c>
    </row>
    <row r="177" spans="1:37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  <c r="V177" s="1" t="s">
        <v>61</v>
      </c>
      <c r="W177" s="1" t="s">
        <v>41</v>
      </c>
      <c r="X177" s="1" t="s">
        <v>42</v>
      </c>
      <c r="Y177" s="1" t="s">
        <v>186</v>
      </c>
      <c r="Z177" s="1" t="s">
        <v>187</v>
      </c>
      <c r="AA177" s="1" t="s">
        <v>86</v>
      </c>
      <c r="AB177" s="1" t="s">
        <v>382</v>
      </c>
      <c r="AC177" s="1" t="s">
        <v>48</v>
      </c>
      <c r="AD177" s="1" t="s">
        <v>34</v>
      </c>
      <c r="AE177" s="1" t="s">
        <v>125</v>
      </c>
      <c r="AF177" s="5">
        <f t="shared" si="12"/>
        <v>45318</v>
      </c>
      <c r="AG177" s="5">
        <f t="shared" si="13"/>
        <v>45325</v>
      </c>
      <c r="AH177" s="5" t="b">
        <f t="shared" si="14"/>
        <v>1</v>
      </c>
      <c r="AI177" s="5" t="b">
        <f t="shared" si="15"/>
        <v>1</v>
      </c>
      <c r="AJ177" t="str">
        <f t="shared" si="16"/>
        <v>OK</v>
      </c>
      <c r="AK177">
        <f t="shared" si="17"/>
        <v>7</v>
      </c>
    </row>
    <row r="178" spans="1:37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  <c r="V178" s="1" t="s">
        <v>83</v>
      </c>
      <c r="W178" s="1" t="s">
        <v>108</v>
      </c>
      <c r="X178" s="1" t="s">
        <v>42</v>
      </c>
      <c r="Y178" s="1" t="s">
        <v>311</v>
      </c>
      <c r="Z178" s="1" t="s">
        <v>312</v>
      </c>
      <c r="AA178" s="1" t="s">
        <v>45</v>
      </c>
      <c r="AB178" s="1" t="s">
        <v>204</v>
      </c>
      <c r="AC178" s="1" t="s">
        <v>67</v>
      </c>
      <c r="AD178" s="1" t="s">
        <v>34</v>
      </c>
      <c r="AE178" s="1" t="s">
        <v>35</v>
      </c>
      <c r="AF178" s="5" t="e">
        <f t="shared" si="12"/>
        <v>#N/A</v>
      </c>
      <c r="AG178" s="5">
        <f t="shared" si="13"/>
        <v>45742</v>
      </c>
      <c r="AH178" s="5" t="b">
        <f t="shared" si="14"/>
        <v>0</v>
      </c>
      <c r="AI178" s="5" t="b">
        <f t="shared" si="15"/>
        <v>1</v>
      </c>
      <c r="AJ178" t="e">
        <f t="shared" si="16"/>
        <v>#N/A</v>
      </c>
      <c r="AK178" t="e">
        <f t="shared" si="17"/>
        <v>#N/A</v>
      </c>
    </row>
    <row r="179" spans="1:37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  <c r="V179" s="1" t="s">
        <v>168</v>
      </c>
      <c r="W179" s="1" t="s">
        <v>115</v>
      </c>
      <c r="X179" s="1" t="s">
        <v>4119</v>
      </c>
      <c r="Y179" s="1" t="s">
        <v>186</v>
      </c>
      <c r="Z179" s="1" t="s">
        <v>187</v>
      </c>
      <c r="AA179" s="1" t="s">
        <v>30</v>
      </c>
      <c r="AB179" s="1" t="s">
        <v>54</v>
      </c>
      <c r="AC179" s="1" t="s">
        <v>48</v>
      </c>
      <c r="AD179" s="1" t="s">
        <v>34</v>
      </c>
      <c r="AE179" s="1" t="s">
        <v>35</v>
      </c>
      <c r="AF179" s="5">
        <f t="shared" si="12"/>
        <v>45297</v>
      </c>
      <c r="AG179" s="5">
        <f t="shared" si="13"/>
        <v>45446</v>
      </c>
      <c r="AH179" s="5" t="b">
        <f t="shared" si="14"/>
        <v>1</v>
      </c>
      <c r="AI179" s="5" t="b">
        <f t="shared" si="15"/>
        <v>1</v>
      </c>
      <c r="AJ179" t="str">
        <f t="shared" si="16"/>
        <v>OK</v>
      </c>
      <c r="AK179">
        <f t="shared" si="17"/>
        <v>149</v>
      </c>
    </row>
    <row r="180" spans="1:37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  <c r="V180" s="1" t="s">
        <v>53</v>
      </c>
      <c r="W180" s="1" t="s">
        <v>108</v>
      </c>
      <c r="X180" s="1" t="s">
        <v>62</v>
      </c>
      <c r="Y180" s="1" t="s">
        <v>63</v>
      </c>
      <c r="Z180" s="1" t="s">
        <v>64</v>
      </c>
      <c r="AA180" s="1" t="s">
        <v>30</v>
      </c>
      <c r="AB180" s="1" t="s">
        <v>54</v>
      </c>
      <c r="AC180" s="1" t="s">
        <v>67</v>
      </c>
      <c r="AD180" s="1" t="s">
        <v>34</v>
      </c>
      <c r="AE180" s="1" t="s">
        <v>35</v>
      </c>
      <c r="AF180" s="5" t="e">
        <f t="shared" si="12"/>
        <v>#N/A</v>
      </c>
      <c r="AG180" s="5">
        <f t="shared" si="13"/>
        <v>45565</v>
      </c>
      <c r="AH180" s="5" t="b">
        <f t="shared" si="14"/>
        <v>0</v>
      </c>
      <c r="AI180" s="5" t="b">
        <f t="shared" si="15"/>
        <v>1</v>
      </c>
      <c r="AJ180" t="e">
        <f t="shared" si="16"/>
        <v>#N/A</v>
      </c>
      <c r="AK180" t="e">
        <f t="shared" si="17"/>
        <v>#N/A</v>
      </c>
    </row>
    <row r="181" spans="1:37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  <c r="V181" s="1" t="s">
        <v>72</v>
      </c>
      <c r="W181" s="1" t="s">
        <v>41</v>
      </c>
      <c r="X181" s="1" t="s">
        <v>62</v>
      </c>
      <c r="Y181" s="1" t="s">
        <v>339</v>
      </c>
      <c r="Z181" s="1" t="s">
        <v>340</v>
      </c>
      <c r="AA181" s="1" t="s">
        <v>45</v>
      </c>
      <c r="AB181" s="1" t="s">
        <v>65</v>
      </c>
      <c r="AC181" s="1" t="s">
        <v>67</v>
      </c>
      <c r="AD181" s="1" t="s">
        <v>124</v>
      </c>
      <c r="AE181" s="1" t="s">
        <v>125</v>
      </c>
      <c r="AF181" s="5">
        <f t="shared" si="12"/>
        <v>45366</v>
      </c>
      <c r="AG181" s="5">
        <f t="shared" si="13"/>
        <v>45370</v>
      </c>
      <c r="AH181" s="5" t="b">
        <f t="shared" si="14"/>
        <v>1</v>
      </c>
      <c r="AI181" s="5" t="b">
        <f t="shared" si="15"/>
        <v>1</v>
      </c>
      <c r="AJ181" t="str">
        <f t="shared" si="16"/>
        <v>OK</v>
      </c>
      <c r="AK181">
        <f t="shared" si="17"/>
        <v>4</v>
      </c>
    </row>
    <row r="182" spans="1:37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  <c r="V182" s="1" t="s">
        <v>40</v>
      </c>
      <c r="W182" s="1" t="s">
        <v>115</v>
      </c>
      <c r="X182" s="1" t="s">
        <v>27</v>
      </c>
      <c r="Y182" s="1" t="s">
        <v>174</v>
      </c>
      <c r="Z182" s="1" t="s">
        <v>175</v>
      </c>
      <c r="AA182" s="1" t="s">
        <v>30</v>
      </c>
      <c r="AB182" s="1" t="s">
        <v>198</v>
      </c>
      <c r="AC182" s="1" t="s">
        <v>56</v>
      </c>
      <c r="AD182" s="1" t="s">
        <v>34</v>
      </c>
      <c r="AE182" s="1" t="s">
        <v>35</v>
      </c>
      <c r="AF182" s="5">
        <f t="shared" si="12"/>
        <v>45530</v>
      </c>
      <c r="AG182" s="5" t="e">
        <f t="shared" si="13"/>
        <v>#N/A</v>
      </c>
      <c r="AH182" s="5" t="b">
        <f t="shared" si="14"/>
        <v>1</v>
      </c>
      <c r="AI182" s="5" t="b">
        <f t="shared" si="15"/>
        <v>0</v>
      </c>
      <c r="AJ182" t="e">
        <f t="shared" si="16"/>
        <v>#N/A</v>
      </c>
      <c r="AK182" t="e">
        <f t="shared" si="17"/>
        <v>#N/A</v>
      </c>
    </row>
    <row r="183" spans="1:37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  <c r="V183" s="1" t="s">
        <v>142</v>
      </c>
      <c r="W183" s="1" t="s">
        <v>115</v>
      </c>
      <c r="X183" s="1" t="s">
        <v>62</v>
      </c>
      <c r="Y183" s="1" t="s">
        <v>339</v>
      </c>
      <c r="Z183" s="1" t="s">
        <v>340</v>
      </c>
      <c r="AA183" s="1" t="s">
        <v>30</v>
      </c>
      <c r="AB183" s="1" t="s">
        <v>54</v>
      </c>
      <c r="AC183" s="1" t="s">
        <v>33</v>
      </c>
      <c r="AD183" s="1" t="s">
        <v>34</v>
      </c>
      <c r="AE183" s="1" t="s">
        <v>35</v>
      </c>
      <c r="AF183" s="5">
        <f t="shared" si="12"/>
        <v>45909</v>
      </c>
      <c r="AG183" s="5">
        <f t="shared" si="13"/>
        <v>45939</v>
      </c>
      <c r="AH183" s="5" t="b">
        <f t="shared" si="14"/>
        <v>1</v>
      </c>
      <c r="AI183" s="5" t="b">
        <f t="shared" si="15"/>
        <v>1</v>
      </c>
      <c r="AJ183" t="str">
        <f t="shared" si="16"/>
        <v>OK</v>
      </c>
      <c r="AK183">
        <f t="shared" si="17"/>
        <v>30</v>
      </c>
    </row>
    <row r="184" spans="1:37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  <c r="V184" s="1" t="s">
        <v>72</v>
      </c>
      <c r="W184" s="1" t="s">
        <v>115</v>
      </c>
      <c r="X184" s="1" t="s">
        <v>42</v>
      </c>
      <c r="Y184" s="1" t="s">
        <v>186</v>
      </c>
      <c r="Z184" s="1" t="s">
        <v>187</v>
      </c>
      <c r="AA184" s="1" t="s">
        <v>86</v>
      </c>
      <c r="AB184" s="1" t="s">
        <v>382</v>
      </c>
      <c r="AC184" s="1" t="s">
        <v>67</v>
      </c>
      <c r="AD184" s="1" t="s">
        <v>34</v>
      </c>
      <c r="AE184" s="1" t="s">
        <v>35</v>
      </c>
      <c r="AF184" s="5">
        <f t="shared" si="12"/>
        <v>45581</v>
      </c>
      <c r="AG184" s="5">
        <f t="shared" si="13"/>
        <v>45581</v>
      </c>
      <c r="AH184" s="5" t="b">
        <f t="shared" si="14"/>
        <v>1</v>
      </c>
      <c r="AI184" s="5" t="b">
        <f t="shared" si="15"/>
        <v>1</v>
      </c>
      <c r="AJ184" t="str">
        <f t="shared" si="16"/>
        <v>OK</v>
      </c>
      <c r="AK184">
        <f t="shared" si="17"/>
        <v>0</v>
      </c>
    </row>
    <row r="185" spans="1:37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  <c r="V185" s="1" t="s">
        <v>83</v>
      </c>
      <c r="W185" s="1" t="s">
        <v>115</v>
      </c>
      <c r="X185" s="1" t="s">
        <v>62</v>
      </c>
      <c r="Y185" s="1" t="s">
        <v>63</v>
      </c>
      <c r="Z185" s="1" t="s">
        <v>64</v>
      </c>
      <c r="AA185" s="1" t="s">
        <v>86</v>
      </c>
      <c r="AB185" s="1" t="s">
        <v>94</v>
      </c>
      <c r="AC185" s="1" t="s">
        <v>67</v>
      </c>
      <c r="AD185" s="1" t="s">
        <v>34</v>
      </c>
      <c r="AE185" s="1" t="s">
        <v>125</v>
      </c>
      <c r="AF185" s="5">
        <f t="shared" si="12"/>
        <v>45832</v>
      </c>
      <c r="AG185" s="5" t="e">
        <f t="shared" si="13"/>
        <v>#N/A</v>
      </c>
      <c r="AH185" s="5" t="b">
        <f t="shared" si="14"/>
        <v>1</v>
      </c>
      <c r="AI185" s="5" t="b">
        <f t="shared" si="15"/>
        <v>0</v>
      </c>
      <c r="AJ185" t="e">
        <f t="shared" si="16"/>
        <v>#N/A</v>
      </c>
      <c r="AK185" t="e">
        <f t="shared" si="17"/>
        <v>#N/A</v>
      </c>
    </row>
    <row r="186" spans="1:37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  <c r="V186" s="1" t="s">
        <v>83</v>
      </c>
      <c r="W186" s="1" t="s">
        <v>108</v>
      </c>
      <c r="X186" s="1" t="s">
        <v>73</v>
      </c>
      <c r="Y186" s="1" t="s">
        <v>84</v>
      </c>
      <c r="Z186" s="1" t="s">
        <v>85</v>
      </c>
      <c r="AA186" s="1" t="s">
        <v>45</v>
      </c>
      <c r="AB186" s="1" t="s">
        <v>204</v>
      </c>
      <c r="AC186" s="1" t="s">
        <v>67</v>
      </c>
      <c r="AD186" s="1" t="s">
        <v>124</v>
      </c>
      <c r="AE186" s="1" t="s">
        <v>125</v>
      </c>
      <c r="AF186" s="5">
        <f t="shared" si="12"/>
        <v>45384</v>
      </c>
      <c r="AG186" s="5">
        <f t="shared" si="13"/>
        <v>45388</v>
      </c>
      <c r="AH186" s="5" t="b">
        <f t="shared" si="14"/>
        <v>1</v>
      </c>
      <c r="AI186" s="5" t="b">
        <f t="shared" si="15"/>
        <v>1</v>
      </c>
      <c r="AJ186" t="str">
        <f t="shared" si="16"/>
        <v>OK</v>
      </c>
      <c r="AK186">
        <f t="shared" si="17"/>
        <v>4</v>
      </c>
    </row>
    <row r="187" spans="1:37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  <c r="V187" s="1" t="s">
        <v>61</v>
      </c>
      <c r="W187" s="1" t="s">
        <v>26</v>
      </c>
      <c r="X187" s="1" t="s">
        <v>4119</v>
      </c>
      <c r="Y187" s="1" t="s">
        <v>154</v>
      </c>
      <c r="Z187" s="1" t="s">
        <v>155</v>
      </c>
      <c r="AA187" s="1" t="s">
        <v>30</v>
      </c>
      <c r="AB187" s="1" t="s">
        <v>109</v>
      </c>
      <c r="AC187" s="1" t="s">
        <v>33</v>
      </c>
      <c r="AD187" s="1" t="s">
        <v>34</v>
      </c>
      <c r="AE187" s="1" t="s">
        <v>35</v>
      </c>
      <c r="AF187" s="5">
        <f t="shared" si="12"/>
        <v>45601</v>
      </c>
      <c r="AG187" s="5">
        <f t="shared" si="13"/>
        <v>45609</v>
      </c>
      <c r="AH187" s="5" t="b">
        <f t="shared" si="14"/>
        <v>1</v>
      </c>
      <c r="AI187" s="5" t="b">
        <f t="shared" si="15"/>
        <v>1</v>
      </c>
      <c r="AJ187" t="str">
        <f t="shared" si="16"/>
        <v>OK</v>
      </c>
      <c r="AK187">
        <f t="shared" si="17"/>
        <v>8</v>
      </c>
    </row>
    <row r="188" spans="1:37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  <c r="V188" s="1" t="s">
        <v>83</v>
      </c>
      <c r="W188" s="1" t="s">
        <v>26</v>
      </c>
      <c r="X188" s="1" t="s">
        <v>62</v>
      </c>
      <c r="Y188" s="1" t="s">
        <v>339</v>
      </c>
      <c r="Z188" s="1" t="s">
        <v>340</v>
      </c>
      <c r="AA188" s="1" t="s">
        <v>45</v>
      </c>
      <c r="AB188" s="1" t="s">
        <v>46</v>
      </c>
      <c r="AC188" s="1" t="s">
        <v>56</v>
      </c>
      <c r="AD188" s="1" t="s">
        <v>34</v>
      </c>
      <c r="AE188" s="1" t="s">
        <v>35</v>
      </c>
      <c r="AF188" s="5" t="e">
        <f t="shared" si="12"/>
        <v>#N/A</v>
      </c>
      <c r="AG188" s="5">
        <f t="shared" si="13"/>
        <v>45493</v>
      </c>
      <c r="AH188" s="5" t="b">
        <f t="shared" si="14"/>
        <v>0</v>
      </c>
      <c r="AI188" s="5" t="b">
        <f t="shared" si="15"/>
        <v>1</v>
      </c>
      <c r="AJ188" t="e">
        <f t="shared" si="16"/>
        <v>#N/A</v>
      </c>
      <c r="AK188" t="e">
        <f t="shared" si="17"/>
        <v>#N/A</v>
      </c>
    </row>
    <row r="189" spans="1:37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  <c r="V189" s="1" t="s">
        <v>40</v>
      </c>
      <c r="W189" s="1" t="s">
        <v>26</v>
      </c>
      <c r="X189" s="1" t="s">
        <v>73</v>
      </c>
      <c r="Y189" s="1" t="s">
        <v>84</v>
      </c>
      <c r="Z189" s="1" t="s">
        <v>85</v>
      </c>
      <c r="AA189" s="1" t="s">
        <v>45</v>
      </c>
      <c r="AB189" s="1" t="s">
        <v>76</v>
      </c>
      <c r="AC189" s="1" t="s">
        <v>48</v>
      </c>
      <c r="AD189" s="1" t="s">
        <v>34</v>
      </c>
      <c r="AE189" s="1" t="s">
        <v>125</v>
      </c>
      <c r="AF189" s="5">
        <f t="shared" si="12"/>
        <v>45778</v>
      </c>
      <c r="AG189" s="5">
        <f t="shared" si="13"/>
        <v>45779</v>
      </c>
      <c r="AH189" s="5" t="b">
        <f t="shared" si="14"/>
        <v>1</v>
      </c>
      <c r="AI189" s="5" t="b">
        <f t="shared" si="15"/>
        <v>1</v>
      </c>
      <c r="AJ189" t="str">
        <f t="shared" si="16"/>
        <v>OK</v>
      </c>
      <c r="AK189">
        <f t="shared" si="17"/>
        <v>1</v>
      </c>
    </row>
    <row r="190" spans="1:37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  <c r="V190" s="1" t="s">
        <v>142</v>
      </c>
      <c r="W190" s="1" t="s">
        <v>108</v>
      </c>
      <c r="X190" s="1" t="s">
        <v>42</v>
      </c>
      <c r="Y190" s="1" t="s">
        <v>121</v>
      </c>
      <c r="Z190" s="1" t="s">
        <v>122</v>
      </c>
      <c r="AA190" s="1" t="s">
        <v>45</v>
      </c>
      <c r="AB190" s="1" t="s">
        <v>204</v>
      </c>
      <c r="AC190" s="1" t="s">
        <v>48</v>
      </c>
      <c r="AD190" s="1" t="s">
        <v>34</v>
      </c>
      <c r="AE190" s="1" t="s">
        <v>35</v>
      </c>
      <c r="AF190" s="5">
        <f t="shared" si="12"/>
        <v>45798</v>
      </c>
      <c r="AG190" s="5">
        <f t="shared" si="13"/>
        <v>45805</v>
      </c>
      <c r="AH190" s="5" t="b">
        <f t="shared" si="14"/>
        <v>1</v>
      </c>
      <c r="AI190" s="5" t="b">
        <f t="shared" si="15"/>
        <v>1</v>
      </c>
      <c r="AJ190" t="str">
        <f t="shared" si="16"/>
        <v>OK</v>
      </c>
      <c r="AK190">
        <f t="shared" si="17"/>
        <v>7</v>
      </c>
    </row>
    <row r="191" spans="1:37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  <c r="V191" s="1" t="s">
        <v>61</v>
      </c>
      <c r="W191" s="1" t="s">
        <v>26</v>
      </c>
      <c r="X191" s="1" t="s">
        <v>73</v>
      </c>
      <c r="Y191" s="1" t="s">
        <v>28</v>
      </c>
      <c r="Z191" s="1" t="s">
        <v>135</v>
      </c>
      <c r="AA191" s="1" t="s">
        <v>45</v>
      </c>
      <c r="AB191" s="1" t="s">
        <v>204</v>
      </c>
      <c r="AC191" s="1" t="s">
        <v>56</v>
      </c>
      <c r="AD191" s="1" t="s">
        <v>34</v>
      </c>
      <c r="AE191" s="1" t="s">
        <v>35</v>
      </c>
      <c r="AF191" s="5">
        <f t="shared" si="12"/>
        <v>45783</v>
      </c>
      <c r="AG191" s="5">
        <f t="shared" si="13"/>
        <v>45784</v>
      </c>
      <c r="AH191" s="5" t="b">
        <f t="shared" si="14"/>
        <v>1</v>
      </c>
      <c r="AI191" s="5" t="b">
        <f t="shared" si="15"/>
        <v>1</v>
      </c>
      <c r="AJ191" t="str">
        <f t="shared" si="16"/>
        <v>OK</v>
      </c>
      <c r="AK191">
        <f t="shared" si="17"/>
        <v>1</v>
      </c>
    </row>
    <row r="192" spans="1:37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  <c r="V192" s="1" t="s">
        <v>107</v>
      </c>
      <c r="W192" s="1" t="s">
        <v>26</v>
      </c>
      <c r="X192" s="1" t="s">
        <v>62</v>
      </c>
      <c r="Y192" s="1" t="s">
        <v>339</v>
      </c>
      <c r="Z192" s="1" t="s">
        <v>340</v>
      </c>
      <c r="AA192" s="1" t="s">
        <v>30</v>
      </c>
      <c r="AB192" s="1" t="s">
        <v>156</v>
      </c>
      <c r="AC192" s="1" t="s">
        <v>56</v>
      </c>
      <c r="AD192" s="1" t="s">
        <v>34</v>
      </c>
      <c r="AE192" s="1" t="s">
        <v>35</v>
      </c>
      <c r="AF192" s="5" t="e">
        <f t="shared" si="12"/>
        <v>#N/A</v>
      </c>
      <c r="AG192" s="5">
        <f t="shared" si="13"/>
        <v>45768</v>
      </c>
      <c r="AH192" s="5" t="b">
        <f t="shared" si="14"/>
        <v>0</v>
      </c>
      <c r="AI192" s="5" t="b">
        <f t="shared" si="15"/>
        <v>1</v>
      </c>
      <c r="AJ192" t="e">
        <f t="shared" si="16"/>
        <v>#N/A</v>
      </c>
      <c r="AK192" t="e">
        <f t="shared" si="17"/>
        <v>#N/A</v>
      </c>
    </row>
    <row r="193" spans="1:37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  <c r="V193" s="1" t="s">
        <v>168</v>
      </c>
      <c r="W193" s="1" t="s">
        <v>41</v>
      </c>
      <c r="X193" s="1" t="s">
        <v>62</v>
      </c>
      <c r="Y193" s="1" t="s">
        <v>339</v>
      </c>
      <c r="Z193" s="1" t="s">
        <v>340</v>
      </c>
      <c r="AA193" s="1" t="s">
        <v>45</v>
      </c>
      <c r="AB193" s="1" t="s">
        <v>204</v>
      </c>
      <c r="AC193" s="1" t="s">
        <v>33</v>
      </c>
      <c r="AD193" s="1" t="s">
        <v>34</v>
      </c>
      <c r="AE193" s="1" t="s">
        <v>35</v>
      </c>
      <c r="AF193" s="5" t="e">
        <f t="shared" si="12"/>
        <v>#N/A</v>
      </c>
      <c r="AG193" s="5">
        <f t="shared" si="13"/>
        <v>45589</v>
      </c>
      <c r="AH193" s="5" t="b">
        <f t="shared" si="14"/>
        <v>0</v>
      </c>
      <c r="AI193" s="5" t="b">
        <f t="shared" si="15"/>
        <v>1</v>
      </c>
      <c r="AJ193" t="e">
        <f t="shared" si="16"/>
        <v>#N/A</v>
      </c>
      <c r="AK193" t="e">
        <f t="shared" si="17"/>
        <v>#N/A</v>
      </c>
    </row>
    <row r="194" spans="1:37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  <c r="V194" s="1" t="s">
        <v>53</v>
      </c>
      <c r="W194" s="1" t="s">
        <v>115</v>
      </c>
      <c r="X194" s="1" t="s">
        <v>73</v>
      </c>
      <c r="Y194" s="1" t="s">
        <v>235</v>
      </c>
      <c r="Z194" s="1" t="s">
        <v>236</v>
      </c>
      <c r="AA194" s="1" t="s">
        <v>45</v>
      </c>
      <c r="AB194" s="1" t="s">
        <v>76</v>
      </c>
      <c r="AC194" s="1" t="s">
        <v>56</v>
      </c>
      <c r="AD194" s="1" t="s">
        <v>34</v>
      </c>
      <c r="AE194" s="1" t="s">
        <v>35</v>
      </c>
      <c r="AF194" s="5">
        <f t="shared" si="12"/>
        <v>45635</v>
      </c>
      <c r="AG194" s="5">
        <f t="shared" si="13"/>
        <v>45642</v>
      </c>
      <c r="AH194" s="5" t="b">
        <f t="shared" si="14"/>
        <v>1</v>
      </c>
      <c r="AI194" s="5" t="b">
        <f t="shared" si="15"/>
        <v>1</v>
      </c>
      <c r="AJ194" t="str">
        <f t="shared" si="16"/>
        <v>OK</v>
      </c>
      <c r="AK194">
        <f t="shared" si="17"/>
        <v>7</v>
      </c>
    </row>
    <row r="195" spans="1:37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  <c r="V195" s="1" t="s">
        <v>142</v>
      </c>
      <c r="W195" s="1" t="s">
        <v>41</v>
      </c>
      <c r="X195" s="1" t="s">
        <v>27</v>
      </c>
      <c r="Y195" s="1" t="s">
        <v>154</v>
      </c>
      <c r="Z195" s="1" t="s">
        <v>155</v>
      </c>
      <c r="AA195" s="1" t="s">
        <v>86</v>
      </c>
      <c r="AB195" s="1" t="s">
        <v>94</v>
      </c>
      <c r="AC195" s="1" t="s">
        <v>48</v>
      </c>
      <c r="AD195" s="1" t="s">
        <v>124</v>
      </c>
      <c r="AE195" s="1" t="s">
        <v>125</v>
      </c>
      <c r="AF195" s="5">
        <f t="shared" ref="AF195:AF258" si="18">IFERROR(DATEVALUE(B195),IFERROR(DATE(VALUE(RIGHT(B195,4)),VALUE(MID(SUBSTITUTE(B195,"-","/"),6,2)),VALUE(LEFT(B195,2))),NA()))</f>
        <v>45466</v>
      </c>
      <c r="AG195" s="5" t="e">
        <f t="shared" ref="AG195:AG258" si="19">IFERROR(DATEVALUE(C195),IFERROR(DATE(VALUE(RIGHT(C195,4)),VALUE(MID(SUBSTITUTE(C195,"-","/"),6,2)),VALUE(LEFT(C195,2))),NA()))</f>
        <v>#N/A</v>
      </c>
      <c r="AH195" s="5" t="b">
        <f t="shared" ref="AH195:AH258" si="20">ISNUMBER(AF195)</f>
        <v>1</v>
      </c>
      <c r="AI195" s="5" t="b">
        <f t="shared" ref="AI195:AI258" si="21">ISNUMBER(AG195)</f>
        <v>0</v>
      </c>
      <c r="AJ195" t="e">
        <f t="shared" ref="AJ195:AJ258" si="22">IF(AG195&lt;AF195,"Invalid: Ship before Order","OK")</f>
        <v>#N/A</v>
      </c>
      <c r="AK195" t="e">
        <f t="shared" ref="AK195:AK258" si="23">DATEDIF(AF195, AG195, "D")</f>
        <v>#N/A</v>
      </c>
    </row>
    <row r="196" spans="1:37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  <c r="V196" s="1" t="s">
        <v>142</v>
      </c>
      <c r="W196" s="1" t="s">
        <v>26</v>
      </c>
      <c r="X196" s="1" t="s">
        <v>73</v>
      </c>
      <c r="Y196" s="1" t="s">
        <v>74</v>
      </c>
      <c r="Z196" s="1" t="s">
        <v>75</v>
      </c>
      <c r="AA196" s="1" t="s">
        <v>45</v>
      </c>
      <c r="AB196" s="1" t="s">
        <v>65</v>
      </c>
      <c r="AC196" s="1" t="s">
        <v>56</v>
      </c>
      <c r="AD196" s="1" t="s">
        <v>137</v>
      </c>
      <c r="AE196" s="1" t="s">
        <v>125</v>
      </c>
      <c r="AF196" s="5">
        <f t="shared" si="18"/>
        <v>45685</v>
      </c>
      <c r="AG196" s="5">
        <f t="shared" si="19"/>
        <v>45688</v>
      </c>
      <c r="AH196" s="5" t="b">
        <f t="shared" si="20"/>
        <v>1</v>
      </c>
      <c r="AI196" s="5" t="b">
        <f t="shared" si="21"/>
        <v>1</v>
      </c>
      <c r="AJ196" t="str">
        <f t="shared" si="22"/>
        <v>OK</v>
      </c>
      <c r="AK196">
        <f t="shared" si="23"/>
        <v>3</v>
      </c>
    </row>
    <row r="197" spans="1:37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  <c r="V197" s="1" t="s">
        <v>93</v>
      </c>
      <c r="W197" s="1" t="s">
        <v>115</v>
      </c>
      <c r="X197" s="1" t="s">
        <v>62</v>
      </c>
      <c r="Y197" s="1" t="s">
        <v>100</v>
      </c>
      <c r="Z197" s="1" t="s">
        <v>101</v>
      </c>
      <c r="AA197" s="1" t="s">
        <v>45</v>
      </c>
      <c r="AB197" s="1" t="s">
        <v>65</v>
      </c>
      <c r="AC197" s="1" t="s">
        <v>48</v>
      </c>
      <c r="AD197" s="1" t="s">
        <v>34</v>
      </c>
      <c r="AE197" s="1" t="s">
        <v>35</v>
      </c>
      <c r="AF197" s="5">
        <f t="shared" si="18"/>
        <v>45860</v>
      </c>
      <c r="AG197" s="5">
        <f t="shared" si="19"/>
        <v>45862</v>
      </c>
      <c r="AH197" s="5" t="b">
        <f t="shared" si="20"/>
        <v>1</v>
      </c>
      <c r="AI197" s="5" t="b">
        <f t="shared" si="21"/>
        <v>1</v>
      </c>
      <c r="AJ197" t="str">
        <f t="shared" si="22"/>
        <v>OK</v>
      </c>
      <c r="AK197">
        <f t="shared" si="23"/>
        <v>2</v>
      </c>
    </row>
    <row r="198" spans="1:37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  <c r="V198" s="1" t="s">
        <v>366</v>
      </c>
      <c r="W198" s="1" t="s">
        <v>115</v>
      </c>
      <c r="X198" s="1" t="s">
        <v>27</v>
      </c>
      <c r="Y198" s="1" t="s">
        <v>174</v>
      </c>
      <c r="Z198" s="1" t="s">
        <v>175</v>
      </c>
      <c r="AA198" s="1" t="s">
        <v>30</v>
      </c>
      <c r="AB198" s="1" t="s">
        <v>156</v>
      </c>
      <c r="AC198" s="1" t="s">
        <v>56</v>
      </c>
      <c r="AD198" s="1" t="s">
        <v>34</v>
      </c>
      <c r="AE198" s="1" t="s">
        <v>35</v>
      </c>
      <c r="AF198" s="5" t="e">
        <f t="shared" si="18"/>
        <v>#N/A</v>
      </c>
      <c r="AG198" s="5">
        <f t="shared" si="19"/>
        <v>45316</v>
      </c>
      <c r="AH198" s="5" t="b">
        <f t="shared" si="20"/>
        <v>0</v>
      </c>
      <c r="AI198" s="5" t="b">
        <f t="shared" si="21"/>
        <v>1</v>
      </c>
      <c r="AJ198" t="e">
        <f t="shared" si="22"/>
        <v>#N/A</v>
      </c>
      <c r="AK198" t="e">
        <f t="shared" si="23"/>
        <v>#N/A</v>
      </c>
    </row>
    <row r="199" spans="1:37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  <c r="V199" s="1" t="s">
        <v>148</v>
      </c>
      <c r="W199" s="1" t="s">
        <v>41</v>
      </c>
      <c r="X199" s="1" t="s">
        <v>42</v>
      </c>
      <c r="Y199" s="1" t="s">
        <v>186</v>
      </c>
      <c r="Z199" s="1" t="s">
        <v>187</v>
      </c>
      <c r="AA199" s="1" t="s">
        <v>30</v>
      </c>
      <c r="AB199" s="1" t="s">
        <v>156</v>
      </c>
      <c r="AC199" s="1" t="s">
        <v>33</v>
      </c>
      <c r="AD199" s="1" t="s">
        <v>34</v>
      </c>
      <c r="AE199" s="1" t="s">
        <v>35</v>
      </c>
      <c r="AF199" s="5">
        <f t="shared" si="18"/>
        <v>45747</v>
      </c>
      <c r="AG199" s="5">
        <f t="shared" si="19"/>
        <v>45842</v>
      </c>
      <c r="AH199" s="5" t="b">
        <f t="shared" si="20"/>
        <v>1</v>
      </c>
      <c r="AI199" s="5" t="b">
        <f t="shared" si="21"/>
        <v>1</v>
      </c>
      <c r="AJ199" t="str">
        <f t="shared" si="22"/>
        <v>OK</v>
      </c>
      <c r="AK199">
        <f t="shared" si="23"/>
        <v>95</v>
      </c>
    </row>
    <row r="200" spans="1:37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  <c r="V200" s="1" t="s">
        <v>168</v>
      </c>
      <c r="W200" s="1" t="s">
        <v>26</v>
      </c>
      <c r="X200" s="1" t="s">
        <v>73</v>
      </c>
      <c r="Y200" s="1" t="s">
        <v>235</v>
      </c>
      <c r="Z200" s="1" t="s">
        <v>236</v>
      </c>
      <c r="AA200" s="1" t="s">
        <v>30</v>
      </c>
      <c r="AB200" s="1" t="s">
        <v>54</v>
      </c>
      <c r="AC200" s="1" t="s">
        <v>33</v>
      </c>
      <c r="AD200" s="1" t="s">
        <v>200</v>
      </c>
      <c r="AE200" s="1" t="s">
        <v>78</v>
      </c>
      <c r="AF200" s="5">
        <f t="shared" si="18"/>
        <v>45418</v>
      </c>
      <c r="AG200" s="5">
        <f t="shared" si="19"/>
        <v>45449</v>
      </c>
      <c r="AH200" s="5" t="b">
        <f t="shared" si="20"/>
        <v>1</v>
      </c>
      <c r="AI200" s="5" t="b">
        <f t="shared" si="21"/>
        <v>1</v>
      </c>
      <c r="AJ200" t="str">
        <f t="shared" si="22"/>
        <v>OK</v>
      </c>
      <c r="AK200">
        <f t="shared" si="23"/>
        <v>31</v>
      </c>
    </row>
    <row r="201" spans="1:37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  <c r="V201" s="1" t="s">
        <v>148</v>
      </c>
      <c r="W201" s="1" t="s">
        <v>115</v>
      </c>
      <c r="X201" s="1" t="s">
        <v>42</v>
      </c>
      <c r="Y201" s="1" t="s">
        <v>186</v>
      </c>
      <c r="Z201" s="1" t="s">
        <v>187</v>
      </c>
      <c r="AA201" s="1" t="s">
        <v>86</v>
      </c>
      <c r="AB201" s="1" t="s">
        <v>382</v>
      </c>
      <c r="AC201" s="1" t="s">
        <v>4119</v>
      </c>
      <c r="AD201" s="1" t="s">
        <v>34</v>
      </c>
      <c r="AE201" s="1" t="s">
        <v>35</v>
      </c>
      <c r="AF201" s="5">
        <f t="shared" si="18"/>
        <v>45363</v>
      </c>
      <c r="AG201" s="5">
        <f t="shared" si="19"/>
        <v>45629</v>
      </c>
      <c r="AH201" s="5" t="b">
        <f t="shared" si="20"/>
        <v>1</v>
      </c>
      <c r="AI201" s="5" t="b">
        <f t="shared" si="21"/>
        <v>1</v>
      </c>
      <c r="AJ201" t="str">
        <f t="shared" si="22"/>
        <v>OK</v>
      </c>
      <c r="AK201">
        <f t="shared" si="23"/>
        <v>266</v>
      </c>
    </row>
    <row r="202" spans="1:37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  <c r="V202" s="1" t="s">
        <v>142</v>
      </c>
      <c r="W202" s="1" t="s">
        <v>41</v>
      </c>
      <c r="X202" s="1" t="s">
        <v>27</v>
      </c>
      <c r="Y202" s="1" t="s">
        <v>28</v>
      </c>
      <c r="Z202" s="1" t="s">
        <v>29</v>
      </c>
      <c r="AA202" s="1" t="s">
        <v>86</v>
      </c>
      <c r="AB202" s="1" t="s">
        <v>94</v>
      </c>
      <c r="AC202" s="1" t="s">
        <v>56</v>
      </c>
      <c r="AD202" s="1" t="s">
        <v>137</v>
      </c>
      <c r="AE202" s="1" t="s">
        <v>78</v>
      </c>
      <c r="AF202" s="5" t="e">
        <f t="shared" si="18"/>
        <v>#N/A</v>
      </c>
      <c r="AG202" s="5">
        <f t="shared" si="19"/>
        <v>45843</v>
      </c>
      <c r="AH202" s="5" t="b">
        <f t="shared" si="20"/>
        <v>0</v>
      </c>
      <c r="AI202" s="5" t="b">
        <f t="shared" si="21"/>
        <v>1</v>
      </c>
      <c r="AJ202" t="e">
        <f t="shared" si="22"/>
        <v>#N/A</v>
      </c>
      <c r="AK202" t="e">
        <f t="shared" si="23"/>
        <v>#N/A</v>
      </c>
    </row>
    <row r="203" spans="1:37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  <c r="V203" s="1" t="s">
        <v>83</v>
      </c>
      <c r="W203" s="1" t="s">
        <v>26</v>
      </c>
      <c r="X203" s="1" t="s">
        <v>73</v>
      </c>
      <c r="Y203" s="1" t="s">
        <v>84</v>
      </c>
      <c r="Z203" s="1" t="s">
        <v>85</v>
      </c>
      <c r="AA203" s="1" t="s">
        <v>30</v>
      </c>
      <c r="AB203" s="1" t="s">
        <v>109</v>
      </c>
      <c r="AC203" s="1" t="s">
        <v>33</v>
      </c>
      <c r="AD203" s="1" t="s">
        <v>124</v>
      </c>
      <c r="AE203" s="1" t="s">
        <v>78</v>
      </c>
      <c r="AF203" s="5" t="e">
        <f t="shared" si="18"/>
        <v>#N/A</v>
      </c>
      <c r="AG203" s="5">
        <f t="shared" si="19"/>
        <v>45872</v>
      </c>
      <c r="AH203" s="5" t="b">
        <f t="shared" si="20"/>
        <v>0</v>
      </c>
      <c r="AI203" s="5" t="b">
        <f t="shared" si="21"/>
        <v>1</v>
      </c>
      <c r="AJ203" t="e">
        <f t="shared" si="22"/>
        <v>#N/A</v>
      </c>
      <c r="AK203" t="e">
        <f t="shared" si="23"/>
        <v>#N/A</v>
      </c>
    </row>
    <row r="204" spans="1:37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  <c r="V204" s="1" t="s">
        <v>168</v>
      </c>
      <c r="W204" s="1" t="s">
        <v>108</v>
      </c>
      <c r="X204" s="1" t="s">
        <v>73</v>
      </c>
      <c r="Y204" s="1" t="s">
        <v>249</v>
      </c>
      <c r="Z204" s="1" t="s">
        <v>250</v>
      </c>
      <c r="AA204" s="1" t="s">
        <v>86</v>
      </c>
      <c r="AB204" s="1" t="s">
        <v>87</v>
      </c>
      <c r="AC204" s="1" t="s">
        <v>67</v>
      </c>
      <c r="AD204" s="1" t="s">
        <v>34</v>
      </c>
      <c r="AE204" s="1" t="s">
        <v>35</v>
      </c>
      <c r="AF204" s="5">
        <f t="shared" si="18"/>
        <v>45744</v>
      </c>
      <c r="AG204" s="5">
        <f t="shared" si="19"/>
        <v>45744</v>
      </c>
      <c r="AH204" s="5" t="b">
        <f t="shared" si="20"/>
        <v>1</v>
      </c>
      <c r="AI204" s="5" t="b">
        <f t="shared" si="21"/>
        <v>1</v>
      </c>
      <c r="AJ204" t="str">
        <f t="shared" si="22"/>
        <v>OK</v>
      </c>
      <c r="AK204">
        <f t="shared" si="23"/>
        <v>0</v>
      </c>
    </row>
    <row r="205" spans="1:37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  <c r="V205" s="1" t="s">
        <v>168</v>
      </c>
      <c r="W205" s="1" t="s">
        <v>108</v>
      </c>
      <c r="X205" s="1" t="s">
        <v>73</v>
      </c>
      <c r="Y205" s="1" t="s">
        <v>28</v>
      </c>
      <c r="Z205" s="1" t="s">
        <v>135</v>
      </c>
      <c r="AA205" s="1" t="s">
        <v>86</v>
      </c>
      <c r="AB205" s="1" t="s">
        <v>87</v>
      </c>
      <c r="AC205" s="1" t="s">
        <v>33</v>
      </c>
      <c r="AD205" s="1" t="s">
        <v>34</v>
      </c>
      <c r="AE205" s="1" t="s">
        <v>35</v>
      </c>
      <c r="AF205" s="5">
        <f t="shared" si="18"/>
        <v>45379</v>
      </c>
      <c r="AG205" s="5">
        <f t="shared" si="19"/>
        <v>45381</v>
      </c>
      <c r="AH205" s="5" t="b">
        <f t="shared" si="20"/>
        <v>1</v>
      </c>
      <c r="AI205" s="5" t="b">
        <f t="shared" si="21"/>
        <v>1</v>
      </c>
      <c r="AJ205" t="str">
        <f t="shared" si="22"/>
        <v>OK</v>
      </c>
      <c r="AK205">
        <f t="shared" si="23"/>
        <v>2</v>
      </c>
    </row>
    <row r="206" spans="1:37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  <c r="V206" s="1" t="s">
        <v>40</v>
      </c>
      <c r="W206" s="1" t="s">
        <v>115</v>
      </c>
      <c r="X206" s="1" t="s">
        <v>42</v>
      </c>
      <c r="Y206" s="1" t="s">
        <v>121</v>
      </c>
      <c r="Z206" s="1" t="s">
        <v>122</v>
      </c>
      <c r="AA206" s="1" t="s">
        <v>45</v>
      </c>
      <c r="AB206" s="1" t="s">
        <v>46</v>
      </c>
      <c r="AC206" s="1" t="s">
        <v>33</v>
      </c>
      <c r="AD206" s="1" t="s">
        <v>34</v>
      </c>
      <c r="AE206" s="1" t="s">
        <v>35</v>
      </c>
      <c r="AF206" s="5" t="e">
        <f t="shared" si="18"/>
        <v>#N/A</v>
      </c>
      <c r="AG206" s="5">
        <f t="shared" si="19"/>
        <v>45861</v>
      </c>
      <c r="AH206" s="5" t="b">
        <f t="shared" si="20"/>
        <v>0</v>
      </c>
      <c r="AI206" s="5" t="b">
        <f t="shared" si="21"/>
        <v>1</v>
      </c>
      <c r="AJ206" t="e">
        <f t="shared" si="22"/>
        <v>#N/A</v>
      </c>
      <c r="AK206" t="e">
        <f t="shared" si="23"/>
        <v>#N/A</v>
      </c>
    </row>
    <row r="207" spans="1:37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  <c r="V207" s="1" t="s">
        <v>72</v>
      </c>
      <c r="W207" s="1" t="s">
        <v>26</v>
      </c>
      <c r="X207" s="1" t="s">
        <v>73</v>
      </c>
      <c r="Y207" s="1" t="s">
        <v>74</v>
      </c>
      <c r="Z207" s="1" t="s">
        <v>75</v>
      </c>
      <c r="AA207" s="1" t="s">
        <v>30</v>
      </c>
      <c r="AB207" s="1" t="s">
        <v>109</v>
      </c>
      <c r="AC207" s="1" t="s">
        <v>48</v>
      </c>
      <c r="AD207" s="1" t="s">
        <v>34</v>
      </c>
      <c r="AE207" s="1" t="s">
        <v>35</v>
      </c>
      <c r="AF207" s="5" t="e">
        <f t="shared" si="18"/>
        <v>#N/A</v>
      </c>
      <c r="AG207" s="5">
        <f t="shared" si="19"/>
        <v>45773</v>
      </c>
      <c r="AH207" s="5" t="b">
        <f t="shared" si="20"/>
        <v>0</v>
      </c>
      <c r="AI207" s="5" t="b">
        <f t="shared" si="21"/>
        <v>1</v>
      </c>
      <c r="AJ207" t="e">
        <f t="shared" si="22"/>
        <v>#N/A</v>
      </c>
      <c r="AK207" t="e">
        <f t="shared" si="23"/>
        <v>#N/A</v>
      </c>
    </row>
    <row r="208" spans="1:37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  <c r="V208" s="1" t="s">
        <v>210</v>
      </c>
      <c r="W208" s="1" t="s">
        <v>41</v>
      </c>
      <c r="X208" s="1" t="s">
        <v>27</v>
      </c>
      <c r="Y208" s="1" t="s">
        <v>174</v>
      </c>
      <c r="Z208" s="1" t="s">
        <v>175</v>
      </c>
      <c r="AA208" s="1" t="s">
        <v>45</v>
      </c>
      <c r="AB208" s="1" t="s">
        <v>65</v>
      </c>
      <c r="AC208" s="1" t="s">
        <v>56</v>
      </c>
      <c r="AD208" s="1" t="s">
        <v>34</v>
      </c>
      <c r="AE208" s="1" t="s">
        <v>35</v>
      </c>
      <c r="AF208" s="5">
        <f t="shared" si="18"/>
        <v>45795</v>
      </c>
      <c r="AG208" s="5">
        <f t="shared" si="19"/>
        <v>45797</v>
      </c>
      <c r="AH208" s="5" t="b">
        <f t="shared" si="20"/>
        <v>1</v>
      </c>
      <c r="AI208" s="5" t="b">
        <f t="shared" si="21"/>
        <v>1</v>
      </c>
      <c r="AJ208" t="str">
        <f t="shared" si="22"/>
        <v>OK</v>
      </c>
      <c r="AK208">
        <f t="shared" si="23"/>
        <v>2</v>
      </c>
    </row>
    <row r="209" spans="1:37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  <c r="V209" s="1" t="s">
        <v>162</v>
      </c>
      <c r="W209" s="1" t="s">
        <v>115</v>
      </c>
      <c r="X209" s="1" t="s">
        <v>73</v>
      </c>
      <c r="Y209" s="1" t="s">
        <v>249</v>
      </c>
      <c r="Z209" s="1" t="s">
        <v>250</v>
      </c>
      <c r="AA209" s="1" t="s">
        <v>45</v>
      </c>
      <c r="AB209" s="1" t="s">
        <v>204</v>
      </c>
      <c r="AC209" s="1" t="s">
        <v>33</v>
      </c>
      <c r="AD209" s="1" t="s">
        <v>34</v>
      </c>
      <c r="AE209" s="1" t="s">
        <v>35</v>
      </c>
      <c r="AF209" s="5">
        <f t="shared" si="18"/>
        <v>45483</v>
      </c>
      <c r="AG209" s="5">
        <f t="shared" si="19"/>
        <v>45489</v>
      </c>
      <c r="AH209" s="5" t="b">
        <f t="shared" si="20"/>
        <v>1</v>
      </c>
      <c r="AI209" s="5" t="b">
        <f t="shared" si="21"/>
        <v>1</v>
      </c>
      <c r="AJ209" t="str">
        <f t="shared" si="22"/>
        <v>OK</v>
      </c>
      <c r="AK209">
        <f t="shared" si="23"/>
        <v>6</v>
      </c>
    </row>
    <row r="210" spans="1:37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  <c r="V210" s="1" t="s">
        <v>210</v>
      </c>
      <c r="W210" s="1" t="s">
        <v>26</v>
      </c>
      <c r="X210" s="1" t="s">
        <v>27</v>
      </c>
      <c r="Y210" s="1" t="s">
        <v>154</v>
      </c>
      <c r="Z210" s="1" t="s">
        <v>155</v>
      </c>
      <c r="AA210" s="1" t="s">
        <v>45</v>
      </c>
      <c r="AB210" s="1" t="s">
        <v>76</v>
      </c>
      <c r="AC210" s="1" t="s">
        <v>48</v>
      </c>
      <c r="AD210" s="1" t="s">
        <v>34</v>
      </c>
      <c r="AE210" s="1" t="s">
        <v>35</v>
      </c>
      <c r="AF210" s="5">
        <f t="shared" si="18"/>
        <v>45837</v>
      </c>
      <c r="AG210" s="5">
        <f t="shared" si="19"/>
        <v>45784</v>
      </c>
      <c r="AH210" s="5" t="b">
        <f t="shared" si="20"/>
        <v>1</v>
      </c>
      <c r="AI210" s="5" t="b">
        <f t="shared" si="21"/>
        <v>1</v>
      </c>
      <c r="AJ210" t="str">
        <f t="shared" si="22"/>
        <v>Invalid: Ship before Order</v>
      </c>
      <c r="AK210" t="e">
        <f t="shared" si="23"/>
        <v>#NUM!</v>
      </c>
    </row>
    <row r="211" spans="1:37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  <c r="V211" s="1" t="s">
        <v>180</v>
      </c>
      <c r="W211" s="1" t="s">
        <v>41</v>
      </c>
      <c r="X211" s="1" t="s">
        <v>62</v>
      </c>
      <c r="Y211" s="1" t="s">
        <v>100</v>
      </c>
      <c r="Z211" s="1" t="s">
        <v>101</v>
      </c>
      <c r="AA211" s="1" t="s">
        <v>30</v>
      </c>
      <c r="AB211" s="1" t="s">
        <v>31</v>
      </c>
      <c r="AC211" s="1" t="s">
        <v>56</v>
      </c>
      <c r="AD211" s="1" t="s">
        <v>34</v>
      </c>
      <c r="AE211" s="1" t="s">
        <v>35</v>
      </c>
      <c r="AF211" s="5">
        <f t="shared" si="18"/>
        <v>45882</v>
      </c>
      <c r="AG211" s="5">
        <f t="shared" si="19"/>
        <v>45883</v>
      </c>
      <c r="AH211" s="5" t="b">
        <f t="shared" si="20"/>
        <v>1</v>
      </c>
      <c r="AI211" s="5" t="b">
        <f t="shared" si="21"/>
        <v>1</v>
      </c>
      <c r="AJ211" t="str">
        <f t="shared" si="22"/>
        <v>OK</v>
      </c>
      <c r="AK211">
        <f t="shared" si="23"/>
        <v>1</v>
      </c>
    </row>
    <row r="212" spans="1:37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  <c r="V212" s="1" t="s">
        <v>366</v>
      </c>
      <c r="W212" s="1" t="s">
        <v>115</v>
      </c>
      <c r="X212" s="1" t="s">
        <v>62</v>
      </c>
      <c r="Y212" s="1" t="s">
        <v>229</v>
      </c>
      <c r="Z212" s="1" t="s">
        <v>230</v>
      </c>
      <c r="AA212" s="1" t="s">
        <v>86</v>
      </c>
      <c r="AB212" s="1" t="s">
        <v>382</v>
      </c>
      <c r="AC212" s="1" t="s">
        <v>33</v>
      </c>
      <c r="AD212" s="1" t="s">
        <v>200</v>
      </c>
      <c r="AE212" s="1" t="s">
        <v>125</v>
      </c>
      <c r="AF212" s="5">
        <f t="shared" si="18"/>
        <v>45366</v>
      </c>
      <c r="AG212" s="5" t="e">
        <f t="shared" si="19"/>
        <v>#N/A</v>
      </c>
      <c r="AH212" s="5" t="b">
        <f t="shared" si="20"/>
        <v>1</v>
      </c>
      <c r="AI212" s="5" t="b">
        <f t="shared" si="21"/>
        <v>0</v>
      </c>
      <c r="AJ212" t="e">
        <f t="shared" si="22"/>
        <v>#N/A</v>
      </c>
      <c r="AK212" t="e">
        <f t="shared" si="23"/>
        <v>#N/A</v>
      </c>
    </row>
    <row r="213" spans="1:37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  <c r="V213" s="1" t="s">
        <v>180</v>
      </c>
      <c r="W213" s="1" t="s">
        <v>108</v>
      </c>
      <c r="X213" s="1" t="s">
        <v>42</v>
      </c>
      <c r="Y213" s="1" t="s">
        <v>121</v>
      </c>
      <c r="Z213" s="1" t="s">
        <v>122</v>
      </c>
      <c r="AA213" s="1" t="s">
        <v>86</v>
      </c>
      <c r="AB213" s="1" t="s">
        <v>94</v>
      </c>
      <c r="AC213" s="1" t="s">
        <v>33</v>
      </c>
      <c r="AD213" s="1" t="s">
        <v>34</v>
      </c>
      <c r="AE213" s="1" t="s">
        <v>35</v>
      </c>
      <c r="AF213" s="5">
        <f t="shared" si="18"/>
        <v>45428</v>
      </c>
      <c r="AG213" s="5">
        <f t="shared" si="19"/>
        <v>45429</v>
      </c>
      <c r="AH213" s="5" t="b">
        <f t="shared" si="20"/>
        <v>1</v>
      </c>
      <c r="AI213" s="5" t="b">
        <f t="shared" si="21"/>
        <v>1</v>
      </c>
      <c r="AJ213" t="str">
        <f t="shared" si="22"/>
        <v>OK</v>
      </c>
      <c r="AK213">
        <f t="shared" si="23"/>
        <v>1</v>
      </c>
    </row>
    <row r="214" spans="1:37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  <c r="V214" s="1" t="s">
        <v>72</v>
      </c>
      <c r="W214" s="1" t="s">
        <v>41</v>
      </c>
      <c r="X214" s="1" t="s">
        <v>42</v>
      </c>
      <c r="Y214" s="1" t="s">
        <v>43</v>
      </c>
      <c r="Z214" s="1" t="s">
        <v>44</v>
      </c>
      <c r="AA214" s="1" t="s">
        <v>86</v>
      </c>
      <c r="AB214" s="1" t="s">
        <v>223</v>
      </c>
      <c r="AC214" s="1" t="s">
        <v>48</v>
      </c>
      <c r="AD214" s="1" t="s">
        <v>34</v>
      </c>
      <c r="AE214" s="1" t="s">
        <v>35</v>
      </c>
      <c r="AF214" s="5">
        <f t="shared" si="18"/>
        <v>45556</v>
      </c>
      <c r="AG214" s="5">
        <f t="shared" si="19"/>
        <v>45556</v>
      </c>
      <c r="AH214" s="5" t="b">
        <f t="shared" si="20"/>
        <v>1</v>
      </c>
      <c r="AI214" s="5" t="b">
        <f t="shared" si="21"/>
        <v>1</v>
      </c>
      <c r="AJ214" t="str">
        <f t="shared" si="22"/>
        <v>OK</v>
      </c>
      <c r="AK214">
        <f t="shared" si="23"/>
        <v>0</v>
      </c>
    </row>
    <row r="215" spans="1:37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  <c r="V215" s="1" t="s">
        <v>53</v>
      </c>
      <c r="W215" s="1" t="s">
        <v>41</v>
      </c>
      <c r="X215" s="1" t="s">
        <v>42</v>
      </c>
      <c r="Y215" s="1" t="s">
        <v>186</v>
      </c>
      <c r="Z215" s="1" t="s">
        <v>187</v>
      </c>
      <c r="AA215" s="1" t="s">
        <v>86</v>
      </c>
      <c r="AB215" s="1" t="s">
        <v>87</v>
      </c>
      <c r="AC215" s="1" t="s">
        <v>33</v>
      </c>
      <c r="AD215" s="1" t="s">
        <v>34</v>
      </c>
      <c r="AE215" s="1" t="s">
        <v>35</v>
      </c>
      <c r="AF215" s="5">
        <f t="shared" si="18"/>
        <v>45427</v>
      </c>
      <c r="AG215" s="5" t="e">
        <f t="shared" si="19"/>
        <v>#N/A</v>
      </c>
      <c r="AH215" s="5" t="b">
        <f t="shared" si="20"/>
        <v>1</v>
      </c>
      <c r="AI215" s="5" t="b">
        <f t="shared" si="21"/>
        <v>0</v>
      </c>
      <c r="AJ215" t="e">
        <f t="shared" si="22"/>
        <v>#N/A</v>
      </c>
      <c r="AK215" t="e">
        <f t="shared" si="23"/>
        <v>#N/A</v>
      </c>
    </row>
    <row r="216" spans="1:37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  <c r="V216" s="1" t="s">
        <v>148</v>
      </c>
      <c r="W216" s="1" t="s">
        <v>26</v>
      </c>
      <c r="X216" s="1" t="s">
        <v>27</v>
      </c>
      <c r="Y216" s="1" t="s">
        <v>323</v>
      </c>
      <c r="Z216" s="1" t="s">
        <v>324</v>
      </c>
      <c r="AA216" s="1" t="s">
        <v>86</v>
      </c>
      <c r="AB216" s="1" t="s">
        <v>87</v>
      </c>
      <c r="AC216" s="1" t="s">
        <v>56</v>
      </c>
      <c r="AD216" s="1" t="s">
        <v>34</v>
      </c>
      <c r="AE216" s="1" t="s">
        <v>35</v>
      </c>
      <c r="AF216" s="5">
        <f t="shared" si="18"/>
        <v>45368</v>
      </c>
      <c r="AG216" s="5" t="e">
        <f t="shared" si="19"/>
        <v>#N/A</v>
      </c>
      <c r="AH216" s="5" t="b">
        <f t="shared" si="20"/>
        <v>1</v>
      </c>
      <c r="AI216" s="5" t="b">
        <f t="shared" si="21"/>
        <v>0</v>
      </c>
      <c r="AJ216" t="e">
        <f t="shared" si="22"/>
        <v>#N/A</v>
      </c>
      <c r="AK216" t="e">
        <f t="shared" si="23"/>
        <v>#N/A</v>
      </c>
    </row>
    <row r="217" spans="1:37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  <c r="V217" s="1" t="s">
        <v>40</v>
      </c>
      <c r="W217" s="1" t="s">
        <v>26</v>
      </c>
      <c r="X217" s="1" t="s">
        <v>73</v>
      </c>
      <c r="Y217" s="1" t="s">
        <v>84</v>
      </c>
      <c r="Z217" s="1" t="s">
        <v>85</v>
      </c>
      <c r="AA217" s="1" t="s">
        <v>30</v>
      </c>
      <c r="AB217" s="1" t="s">
        <v>31</v>
      </c>
      <c r="AC217" s="1" t="s">
        <v>56</v>
      </c>
      <c r="AD217" s="1" t="s">
        <v>34</v>
      </c>
      <c r="AE217" s="1" t="s">
        <v>35</v>
      </c>
      <c r="AF217" s="5">
        <f t="shared" si="18"/>
        <v>45294</v>
      </c>
      <c r="AG217" s="5">
        <f t="shared" si="19"/>
        <v>45355</v>
      </c>
      <c r="AH217" s="5" t="b">
        <f t="shared" si="20"/>
        <v>1</v>
      </c>
      <c r="AI217" s="5" t="b">
        <f t="shared" si="21"/>
        <v>1</v>
      </c>
      <c r="AJ217" t="str">
        <f t="shared" si="22"/>
        <v>OK</v>
      </c>
      <c r="AK217">
        <f t="shared" si="23"/>
        <v>61</v>
      </c>
    </row>
    <row r="218" spans="1:37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  <c r="V218" s="1" t="s">
        <v>53</v>
      </c>
      <c r="W218" s="1" t="s">
        <v>26</v>
      </c>
      <c r="X218" s="1" t="s">
        <v>73</v>
      </c>
      <c r="Y218" s="1" t="s">
        <v>235</v>
      </c>
      <c r="Z218" s="1" t="s">
        <v>236</v>
      </c>
      <c r="AA218" s="1" t="s">
        <v>45</v>
      </c>
      <c r="AB218" s="1" t="s">
        <v>46</v>
      </c>
      <c r="AC218" s="1" t="s">
        <v>67</v>
      </c>
      <c r="AD218" s="1" t="s">
        <v>200</v>
      </c>
      <c r="AE218" s="1" t="s">
        <v>125</v>
      </c>
      <c r="AF218" s="5">
        <f t="shared" si="18"/>
        <v>45757</v>
      </c>
      <c r="AG218" s="5">
        <f t="shared" si="19"/>
        <v>45762</v>
      </c>
      <c r="AH218" s="5" t="b">
        <f t="shared" si="20"/>
        <v>1</v>
      </c>
      <c r="AI218" s="5" t="b">
        <f t="shared" si="21"/>
        <v>1</v>
      </c>
      <c r="AJ218" t="str">
        <f t="shared" si="22"/>
        <v>OK</v>
      </c>
      <c r="AK218">
        <f t="shared" si="23"/>
        <v>5</v>
      </c>
    </row>
    <row r="219" spans="1:37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  <c r="V219" s="1" t="s">
        <v>107</v>
      </c>
      <c r="W219" s="1" t="s">
        <v>26</v>
      </c>
      <c r="X219" s="1" t="s">
        <v>42</v>
      </c>
      <c r="Y219" s="1" t="s">
        <v>43</v>
      </c>
      <c r="Z219" s="1" t="s">
        <v>44</v>
      </c>
      <c r="AA219" s="1" t="s">
        <v>45</v>
      </c>
      <c r="AB219" s="1" t="s">
        <v>204</v>
      </c>
      <c r="AC219" s="1" t="s">
        <v>33</v>
      </c>
      <c r="AD219" s="1" t="s">
        <v>124</v>
      </c>
      <c r="AE219" s="1" t="s">
        <v>78</v>
      </c>
      <c r="AF219" s="5">
        <f t="shared" si="18"/>
        <v>45661</v>
      </c>
      <c r="AG219" s="5">
        <f t="shared" si="19"/>
        <v>45755</v>
      </c>
      <c r="AH219" s="5" t="b">
        <f t="shared" si="20"/>
        <v>1</v>
      </c>
      <c r="AI219" s="5" t="b">
        <f t="shared" si="21"/>
        <v>1</v>
      </c>
      <c r="AJ219" t="str">
        <f t="shared" si="22"/>
        <v>OK</v>
      </c>
      <c r="AK219">
        <f t="shared" si="23"/>
        <v>94</v>
      </c>
    </row>
    <row r="220" spans="1:37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  <c r="V220" s="1" t="s">
        <v>142</v>
      </c>
      <c r="W220" s="1" t="s">
        <v>108</v>
      </c>
      <c r="X220" s="1" t="s">
        <v>73</v>
      </c>
      <c r="Y220" s="1" t="s">
        <v>235</v>
      </c>
      <c r="Z220" s="1" t="s">
        <v>236</v>
      </c>
      <c r="AA220" s="1" t="s">
        <v>45</v>
      </c>
      <c r="AB220" s="1" t="s">
        <v>204</v>
      </c>
      <c r="AC220" s="1" t="s">
        <v>67</v>
      </c>
      <c r="AD220" s="1" t="s">
        <v>34</v>
      </c>
      <c r="AE220" s="1" t="s">
        <v>35</v>
      </c>
      <c r="AF220" s="5">
        <f t="shared" si="18"/>
        <v>45714</v>
      </c>
      <c r="AG220" s="5" t="e">
        <f t="shared" si="19"/>
        <v>#N/A</v>
      </c>
      <c r="AH220" s="5" t="b">
        <f t="shared" si="20"/>
        <v>1</v>
      </c>
      <c r="AI220" s="5" t="b">
        <f t="shared" si="21"/>
        <v>0</v>
      </c>
      <c r="AJ220" t="e">
        <f t="shared" si="22"/>
        <v>#N/A</v>
      </c>
      <c r="AK220" t="e">
        <f t="shared" si="23"/>
        <v>#N/A</v>
      </c>
    </row>
    <row r="221" spans="1:37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  <c r="V221" s="1" t="s">
        <v>148</v>
      </c>
      <c r="W221" s="1" t="s">
        <v>26</v>
      </c>
      <c r="X221" s="1" t="s">
        <v>42</v>
      </c>
      <c r="Y221" s="1" t="s">
        <v>186</v>
      </c>
      <c r="Z221" s="1" t="s">
        <v>187</v>
      </c>
      <c r="AA221" s="1" t="s">
        <v>86</v>
      </c>
      <c r="AB221" s="1" t="s">
        <v>382</v>
      </c>
      <c r="AC221" s="1" t="s">
        <v>56</v>
      </c>
      <c r="AD221" s="1" t="s">
        <v>34</v>
      </c>
      <c r="AE221" s="1" t="s">
        <v>35</v>
      </c>
      <c r="AF221" s="5">
        <f t="shared" si="18"/>
        <v>45461</v>
      </c>
      <c r="AG221" s="5">
        <f t="shared" si="19"/>
        <v>45462</v>
      </c>
      <c r="AH221" s="5" t="b">
        <f t="shared" si="20"/>
        <v>1</v>
      </c>
      <c r="AI221" s="5" t="b">
        <f t="shared" si="21"/>
        <v>1</v>
      </c>
      <c r="AJ221" t="str">
        <f t="shared" si="22"/>
        <v>OK</v>
      </c>
      <c r="AK221">
        <f t="shared" si="23"/>
        <v>1</v>
      </c>
    </row>
    <row r="222" spans="1:37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  <c r="V222" s="1" t="s">
        <v>168</v>
      </c>
      <c r="W222" s="1" t="s">
        <v>26</v>
      </c>
      <c r="X222" s="1" t="s">
        <v>62</v>
      </c>
      <c r="Y222" s="1" t="s">
        <v>242</v>
      </c>
      <c r="Z222" s="1" t="s">
        <v>243</v>
      </c>
      <c r="AA222" s="1" t="s">
        <v>30</v>
      </c>
      <c r="AB222" s="1" t="s">
        <v>156</v>
      </c>
      <c r="AC222" s="1" t="s">
        <v>56</v>
      </c>
      <c r="AD222" s="1" t="s">
        <v>124</v>
      </c>
      <c r="AE222" s="1" t="s">
        <v>78</v>
      </c>
      <c r="AF222" s="5">
        <f t="shared" si="18"/>
        <v>45538</v>
      </c>
      <c r="AG222" s="5">
        <f t="shared" si="19"/>
        <v>45538</v>
      </c>
      <c r="AH222" s="5" t="b">
        <f t="shared" si="20"/>
        <v>1</v>
      </c>
      <c r="AI222" s="5" t="b">
        <f t="shared" si="21"/>
        <v>1</v>
      </c>
      <c r="AJ222" t="str">
        <f t="shared" si="22"/>
        <v>OK</v>
      </c>
      <c r="AK222">
        <f t="shared" si="23"/>
        <v>0</v>
      </c>
    </row>
    <row r="223" spans="1:37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  <c r="V223" s="1" t="s">
        <v>40</v>
      </c>
      <c r="W223" s="1" t="s">
        <v>108</v>
      </c>
      <c r="X223" s="1" t="s">
        <v>62</v>
      </c>
      <c r="Y223" s="1" t="s">
        <v>229</v>
      </c>
      <c r="Z223" s="1" t="s">
        <v>230</v>
      </c>
      <c r="AA223" s="1" t="s">
        <v>45</v>
      </c>
      <c r="AB223" s="1" t="s">
        <v>76</v>
      </c>
      <c r="AC223" s="1" t="s">
        <v>48</v>
      </c>
      <c r="AD223" s="1" t="s">
        <v>34</v>
      </c>
      <c r="AE223" s="1" t="s">
        <v>35</v>
      </c>
      <c r="AF223" s="5">
        <f t="shared" si="18"/>
        <v>45992</v>
      </c>
      <c r="AG223" s="5">
        <f t="shared" si="19"/>
        <v>45672</v>
      </c>
      <c r="AH223" s="5" t="b">
        <f t="shared" si="20"/>
        <v>1</v>
      </c>
      <c r="AI223" s="5" t="b">
        <f t="shared" si="21"/>
        <v>1</v>
      </c>
      <c r="AJ223" t="str">
        <f t="shared" si="22"/>
        <v>Invalid: Ship before Order</v>
      </c>
      <c r="AK223" t="e">
        <f t="shared" si="23"/>
        <v>#NUM!</v>
      </c>
    </row>
    <row r="224" spans="1:37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  <c r="V224" s="1" t="s">
        <v>83</v>
      </c>
      <c r="W224" s="1" t="s">
        <v>41</v>
      </c>
      <c r="X224" s="1" t="s">
        <v>73</v>
      </c>
      <c r="Y224" s="1" t="s">
        <v>249</v>
      </c>
      <c r="Z224" s="1" t="s">
        <v>250</v>
      </c>
      <c r="AA224" s="1" t="s">
        <v>30</v>
      </c>
      <c r="AB224" s="1" t="s">
        <v>156</v>
      </c>
      <c r="AC224" s="1" t="s">
        <v>56</v>
      </c>
      <c r="AD224" s="1" t="s">
        <v>34</v>
      </c>
      <c r="AE224" s="1" t="s">
        <v>35</v>
      </c>
      <c r="AF224" s="5">
        <f t="shared" si="18"/>
        <v>45776</v>
      </c>
      <c r="AG224" s="5">
        <f t="shared" si="19"/>
        <v>45779</v>
      </c>
      <c r="AH224" s="5" t="b">
        <f t="shared" si="20"/>
        <v>1</v>
      </c>
      <c r="AI224" s="5" t="b">
        <f t="shared" si="21"/>
        <v>1</v>
      </c>
      <c r="AJ224" t="str">
        <f t="shared" si="22"/>
        <v>OK</v>
      </c>
      <c r="AK224">
        <f t="shared" si="23"/>
        <v>3</v>
      </c>
    </row>
    <row r="225" spans="1:37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  <c r="V225" s="1" t="s">
        <v>40</v>
      </c>
      <c r="W225" s="1" t="s">
        <v>108</v>
      </c>
      <c r="X225" s="1" t="s">
        <v>73</v>
      </c>
      <c r="Y225" s="1" t="s">
        <v>74</v>
      </c>
      <c r="Z225" s="1" t="s">
        <v>75</v>
      </c>
      <c r="AA225" s="1" t="s">
        <v>45</v>
      </c>
      <c r="AB225" s="1" t="s">
        <v>65</v>
      </c>
      <c r="AC225" s="1" t="s">
        <v>56</v>
      </c>
      <c r="AD225" s="1" t="s">
        <v>137</v>
      </c>
      <c r="AE225" s="1" t="s">
        <v>125</v>
      </c>
      <c r="AF225" s="5" t="e">
        <f t="shared" si="18"/>
        <v>#N/A</v>
      </c>
      <c r="AG225" s="5">
        <f t="shared" si="19"/>
        <v>45714</v>
      </c>
      <c r="AH225" s="5" t="b">
        <f t="shared" si="20"/>
        <v>0</v>
      </c>
      <c r="AI225" s="5" t="b">
        <f t="shared" si="21"/>
        <v>1</v>
      </c>
      <c r="AJ225" t="e">
        <f t="shared" si="22"/>
        <v>#N/A</v>
      </c>
      <c r="AK225" t="e">
        <f t="shared" si="23"/>
        <v>#N/A</v>
      </c>
    </row>
    <row r="226" spans="1:37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  <c r="V226" s="1" t="s">
        <v>53</v>
      </c>
      <c r="W226" s="1" t="s">
        <v>41</v>
      </c>
      <c r="X226" s="1" t="s">
        <v>27</v>
      </c>
      <c r="Y226" s="1" t="s">
        <v>154</v>
      </c>
      <c r="Z226" s="1" t="s">
        <v>155</v>
      </c>
      <c r="AA226" s="1" t="s">
        <v>45</v>
      </c>
      <c r="AB226" s="1" t="s">
        <v>65</v>
      </c>
      <c r="AC226" s="1" t="s">
        <v>67</v>
      </c>
      <c r="AD226" s="1" t="s">
        <v>34</v>
      </c>
      <c r="AE226" s="1" t="s">
        <v>78</v>
      </c>
      <c r="AF226" s="5">
        <f t="shared" si="18"/>
        <v>45932</v>
      </c>
      <c r="AG226" s="5">
        <f t="shared" si="19"/>
        <v>45938</v>
      </c>
      <c r="AH226" s="5" t="b">
        <f t="shared" si="20"/>
        <v>1</v>
      </c>
      <c r="AI226" s="5" t="b">
        <f t="shared" si="21"/>
        <v>1</v>
      </c>
      <c r="AJ226" t="str">
        <f t="shared" si="22"/>
        <v>OK</v>
      </c>
      <c r="AK226">
        <f t="shared" si="23"/>
        <v>6</v>
      </c>
    </row>
    <row r="227" spans="1:37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  <c r="V227" s="1" t="s">
        <v>40</v>
      </c>
      <c r="W227" s="1" t="s">
        <v>108</v>
      </c>
      <c r="X227" s="1" t="s">
        <v>73</v>
      </c>
      <c r="Y227" s="1" t="s">
        <v>249</v>
      </c>
      <c r="Z227" s="1" t="s">
        <v>250</v>
      </c>
      <c r="AA227" s="1" t="s">
        <v>86</v>
      </c>
      <c r="AB227" s="1" t="s">
        <v>223</v>
      </c>
      <c r="AC227" s="1" t="s">
        <v>67</v>
      </c>
      <c r="AD227" s="1" t="s">
        <v>34</v>
      </c>
      <c r="AE227" s="1" t="s">
        <v>35</v>
      </c>
      <c r="AF227" s="5">
        <f t="shared" si="18"/>
        <v>45537</v>
      </c>
      <c r="AG227" s="5">
        <f t="shared" si="19"/>
        <v>45545</v>
      </c>
      <c r="AH227" s="5" t="b">
        <f t="shared" si="20"/>
        <v>1</v>
      </c>
      <c r="AI227" s="5" t="b">
        <f t="shared" si="21"/>
        <v>1</v>
      </c>
      <c r="AJ227" t="str">
        <f t="shared" si="22"/>
        <v>OK</v>
      </c>
      <c r="AK227">
        <f t="shared" si="23"/>
        <v>8</v>
      </c>
    </row>
    <row r="228" spans="1:37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  <c r="V228" s="1" t="s">
        <v>210</v>
      </c>
      <c r="W228" s="1" t="s">
        <v>115</v>
      </c>
      <c r="X228" s="1" t="s">
        <v>4119</v>
      </c>
      <c r="Y228" s="1" t="s">
        <v>242</v>
      </c>
      <c r="Z228" s="1" t="s">
        <v>243</v>
      </c>
      <c r="AA228" s="1" t="s">
        <v>86</v>
      </c>
      <c r="AB228" s="1" t="s">
        <v>94</v>
      </c>
      <c r="AC228" s="1" t="s">
        <v>48</v>
      </c>
      <c r="AD228" s="1" t="s">
        <v>34</v>
      </c>
      <c r="AE228" s="1" t="s">
        <v>35</v>
      </c>
      <c r="AF228" s="5">
        <f t="shared" si="18"/>
        <v>45934</v>
      </c>
      <c r="AG228" s="5">
        <f t="shared" si="19"/>
        <v>45762</v>
      </c>
      <c r="AH228" s="5" t="b">
        <f t="shared" si="20"/>
        <v>1</v>
      </c>
      <c r="AI228" s="5" t="b">
        <f t="shared" si="21"/>
        <v>1</v>
      </c>
      <c r="AJ228" t="str">
        <f t="shared" si="22"/>
        <v>Invalid: Ship before Order</v>
      </c>
      <c r="AK228" t="e">
        <f t="shared" si="23"/>
        <v>#NUM!</v>
      </c>
    </row>
    <row r="229" spans="1:37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  <c r="V229" s="1" t="s">
        <v>72</v>
      </c>
      <c r="W229" s="1" t="s">
        <v>41</v>
      </c>
      <c r="X229" s="1" t="s">
        <v>73</v>
      </c>
      <c r="Y229" s="1" t="s">
        <v>249</v>
      </c>
      <c r="Z229" s="1" t="s">
        <v>250</v>
      </c>
      <c r="AA229" s="1" t="s">
        <v>30</v>
      </c>
      <c r="AB229" s="1" t="s">
        <v>198</v>
      </c>
      <c r="AC229" s="1" t="s">
        <v>56</v>
      </c>
      <c r="AD229" s="1" t="s">
        <v>34</v>
      </c>
      <c r="AE229" s="1" t="s">
        <v>35</v>
      </c>
      <c r="AF229" s="5">
        <f t="shared" si="18"/>
        <v>45478</v>
      </c>
      <c r="AG229" s="5">
        <f t="shared" si="19"/>
        <v>45485</v>
      </c>
      <c r="AH229" s="5" t="b">
        <f t="shared" si="20"/>
        <v>1</v>
      </c>
      <c r="AI229" s="5" t="b">
        <f t="shared" si="21"/>
        <v>1</v>
      </c>
      <c r="AJ229" t="str">
        <f t="shared" si="22"/>
        <v>OK</v>
      </c>
      <c r="AK229">
        <f t="shared" si="23"/>
        <v>7</v>
      </c>
    </row>
    <row r="230" spans="1:37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  <c r="V230" s="1" t="s">
        <v>25</v>
      </c>
      <c r="W230" s="1" t="s">
        <v>41</v>
      </c>
      <c r="X230" s="1" t="s">
        <v>62</v>
      </c>
      <c r="Y230" s="1" t="s">
        <v>63</v>
      </c>
      <c r="Z230" s="1" t="s">
        <v>64</v>
      </c>
      <c r="AA230" s="1" t="s">
        <v>30</v>
      </c>
      <c r="AB230" s="1" t="s">
        <v>109</v>
      </c>
      <c r="AC230" s="1" t="s">
        <v>33</v>
      </c>
      <c r="AD230" s="1" t="s">
        <v>34</v>
      </c>
      <c r="AE230" s="1" t="s">
        <v>35</v>
      </c>
      <c r="AF230" s="5" t="e">
        <f t="shared" si="18"/>
        <v>#N/A</v>
      </c>
      <c r="AG230" s="5">
        <f t="shared" si="19"/>
        <v>45410</v>
      </c>
      <c r="AH230" s="5" t="b">
        <f t="shared" si="20"/>
        <v>0</v>
      </c>
      <c r="AI230" s="5" t="b">
        <f t="shared" si="21"/>
        <v>1</v>
      </c>
      <c r="AJ230" t="e">
        <f t="shared" si="22"/>
        <v>#N/A</v>
      </c>
      <c r="AK230" t="e">
        <f t="shared" si="23"/>
        <v>#N/A</v>
      </c>
    </row>
    <row r="231" spans="1:37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  <c r="V231" s="1" t="s">
        <v>180</v>
      </c>
      <c r="W231" s="1" t="s">
        <v>26</v>
      </c>
      <c r="X231" s="1" t="s">
        <v>62</v>
      </c>
      <c r="Y231" s="1" t="s">
        <v>63</v>
      </c>
      <c r="Z231" s="1" t="s">
        <v>64</v>
      </c>
      <c r="AA231" s="1" t="s">
        <v>45</v>
      </c>
      <c r="AB231" s="1" t="s">
        <v>204</v>
      </c>
      <c r="AC231" s="1" t="s">
        <v>56</v>
      </c>
      <c r="AD231" s="1" t="s">
        <v>124</v>
      </c>
      <c r="AE231" s="1" t="s">
        <v>125</v>
      </c>
      <c r="AF231" s="5">
        <f t="shared" si="18"/>
        <v>45836</v>
      </c>
      <c r="AG231" s="5">
        <f t="shared" si="19"/>
        <v>45842</v>
      </c>
      <c r="AH231" s="5" t="b">
        <f t="shared" si="20"/>
        <v>1</v>
      </c>
      <c r="AI231" s="5" t="b">
        <f t="shared" si="21"/>
        <v>1</v>
      </c>
      <c r="AJ231" t="str">
        <f t="shared" si="22"/>
        <v>OK</v>
      </c>
      <c r="AK231">
        <f t="shared" si="23"/>
        <v>6</v>
      </c>
    </row>
    <row r="232" spans="1:37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  <c r="V232" s="1" t="s">
        <v>93</v>
      </c>
      <c r="W232" s="1" t="s">
        <v>41</v>
      </c>
      <c r="X232" s="1" t="s">
        <v>27</v>
      </c>
      <c r="Y232" s="1" t="s">
        <v>28</v>
      </c>
      <c r="Z232" s="1" t="s">
        <v>29</v>
      </c>
      <c r="AA232" s="1" t="s">
        <v>30</v>
      </c>
      <c r="AB232" s="1" t="s">
        <v>31</v>
      </c>
      <c r="AC232" s="1" t="s">
        <v>67</v>
      </c>
      <c r="AD232" s="1" t="s">
        <v>34</v>
      </c>
      <c r="AE232" s="1" t="s">
        <v>35</v>
      </c>
      <c r="AF232" s="5" t="e">
        <f t="shared" si="18"/>
        <v>#N/A</v>
      </c>
      <c r="AG232" s="5">
        <f t="shared" si="19"/>
        <v>45357</v>
      </c>
      <c r="AH232" s="5" t="b">
        <f t="shared" si="20"/>
        <v>0</v>
      </c>
      <c r="AI232" s="5" t="b">
        <f t="shared" si="21"/>
        <v>1</v>
      </c>
      <c r="AJ232" t="e">
        <f t="shared" si="22"/>
        <v>#N/A</v>
      </c>
      <c r="AK232" t="e">
        <f t="shared" si="23"/>
        <v>#N/A</v>
      </c>
    </row>
    <row r="233" spans="1:37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  <c r="V233" s="1" t="s">
        <v>72</v>
      </c>
      <c r="W233" s="1" t="s">
        <v>108</v>
      </c>
      <c r="X233" s="1" t="s">
        <v>27</v>
      </c>
      <c r="Y233" s="1" t="s">
        <v>28</v>
      </c>
      <c r="Z233" s="1" t="s">
        <v>29</v>
      </c>
      <c r="AA233" s="1" t="s">
        <v>30</v>
      </c>
      <c r="AB233" s="1" t="s">
        <v>109</v>
      </c>
      <c r="AC233" s="1" t="s">
        <v>56</v>
      </c>
      <c r="AD233" s="1" t="s">
        <v>124</v>
      </c>
      <c r="AE233" s="1" t="s">
        <v>78</v>
      </c>
      <c r="AF233" s="5">
        <f t="shared" si="18"/>
        <v>45414</v>
      </c>
      <c r="AG233" s="5">
        <f t="shared" si="19"/>
        <v>45414</v>
      </c>
      <c r="AH233" s="5" t="b">
        <f t="shared" si="20"/>
        <v>1</v>
      </c>
      <c r="AI233" s="5" t="b">
        <f t="shared" si="21"/>
        <v>1</v>
      </c>
      <c r="AJ233" t="str">
        <f t="shared" si="22"/>
        <v>OK</v>
      </c>
      <c r="AK233">
        <f t="shared" si="23"/>
        <v>0</v>
      </c>
    </row>
    <row r="234" spans="1:37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  <c r="V234" s="1" t="s">
        <v>148</v>
      </c>
      <c r="W234" s="1" t="s">
        <v>26</v>
      </c>
      <c r="X234" s="1" t="s">
        <v>62</v>
      </c>
      <c r="Y234" s="1" t="s">
        <v>100</v>
      </c>
      <c r="Z234" s="1" t="s">
        <v>101</v>
      </c>
      <c r="AA234" s="1" t="s">
        <v>86</v>
      </c>
      <c r="AB234" s="1" t="s">
        <v>223</v>
      </c>
      <c r="AC234" s="1" t="s">
        <v>67</v>
      </c>
      <c r="AD234" s="1" t="s">
        <v>34</v>
      </c>
      <c r="AE234" s="1" t="s">
        <v>35</v>
      </c>
      <c r="AF234" s="5">
        <f t="shared" si="18"/>
        <v>45812</v>
      </c>
      <c r="AG234" s="5">
        <f t="shared" si="19"/>
        <v>45818</v>
      </c>
      <c r="AH234" s="5" t="b">
        <f t="shared" si="20"/>
        <v>1</v>
      </c>
      <c r="AI234" s="5" t="b">
        <f t="shared" si="21"/>
        <v>1</v>
      </c>
      <c r="AJ234" t="str">
        <f t="shared" si="22"/>
        <v>OK</v>
      </c>
      <c r="AK234">
        <f t="shared" si="23"/>
        <v>6</v>
      </c>
    </row>
    <row r="235" spans="1:37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  <c r="V235" s="1" t="s">
        <v>83</v>
      </c>
      <c r="W235" s="1" t="s">
        <v>108</v>
      </c>
      <c r="X235" s="1" t="s">
        <v>62</v>
      </c>
      <c r="Y235" s="1" t="s">
        <v>229</v>
      </c>
      <c r="Z235" s="1" t="s">
        <v>230</v>
      </c>
      <c r="AA235" s="1" t="s">
        <v>45</v>
      </c>
      <c r="AB235" s="1" t="s">
        <v>204</v>
      </c>
      <c r="AC235" s="1" t="s">
        <v>4119</v>
      </c>
      <c r="AD235" s="1" t="s">
        <v>34</v>
      </c>
      <c r="AE235" s="1" t="s">
        <v>35</v>
      </c>
      <c r="AF235" s="5" t="e">
        <f t="shared" si="18"/>
        <v>#N/A</v>
      </c>
      <c r="AG235" s="5">
        <f t="shared" si="19"/>
        <v>45579</v>
      </c>
      <c r="AH235" s="5" t="b">
        <f t="shared" si="20"/>
        <v>0</v>
      </c>
      <c r="AI235" s="5" t="b">
        <f t="shared" si="21"/>
        <v>1</v>
      </c>
      <c r="AJ235" t="e">
        <f t="shared" si="22"/>
        <v>#N/A</v>
      </c>
      <c r="AK235" t="e">
        <f t="shared" si="23"/>
        <v>#N/A</v>
      </c>
    </row>
    <row r="236" spans="1:37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  <c r="V236" s="1" t="s">
        <v>366</v>
      </c>
      <c r="W236" s="1" t="s">
        <v>115</v>
      </c>
      <c r="X236" s="1" t="s">
        <v>27</v>
      </c>
      <c r="Y236" s="1" t="s">
        <v>506</v>
      </c>
      <c r="Z236" s="1" t="s">
        <v>507</v>
      </c>
      <c r="AA236" s="1" t="s">
        <v>45</v>
      </c>
      <c r="AB236" s="1" t="s">
        <v>65</v>
      </c>
      <c r="AC236" s="1" t="s">
        <v>56</v>
      </c>
      <c r="AD236" s="1" t="s">
        <v>34</v>
      </c>
      <c r="AE236" s="1" t="s">
        <v>35</v>
      </c>
      <c r="AF236" s="5">
        <f t="shared" si="18"/>
        <v>45537</v>
      </c>
      <c r="AG236" s="5">
        <f t="shared" si="19"/>
        <v>45538</v>
      </c>
      <c r="AH236" s="5" t="b">
        <f t="shared" si="20"/>
        <v>1</v>
      </c>
      <c r="AI236" s="5" t="b">
        <f t="shared" si="21"/>
        <v>1</v>
      </c>
      <c r="AJ236" t="str">
        <f t="shared" si="22"/>
        <v>OK</v>
      </c>
      <c r="AK236">
        <f t="shared" si="23"/>
        <v>1</v>
      </c>
    </row>
    <row r="237" spans="1:37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  <c r="V237" s="1" t="s">
        <v>148</v>
      </c>
      <c r="W237" s="1" t="s">
        <v>41</v>
      </c>
      <c r="X237" s="1" t="s">
        <v>73</v>
      </c>
      <c r="Y237" s="1" t="s">
        <v>28</v>
      </c>
      <c r="Z237" s="1" t="s">
        <v>135</v>
      </c>
      <c r="AA237" s="1" t="s">
        <v>30</v>
      </c>
      <c r="AB237" s="1" t="s">
        <v>156</v>
      </c>
      <c r="AC237" s="1" t="s">
        <v>67</v>
      </c>
      <c r="AD237" s="1" t="s">
        <v>34</v>
      </c>
      <c r="AE237" s="1" t="s">
        <v>35</v>
      </c>
      <c r="AF237" s="5">
        <f t="shared" si="18"/>
        <v>45598</v>
      </c>
      <c r="AG237" s="5">
        <f t="shared" si="19"/>
        <v>45599</v>
      </c>
      <c r="AH237" s="5" t="b">
        <f t="shared" si="20"/>
        <v>1</v>
      </c>
      <c r="AI237" s="5" t="b">
        <f t="shared" si="21"/>
        <v>1</v>
      </c>
      <c r="AJ237" t="str">
        <f t="shared" si="22"/>
        <v>OK</v>
      </c>
      <c r="AK237">
        <f t="shared" si="23"/>
        <v>1</v>
      </c>
    </row>
    <row r="238" spans="1:37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  <c r="V238" s="1" t="s">
        <v>142</v>
      </c>
      <c r="W238" s="1" t="s">
        <v>108</v>
      </c>
      <c r="X238" s="1" t="s">
        <v>27</v>
      </c>
      <c r="Y238" s="1" t="s">
        <v>174</v>
      </c>
      <c r="Z238" s="1" t="s">
        <v>175</v>
      </c>
      <c r="AA238" s="1" t="s">
        <v>45</v>
      </c>
      <c r="AB238" s="1" t="s">
        <v>204</v>
      </c>
      <c r="AC238" s="1" t="s">
        <v>56</v>
      </c>
      <c r="AD238" s="1" t="s">
        <v>34</v>
      </c>
      <c r="AE238" s="1" t="s">
        <v>35</v>
      </c>
      <c r="AF238" s="5">
        <f t="shared" si="18"/>
        <v>45579</v>
      </c>
      <c r="AG238" s="5">
        <f t="shared" si="19"/>
        <v>45586</v>
      </c>
      <c r="AH238" s="5" t="b">
        <f t="shared" si="20"/>
        <v>1</v>
      </c>
      <c r="AI238" s="5" t="b">
        <f t="shared" si="21"/>
        <v>1</v>
      </c>
      <c r="AJ238" t="str">
        <f t="shared" si="22"/>
        <v>OK</v>
      </c>
      <c r="AK238">
        <f t="shared" si="23"/>
        <v>7</v>
      </c>
    </row>
    <row r="239" spans="1:37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  <c r="V239" s="1" t="s">
        <v>40</v>
      </c>
      <c r="W239" s="1" t="s">
        <v>26</v>
      </c>
      <c r="X239" s="1" t="s">
        <v>27</v>
      </c>
      <c r="Y239" s="1" t="s">
        <v>323</v>
      </c>
      <c r="Z239" s="1" t="s">
        <v>324</v>
      </c>
      <c r="AA239" s="1" t="s">
        <v>86</v>
      </c>
      <c r="AB239" s="1" t="s">
        <v>94</v>
      </c>
      <c r="AC239" s="1" t="s">
        <v>67</v>
      </c>
      <c r="AD239" s="1" t="s">
        <v>34</v>
      </c>
      <c r="AE239" s="1" t="s">
        <v>35</v>
      </c>
      <c r="AF239" s="5">
        <f t="shared" si="18"/>
        <v>45531</v>
      </c>
      <c r="AG239" s="5">
        <f t="shared" si="19"/>
        <v>45531</v>
      </c>
      <c r="AH239" s="5" t="b">
        <f t="shared" si="20"/>
        <v>1</v>
      </c>
      <c r="AI239" s="5" t="b">
        <f t="shared" si="21"/>
        <v>1</v>
      </c>
      <c r="AJ239" t="str">
        <f t="shared" si="22"/>
        <v>OK</v>
      </c>
      <c r="AK239">
        <f t="shared" si="23"/>
        <v>0</v>
      </c>
    </row>
    <row r="240" spans="1:37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  <c r="V240" s="1" t="s">
        <v>61</v>
      </c>
      <c r="W240" s="1" t="s">
        <v>26</v>
      </c>
      <c r="X240" s="1" t="s">
        <v>62</v>
      </c>
      <c r="Y240" s="1" t="s">
        <v>100</v>
      </c>
      <c r="Z240" s="1" t="s">
        <v>101</v>
      </c>
      <c r="AA240" s="1" t="s">
        <v>30</v>
      </c>
      <c r="AB240" s="1" t="s">
        <v>156</v>
      </c>
      <c r="AC240" s="1" t="s">
        <v>56</v>
      </c>
      <c r="AD240" s="1" t="s">
        <v>34</v>
      </c>
      <c r="AE240" s="1" t="s">
        <v>35</v>
      </c>
      <c r="AF240" s="5">
        <f t="shared" si="18"/>
        <v>45303</v>
      </c>
      <c r="AG240" s="5">
        <f t="shared" si="19"/>
        <v>45308</v>
      </c>
      <c r="AH240" s="5" t="b">
        <f t="shared" si="20"/>
        <v>1</v>
      </c>
      <c r="AI240" s="5" t="b">
        <f t="shared" si="21"/>
        <v>1</v>
      </c>
      <c r="AJ240" t="str">
        <f t="shared" si="22"/>
        <v>OK</v>
      </c>
      <c r="AK240">
        <f t="shared" si="23"/>
        <v>5</v>
      </c>
    </row>
    <row r="241" spans="1:37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  <c r="V241" s="1" t="s">
        <v>366</v>
      </c>
      <c r="W241" s="1" t="s">
        <v>108</v>
      </c>
      <c r="X241" s="1" t="s">
        <v>62</v>
      </c>
      <c r="Y241" s="1" t="s">
        <v>229</v>
      </c>
      <c r="Z241" s="1" t="s">
        <v>230</v>
      </c>
      <c r="AA241" s="1" t="s">
        <v>86</v>
      </c>
      <c r="AB241" s="1" t="s">
        <v>382</v>
      </c>
      <c r="AC241" s="1" t="s">
        <v>56</v>
      </c>
      <c r="AD241" s="1" t="s">
        <v>34</v>
      </c>
      <c r="AE241" s="1" t="s">
        <v>35</v>
      </c>
      <c r="AF241" s="5" t="e">
        <f t="shared" si="18"/>
        <v>#N/A</v>
      </c>
      <c r="AG241" s="5">
        <f t="shared" si="19"/>
        <v>45556</v>
      </c>
      <c r="AH241" s="5" t="b">
        <f t="shared" si="20"/>
        <v>0</v>
      </c>
      <c r="AI241" s="5" t="b">
        <f t="shared" si="21"/>
        <v>1</v>
      </c>
      <c r="AJ241" t="e">
        <f t="shared" si="22"/>
        <v>#N/A</v>
      </c>
      <c r="AK241" t="e">
        <f t="shared" si="23"/>
        <v>#N/A</v>
      </c>
    </row>
    <row r="242" spans="1:37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  <c r="V242" s="1" t="s">
        <v>162</v>
      </c>
      <c r="W242" s="1" t="s">
        <v>108</v>
      </c>
      <c r="X242" s="1" t="s">
        <v>62</v>
      </c>
      <c r="Y242" s="1" t="s">
        <v>63</v>
      </c>
      <c r="Z242" s="1" t="s">
        <v>64</v>
      </c>
      <c r="AA242" s="1" t="s">
        <v>30</v>
      </c>
      <c r="AB242" s="1" t="s">
        <v>198</v>
      </c>
      <c r="AC242" s="1" t="s">
        <v>56</v>
      </c>
      <c r="AD242" s="1" t="s">
        <v>34</v>
      </c>
      <c r="AE242" s="1" t="s">
        <v>35</v>
      </c>
      <c r="AF242" s="5">
        <f t="shared" si="18"/>
        <v>45643</v>
      </c>
      <c r="AG242" s="5" t="e">
        <f t="shared" si="19"/>
        <v>#N/A</v>
      </c>
      <c r="AH242" s="5" t="b">
        <f t="shared" si="20"/>
        <v>1</v>
      </c>
      <c r="AI242" s="5" t="b">
        <f t="shared" si="21"/>
        <v>0</v>
      </c>
      <c r="AJ242" t="e">
        <f t="shared" si="22"/>
        <v>#N/A</v>
      </c>
      <c r="AK242" t="e">
        <f t="shared" si="23"/>
        <v>#N/A</v>
      </c>
    </row>
    <row r="243" spans="1:37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  <c r="V243" s="1" t="s">
        <v>168</v>
      </c>
      <c r="W243" s="1" t="s">
        <v>108</v>
      </c>
      <c r="X243" s="1" t="s">
        <v>27</v>
      </c>
      <c r="Y243" s="1" t="s">
        <v>323</v>
      </c>
      <c r="Z243" s="1" t="s">
        <v>324</v>
      </c>
      <c r="AA243" s="1" t="s">
        <v>30</v>
      </c>
      <c r="AB243" s="1" t="s">
        <v>156</v>
      </c>
      <c r="AC243" s="1" t="s">
        <v>67</v>
      </c>
      <c r="AD243" s="1" t="s">
        <v>137</v>
      </c>
      <c r="AE243" s="1" t="s">
        <v>125</v>
      </c>
      <c r="AF243" s="5">
        <f t="shared" si="18"/>
        <v>45844</v>
      </c>
      <c r="AG243" s="5">
        <f t="shared" si="19"/>
        <v>45815</v>
      </c>
      <c r="AH243" s="5" t="b">
        <f t="shared" si="20"/>
        <v>1</v>
      </c>
      <c r="AI243" s="5" t="b">
        <f t="shared" si="21"/>
        <v>1</v>
      </c>
      <c r="AJ243" t="str">
        <f t="shared" si="22"/>
        <v>Invalid: Ship before Order</v>
      </c>
      <c r="AK243" t="e">
        <f t="shared" si="23"/>
        <v>#NUM!</v>
      </c>
    </row>
    <row r="244" spans="1:37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  <c r="V244" s="1" t="s">
        <v>61</v>
      </c>
      <c r="W244" s="1" t="s">
        <v>26</v>
      </c>
      <c r="X244" s="1" t="s">
        <v>27</v>
      </c>
      <c r="Y244" s="1" t="s">
        <v>174</v>
      </c>
      <c r="Z244" s="1" t="s">
        <v>175</v>
      </c>
      <c r="AA244" s="1" t="s">
        <v>30</v>
      </c>
      <c r="AB244" s="1" t="s">
        <v>54</v>
      </c>
      <c r="AC244" s="1" t="s">
        <v>33</v>
      </c>
      <c r="AD244" s="1" t="s">
        <v>34</v>
      </c>
      <c r="AE244" s="1" t="s">
        <v>35</v>
      </c>
      <c r="AF244" s="5">
        <f t="shared" si="18"/>
        <v>45695</v>
      </c>
      <c r="AG244" s="5">
        <f t="shared" si="19"/>
        <v>45695</v>
      </c>
      <c r="AH244" s="5" t="b">
        <f t="shared" si="20"/>
        <v>1</v>
      </c>
      <c r="AI244" s="5" t="b">
        <f t="shared" si="21"/>
        <v>1</v>
      </c>
      <c r="AJ244" t="str">
        <f t="shared" si="22"/>
        <v>OK</v>
      </c>
      <c r="AK244">
        <f t="shared" si="23"/>
        <v>0</v>
      </c>
    </row>
    <row r="245" spans="1:37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  <c r="V245" s="1" t="s">
        <v>168</v>
      </c>
      <c r="W245" s="1" t="s">
        <v>41</v>
      </c>
      <c r="X245" s="1" t="s">
        <v>4119</v>
      </c>
      <c r="Y245" s="1" t="s">
        <v>84</v>
      </c>
      <c r="Z245" s="1" t="s">
        <v>85</v>
      </c>
      <c r="AA245" s="1" t="s">
        <v>86</v>
      </c>
      <c r="AB245" s="1" t="s">
        <v>87</v>
      </c>
      <c r="AC245" s="1" t="s">
        <v>56</v>
      </c>
      <c r="AD245" s="1" t="s">
        <v>34</v>
      </c>
      <c r="AE245" s="1" t="s">
        <v>35</v>
      </c>
      <c r="AF245" s="5" t="e">
        <f t="shared" si="18"/>
        <v>#N/A</v>
      </c>
      <c r="AG245" s="5">
        <f t="shared" si="19"/>
        <v>45871</v>
      </c>
      <c r="AH245" s="5" t="b">
        <f t="shared" si="20"/>
        <v>0</v>
      </c>
      <c r="AI245" s="5" t="b">
        <f t="shared" si="21"/>
        <v>1</v>
      </c>
      <c r="AJ245" t="e">
        <f t="shared" si="22"/>
        <v>#N/A</v>
      </c>
      <c r="AK245" t="e">
        <f t="shared" si="23"/>
        <v>#N/A</v>
      </c>
    </row>
    <row r="246" spans="1:37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  <c r="V246" s="1" t="s">
        <v>93</v>
      </c>
      <c r="W246" s="1" t="s">
        <v>26</v>
      </c>
      <c r="X246" s="1" t="s">
        <v>62</v>
      </c>
      <c r="Y246" s="1" t="s">
        <v>63</v>
      </c>
      <c r="Z246" s="1" t="s">
        <v>64</v>
      </c>
      <c r="AA246" s="1" t="s">
        <v>45</v>
      </c>
      <c r="AB246" s="1" t="s">
        <v>204</v>
      </c>
      <c r="AC246" s="1" t="s">
        <v>48</v>
      </c>
      <c r="AD246" s="1" t="s">
        <v>34</v>
      </c>
      <c r="AE246" s="1" t="s">
        <v>35</v>
      </c>
      <c r="AF246" s="5">
        <f t="shared" si="18"/>
        <v>45527</v>
      </c>
      <c r="AG246" s="5">
        <f t="shared" si="19"/>
        <v>45528</v>
      </c>
      <c r="AH246" s="5" t="b">
        <f t="shared" si="20"/>
        <v>1</v>
      </c>
      <c r="AI246" s="5" t="b">
        <f t="shared" si="21"/>
        <v>1</v>
      </c>
      <c r="AJ246" t="str">
        <f t="shared" si="22"/>
        <v>OK</v>
      </c>
      <c r="AK246">
        <f t="shared" si="23"/>
        <v>1</v>
      </c>
    </row>
    <row r="247" spans="1:37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  <c r="V247" s="1" t="s">
        <v>93</v>
      </c>
      <c r="W247" s="1" t="s">
        <v>115</v>
      </c>
      <c r="X247" s="1" t="s">
        <v>62</v>
      </c>
      <c r="Y247" s="1" t="s">
        <v>242</v>
      </c>
      <c r="Z247" s="1" t="s">
        <v>243</v>
      </c>
      <c r="AA247" s="1" t="s">
        <v>45</v>
      </c>
      <c r="AB247" s="1" t="s">
        <v>76</v>
      </c>
      <c r="AC247" s="1" t="s">
        <v>33</v>
      </c>
      <c r="AD247" s="1" t="s">
        <v>34</v>
      </c>
      <c r="AE247" s="1" t="s">
        <v>35</v>
      </c>
      <c r="AF247" s="5">
        <f t="shared" si="18"/>
        <v>45583</v>
      </c>
      <c r="AG247" s="5" t="e">
        <f t="shared" si="19"/>
        <v>#N/A</v>
      </c>
      <c r="AH247" s="5" t="b">
        <f t="shared" si="20"/>
        <v>1</v>
      </c>
      <c r="AI247" s="5" t="b">
        <f t="shared" si="21"/>
        <v>0</v>
      </c>
      <c r="AJ247" t="e">
        <f t="shared" si="22"/>
        <v>#N/A</v>
      </c>
      <c r="AK247" t="e">
        <f t="shared" si="23"/>
        <v>#N/A</v>
      </c>
    </row>
    <row r="248" spans="1:37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  <c r="V248" s="1" t="s">
        <v>72</v>
      </c>
      <c r="W248" s="1" t="s">
        <v>108</v>
      </c>
      <c r="X248" s="1" t="s">
        <v>27</v>
      </c>
      <c r="Y248" s="1" t="s">
        <v>154</v>
      </c>
      <c r="Z248" s="1" t="s">
        <v>155</v>
      </c>
      <c r="AA248" s="1" t="s">
        <v>86</v>
      </c>
      <c r="AB248" s="1" t="s">
        <v>382</v>
      </c>
      <c r="AC248" s="1" t="s">
        <v>48</v>
      </c>
      <c r="AD248" s="1" t="s">
        <v>124</v>
      </c>
      <c r="AE248" s="1" t="s">
        <v>78</v>
      </c>
      <c r="AF248" s="5">
        <f t="shared" si="18"/>
        <v>45416</v>
      </c>
      <c r="AG248" s="5">
        <f t="shared" si="19"/>
        <v>45421</v>
      </c>
      <c r="AH248" s="5" t="b">
        <f t="shared" si="20"/>
        <v>1</v>
      </c>
      <c r="AI248" s="5" t="b">
        <f t="shared" si="21"/>
        <v>1</v>
      </c>
      <c r="AJ248" t="str">
        <f t="shared" si="22"/>
        <v>OK</v>
      </c>
      <c r="AK248">
        <f t="shared" si="23"/>
        <v>5</v>
      </c>
    </row>
    <row r="249" spans="1:37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  <c r="V249" s="1" t="s">
        <v>148</v>
      </c>
      <c r="W249" s="1" t="s">
        <v>108</v>
      </c>
      <c r="X249" s="1" t="s">
        <v>27</v>
      </c>
      <c r="Y249" s="1" t="s">
        <v>28</v>
      </c>
      <c r="Z249" s="1" t="s">
        <v>29</v>
      </c>
      <c r="AA249" s="1" t="s">
        <v>86</v>
      </c>
      <c r="AB249" s="1" t="s">
        <v>87</v>
      </c>
      <c r="AC249" s="1" t="s">
        <v>33</v>
      </c>
      <c r="AD249" s="1" t="s">
        <v>34</v>
      </c>
      <c r="AE249" s="1" t="s">
        <v>35</v>
      </c>
      <c r="AF249" s="5">
        <f t="shared" si="18"/>
        <v>45498</v>
      </c>
      <c r="AG249" s="5">
        <f t="shared" si="19"/>
        <v>45505</v>
      </c>
      <c r="AH249" s="5" t="b">
        <f t="shared" si="20"/>
        <v>1</v>
      </c>
      <c r="AI249" s="5" t="b">
        <f t="shared" si="21"/>
        <v>1</v>
      </c>
      <c r="AJ249" t="str">
        <f t="shared" si="22"/>
        <v>OK</v>
      </c>
      <c r="AK249">
        <f t="shared" si="23"/>
        <v>7</v>
      </c>
    </row>
    <row r="250" spans="1:37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  <c r="V250" s="1" t="s">
        <v>180</v>
      </c>
      <c r="W250" s="1" t="s">
        <v>115</v>
      </c>
      <c r="X250" s="1" t="s">
        <v>42</v>
      </c>
      <c r="Y250" s="1" t="s">
        <v>43</v>
      </c>
      <c r="Z250" s="1" t="s">
        <v>44</v>
      </c>
      <c r="AA250" s="1" t="s">
        <v>30</v>
      </c>
      <c r="AB250" s="1" t="s">
        <v>109</v>
      </c>
      <c r="AC250" s="1" t="s">
        <v>33</v>
      </c>
      <c r="AD250" s="1" t="s">
        <v>34</v>
      </c>
      <c r="AE250" s="1" t="s">
        <v>35</v>
      </c>
      <c r="AF250" s="5">
        <f t="shared" si="18"/>
        <v>45445</v>
      </c>
      <c r="AG250" s="5">
        <f t="shared" si="19"/>
        <v>45479</v>
      </c>
      <c r="AH250" s="5" t="b">
        <f t="shared" si="20"/>
        <v>1</v>
      </c>
      <c r="AI250" s="5" t="b">
        <f t="shared" si="21"/>
        <v>1</v>
      </c>
      <c r="AJ250" t="str">
        <f t="shared" si="22"/>
        <v>OK</v>
      </c>
      <c r="AK250">
        <f t="shared" si="23"/>
        <v>34</v>
      </c>
    </row>
    <row r="251" spans="1:37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  <c r="V251" s="1" t="s">
        <v>40</v>
      </c>
      <c r="W251" s="1" t="s">
        <v>108</v>
      </c>
      <c r="X251" s="1" t="s">
        <v>27</v>
      </c>
      <c r="Y251" s="1" t="s">
        <v>28</v>
      </c>
      <c r="Z251" s="1" t="s">
        <v>29</v>
      </c>
      <c r="AA251" s="1" t="s">
        <v>45</v>
      </c>
      <c r="AB251" s="1" t="s">
        <v>65</v>
      </c>
      <c r="AC251" s="1" t="s">
        <v>56</v>
      </c>
      <c r="AD251" s="1" t="s">
        <v>34</v>
      </c>
      <c r="AE251" s="1" t="s">
        <v>35</v>
      </c>
      <c r="AF251" s="5">
        <f t="shared" si="18"/>
        <v>45870</v>
      </c>
      <c r="AG251" s="5">
        <f t="shared" si="19"/>
        <v>45871</v>
      </c>
      <c r="AH251" s="5" t="b">
        <f t="shared" si="20"/>
        <v>1</v>
      </c>
      <c r="AI251" s="5" t="b">
        <f t="shared" si="21"/>
        <v>1</v>
      </c>
      <c r="AJ251" t="str">
        <f t="shared" si="22"/>
        <v>OK</v>
      </c>
      <c r="AK251">
        <f t="shared" si="23"/>
        <v>1</v>
      </c>
    </row>
    <row r="252" spans="1:37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  <c r="V252" s="1" t="s">
        <v>61</v>
      </c>
      <c r="W252" s="1" t="s">
        <v>41</v>
      </c>
      <c r="X252" s="1" t="s">
        <v>42</v>
      </c>
      <c r="Y252" s="1" t="s">
        <v>121</v>
      </c>
      <c r="Z252" s="1" t="s">
        <v>122</v>
      </c>
      <c r="AA252" s="1" t="s">
        <v>45</v>
      </c>
      <c r="AB252" s="1" t="s">
        <v>65</v>
      </c>
      <c r="AC252" s="1" t="s">
        <v>67</v>
      </c>
      <c r="AD252" s="1" t="s">
        <v>137</v>
      </c>
      <c r="AE252" s="1" t="s">
        <v>125</v>
      </c>
      <c r="AF252" s="5">
        <f t="shared" si="18"/>
        <v>45343</v>
      </c>
      <c r="AG252" s="5">
        <f t="shared" si="19"/>
        <v>45349</v>
      </c>
      <c r="AH252" s="5" t="b">
        <f t="shared" si="20"/>
        <v>1</v>
      </c>
      <c r="AI252" s="5" t="b">
        <f t="shared" si="21"/>
        <v>1</v>
      </c>
      <c r="AJ252" t="str">
        <f t="shared" si="22"/>
        <v>OK</v>
      </c>
      <c r="AK252">
        <f t="shared" si="23"/>
        <v>6</v>
      </c>
    </row>
    <row r="253" spans="1:37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  <c r="V253" s="1" t="s">
        <v>72</v>
      </c>
      <c r="W253" s="1" t="s">
        <v>108</v>
      </c>
      <c r="X253" s="1" t="s">
        <v>73</v>
      </c>
      <c r="Y253" s="1" t="s">
        <v>235</v>
      </c>
      <c r="Z253" s="1" t="s">
        <v>236</v>
      </c>
      <c r="AA253" s="1" t="s">
        <v>45</v>
      </c>
      <c r="AB253" s="1" t="s">
        <v>46</v>
      </c>
      <c r="AC253" s="1" t="s">
        <v>33</v>
      </c>
      <c r="AD253" s="1" t="s">
        <v>34</v>
      </c>
      <c r="AE253" s="1" t="s">
        <v>35</v>
      </c>
      <c r="AF253" s="5">
        <f t="shared" si="18"/>
        <v>45753</v>
      </c>
      <c r="AG253" s="5">
        <f t="shared" si="19"/>
        <v>45757</v>
      </c>
      <c r="AH253" s="5" t="b">
        <f t="shared" si="20"/>
        <v>1</v>
      </c>
      <c r="AI253" s="5" t="b">
        <f t="shared" si="21"/>
        <v>1</v>
      </c>
      <c r="AJ253" t="str">
        <f t="shared" si="22"/>
        <v>OK</v>
      </c>
      <c r="AK253">
        <f t="shared" si="23"/>
        <v>4</v>
      </c>
    </row>
    <row r="254" spans="1:37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  <c r="V254" s="1" t="s">
        <v>61</v>
      </c>
      <c r="W254" s="1" t="s">
        <v>108</v>
      </c>
      <c r="X254" s="1" t="s">
        <v>27</v>
      </c>
      <c r="Y254" s="1" t="s">
        <v>323</v>
      </c>
      <c r="Z254" s="1" t="s">
        <v>324</v>
      </c>
      <c r="AA254" s="1" t="s">
        <v>30</v>
      </c>
      <c r="AB254" s="1" t="s">
        <v>156</v>
      </c>
      <c r="AC254" s="1" t="s">
        <v>56</v>
      </c>
      <c r="AD254" s="1" t="s">
        <v>137</v>
      </c>
      <c r="AE254" s="1" t="s">
        <v>125</v>
      </c>
      <c r="AF254" s="5" t="e">
        <f t="shared" si="18"/>
        <v>#N/A</v>
      </c>
      <c r="AG254" s="5">
        <f t="shared" si="19"/>
        <v>45836</v>
      </c>
      <c r="AH254" s="5" t="b">
        <f t="shared" si="20"/>
        <v>0</v>
      </c>
      <c r="AI254" s="5" t="b">
        <f t="shared" si="21"/>
        <v>1</v>
      </c>
      <c r="AJ254" t="e">
        <f t="shared" si="22"/>
        <v>#N/A</v>
      </c>
      <c r="AK254" t="e">
        <f t="shared" si="23"/>
        <v>#N/A</v>
      </c>
    </row>
    <row r="255" spans="1:37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  <c r="V255" s="1" t="s">
        <v>142</v>
      </c>
      <c r="W255" s="1" t="s">
        <v>41</v>
      </c>
      <c r="X255" s="1" t="s">
        <v>27</v>
      </c>
      <c r="Y255" s="1" t="s">
        <v>28</v>
      </c>
      <c r="Z255" s="1" t="s">
        <v>29</v>
      </c>
      <c r="AA255" s="1" t="s">
        <v>86</v>
      </c>
      <c r="AB255" s="1" t="s">
        <v>223</v>
      </c>
      <c r="AC255" s="1" t="s">
        <v>48</v>
      </c>
      <c r="AD255" s="1" t="s">
        <v>124</v>
      </c>
      <c r="AE255" s="1" t="s">
        <v>78</v>
      </c>
      <c r="AF255" s="5">
        <f t="shared" si="18"/>
        <v>45547</v>
      </c>
      <c r="AG255" s="5">
        <f t="shared" si="19"/>
        <v>45548</v>
      </c>
      <c r="AH255" s="5" t="b">
        <f t="shared" si="20"/>
        <v>1</v>
      </c>
      <c r="AI255" s="5" t="b">
        <f t="shared" si="21"/>
        <v>1</v>
      </c>
      <c r="AJ255" t="str">
        <f t="shared" si="22"/>
        <v>OK</v>
      </c>
      <c r="AK255">
        <f t="shared" si="23"/>
        <v>1</v>
      </c>
    </row>
    <row r="256" spans="1:37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  <c r="V256" s="1" t="s">
        <v>72</v>
      </c>
      <c r="W256" s="1" t="s">
        <v>26</v>
      </c>
      <c r="X256" s="1" t="s">
        <v>73</v>
      </c>
      <c r="Y256" s="1" t="s">
        <v>84</v>
      </c>
      <c r="Z256" s="1" t="s">
        <v>85</v>
      </c>
      <c r="AA256" s="1" t="s">
        <v>86</v>
      </c>
      <c r="AB256" s="1" t="s">
        <v>87</v>
      </c>
      <c r="AC256" s="1" t="s">
        <v>48</v>
      </c>
      <c r="AD256" s="1" t="s">
        <v>34</v>
      </c>
      <c r="AE256" s="1" t="s">
        <v>125</v>
      </c>
      <c r="AF256" s="5">
        <f t="shared" si="18"/>
        <v>45658</v>
      </c>
      <c r="AG256" s="5">
        <f t="shared" si="19"/>
        <v>45717</v>
      </c>
      <c r="AH256" s="5" t="b">
        <f t="shared" si="20"/>
        <v>1</v>
      </c>
      <c r="AI256" s="5" t="b">
        <f t="shared" si="21"/>
        <v>1</v>
      </c>
      <c r="AJ256" t="str">
        <f t="shared" si="22"/>
        <v>OK</v>
      </c>
      <c r="AK256">
        <f t="shared" si="23"/>
        <v>59</v>
      </c>
    </row>
    <row r="257" spans="1:37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  <c r="V257" s="1" t="s">
        <v>53</v>
      </c>
      <c r="W257" s="1" t="s">
        <v>108</v>
      </c>
      <c r="X257" s="1" t="s">
        <v>73</v>
      </c>
      <c r="Y257" s="1" t="s">
        <v>74</v>
      </c>
      <c r="Z257" s="1" t="s">
        <v>75</v>
      </c>
      <c r="AA257" s="1" t="s">
        <v>86</v>
      </c>
      <c r="AB257" s="1" t="s">
        <v>223</v>
      </c>
      <c r="AC257" s="1" t="s">
        <v>56</v>
      </c>
      <c r="AD257" s="1" t="s">
        <v>34</v>
      </c>
      <c r="AE257" s="1" t="s">
        <v>35</v>
      </c>
      <c r="AF257" s="5">
        <f t="shared" si="18"/>
        <v>45692</v>
      </c>
      <c r="AG257" s="5">
        <f t="shared" si="19"/>
        <v>45698</v>
      </c>
      <c r="AH257" s="5" t="b">
        <f t="shared" si="20"/>
        <v>1</v>
      </c>
      <c r="AI257" s="5" t="b">
        <f t="shared" si="21"/>
        <v>1</v>
      </c>
      <c r="AJ257" t="str">
        <f t="shared" si="22"/>
        <v>OK</v>
      </c>
      <c r="AK257">
        <f t="shared" si="23"/>
        <v>6</v>
      </c>
    </row>
    <row r="258" spans="1:37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  <c r="V258" s="1" t="s">
        <v>72</v>
      </c>
      <c r="W258" s="1" t="s">
        <v>26</v>
      </c>
      <c r="X258" s="1" t="s">
        <v>42</v>
      </c>
      <c r="Y258" s="1" t="s">
        <v>121</v>
      </c>
      <c r="Z258" s="1" t="s">
        <v>122</v>
      </c>
      <c r="AA258" s="1" t="s">
        <v>45</v>
      </c>
      <c r="AB258" s="1" t="s">
        <v>46</v>
      </c>
      <c r="AC258" s="1" t="s">
        <v>56</v>
      </c>
      <c r="AD258" s="1" t="s">
        <v>34</v>
      </c>
      <c r="AE258" s="1" t="s">
        <v>35</v>
      </c>
      <c r="AF258" s="5">
        <f t="shared" si="18"/>
        <v>45601</v>
      </c>
      <c r="AG258" s="5">
        <f t="shared" si="19"/>
        <v>45599</v>
      </c>
      <c r="AH258" s="5" t="b">
        <f t="shared" si="20"/>
        <v>1</v>
      </c>
      <c r="AI258" s="5" t="b">
        <f t="shared" si="21"/>
        <v>1</v>
      </c>
      <c r="AJ258" t="str">
        <f t="shared" si="22"/>
        <v>Invalid: Ship before Order</v>
      </c>
      <c r="AK258" t="e">
        <f t="shared" si="23"/>
        <v>#NUM!</v>
      </c>
    </row>
    <row r="259" spans="1:37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  <c r="V259" s="1" t="s">
        <v>210</v>
      </c>
      <c r="W259" s="1" t="s">
        <v>108</v>
      </c>
      <c r="X259" s="1" t="s">
        <v>62</v>
      </c>
      <c r="Y259" s="1" t="s">
        <v>229</v>
      </c>
      <c r="Z259" s="1" t="s">
        <v>230</v>
      </c>
      <c r="AA259" s="1" t="s">
        <v>86</v>
      </c>
      <c r="AB259" s="1" t="s">
        <v>87</v>
      </c>
      <c r="AC259" s="1" t="s">
        <v>33</v>
      </c>
      <c r="AD259" s="1" t="s">
        <v>34</v>
      </c>
      <c r="AE259" s="1" t="s">
        <v>78</v>
      </c>
      <c r="AF259" s="5">
        <f t="shared" ref="AF259:AF322" si="24">IFERROR(DATEVALUE(B259),IFERROR(DATE(VALUE(RIGHT(B259,4)),VALUE(MID(SUBSTITUTE(B259,"-","/"),6,2)),VALUE(LEFT(B259,2))),NA()))</f>
        <v>45878</v>
      </c>
      <c r="AG259" s="5">
        <f t="shared" ref="AG259:AG322" si="25">IFERROR(DATEVALUE(C259),IFERROR(DATE(VALUE(RIGHT(C259,4)),VALUE(MID(SUBSTITUTE(C259,"-","/"),6,2)),VALUE(LEFT(C259,2))),NA()))</f>
        <v>45881</v>
      </c>
      <c r="AH259" s="5" t="b">
        <f t="shared" ref="AH259:AH322" si="26">ISNUMBER(AF259)</f>
        <v>1</v>
      </c>
      <c r="AI259" s="5" t="b">
        <f t="shared" ref="AI259:AI322" si="27">ISNUMBER(AG259)</f>
        <v>1</v>
      </c>
      <c r="AJ259" t="str">
        <f t="shared" ref="AJ259:AJ322" si="28">IF(AG259&lt;AF259,"Invalid: Ship before Order","OK")</f>
        <v>OK</v>
      </c>
      <c r="AK259">
        <f t="shared" ref="AK259:AK322" si="29">DATEDIF(AF259, AG259, "D")</f>
        <v>3</v>
      </c>
    </row>
    <row r="260" spans="1:37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  <c r="V260" s="1" t="s">
        <v>168</v>
      </c>
      <c r="W260" s="1" t="s">
        <v>108</v>
      </c>
      <c r="X260" s="1" t="s">
        <v>62</v>
      </c>
      <c r="Y260" s="1" t="s">
        <v>339</v>
      </c>
      <c r="Z260" s="1" t="s">
        <v>340</v>
      </c>
      <c r="AA260" s="1" t="s">
        <v>45</v>
      </c>
      <c r="AB260" s="1" t="s">
        <v>46</v>
      </c>
      <c r="AC260" s="1" t="s">
        <v>48</v>
      </c>
      <c r="AD260" s="1" t="s">
        <v>34</v>
      </c>
      <c r="AE260" s="1" t="s">
        <v>35</v>
      </c>
      <c r="AF260" s="5">
        <f t="shared" si="24"/>
        <v>45656</v>
      </c>
      <c r="AG260" s="5">
        <f t="shared" si="25"/>
        <v>45661</v>
      </c>
      <c r="AH260" s="5" t="b">
        <f t="shared" si="26"/>
        <v>1</v>
      </c>
      <c r="AI260" s="5" t="b">
        <f t="shared" si="27"/>
        <v>1</v>
      </c>
      <c r="AJ260" t="str">
        <f t="shared" si="28"/>
        <v>OK</v>
      </c>
      <c r="AK260">
        <f t="shared" si="29"/>
        <v>5</v>
      </c>
    </row>
    <row r="261" spans="1:37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  <c r="V261" s="1" t="s">
        <v>93</v>
      </c>
      <c r="W261" s="1" t="s">
        <v>26</v>
      </c>
      <c r="X261" s="1" t="s">
        <v>62</v>
      </c>
      <c r="Y261" s="1" t="s">
        <v>339</v>
      </c>
      <c r="Z261" s="1" t="s">
        <v>340</v>
      </c>
      <c r="AA261" s="1" t="s">
        <v>86</v>
      </c>
      <c r="AB261" s="1" t="s">
        <v>382</v>
      </c>
      <c r="AC261" s="1" t="s">
        <v>67</v>
      </c>
      <c r="AD261" s="1" t="s">
        <v>34</v>
      </c>
      <c r="AE261" s="1" t="s">
        <v>35</v>
      </c>
      <c r="AF261" s="5">
        <f t="shared" si="24"/>
        <v>45464</v>
      </c>
      <c r="AG261" s="5">
        <f t="shared" si="25"/>
        <v>45472</v>
      </c>
      <c r="AH261" s="5" t="b">
        <f t="shared" si="26"/>
        <v>1</v>
      </c>
      <c r="AI261" s="5" t="b">
        <f t="shared" si="27"/>
        <v>1</v>
      </c>
      <c r="AJ261" t="str">
        <f t="shared" si="28"/>
        <v>OK</v>
      </c>
      <c r="AK261">
        <f t="shared" si="29"/>
        <v>8</v>
      </c>
    </row>
    <row r="262" spans="1:37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  <c r="V262" s="1" t="s">
        <v>107</v>
      </c>
      <c r="W262" s="1" t="s">
        <v>108</v>
      </c>
      <c r="X262" s="1" t="s">
        <v>42</v>
      </c>
      <c r="Y262" s="1" t="s">
        <v>121</v>
      </c>
      <c r="Z262" s="1" t="s">
        <v>122</v>
      </c>
      <c r="AA262" s="1" t="s">
        <v>30</v>
      </c>
      <c r="AB262" s="1" t="s">
        <v>198</v>
      </c>
      <c r="AC262" s="1" t="s">
        <v>48</v>
      </c>
      <c r="AD262" s="1" t="s">
        <v>200</v>
      </c>
      <c r="AE262" s="1" t="s">
        <v>125</v>
      </c>
      <c r="AF262" s="5">
        <f t="shared" si="24"/>
        <v>45923</v>
      </c>
      <c r="AG262" s="5">
        <f t="shared" si="25"/>
        <v>45927</v>
      </c>
      <c r="AH262" s="5" t="b">
        <f t="shared" si="26"/>
        <v>1</v>
      </c>
      <c r="AI262" s="5" t="b">
        <f t="shared" si="27"/>
        <v>1</v>
      </c>
      <c r="AJ262" t="str">
        <f t="shared" si="28"/>
        <v>OK</v>
      </c>
      <c r="AK262">
        <f t="shared" si="29"/>
        <v>4</v>
      </c>
    </row>
    <row r="263" spans="1:37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  <c r="V263" s="1" t="s">
        <v>168</v>
      </c>
      <c r="W263" s="1" t="s">
        <v>108</v>
      </c>
      <c r="X263" s="1" t="s">
        <v>27</v>
      </c>
      <c r="Y263" s="1" t="s">
        <v>28</v>
      </c>
      <c r="Z263" s="1" t="s">
        <v>29</v>
      </c>
      <c r="AA263" s="1" t="s">
        <v>30</v>
      </c>
      <c r="AB263" s="1" t="s">
        <v>109</v>
      </c>
      <c r="AC263" s="1" t="s">
        <v>67</v>
      </c>
      <c r="AD263" s="1" t="s">
        <v>200</v>
      </c>
      <c r="AE263" s="1" t="s">
        <v>78</v>
      </c>
      <c r="AF263" s="5">
        <f t="shared" si="24"/>
        <v>45826</v>
      </c>
      <c r="AG263" s="5">
        <f t="shared" si="25"/>
        <v>45832</v>
      </c>
      <c r="AH263" s="5" t="b">
        <f t="shared" si="26"/>
        <v>1</v>
      </c>
      <c r="AI263" s="5" t="b">
        <f t="shared" si="27"/>
        <v>1</v>
      </c>
      <c r="AJ263" t="str">
        <f t="shared" si="28"/>
        <v>OK</v>
      </c>
      <c r="AK263">
        <f t="shared" si="29"/>
        <v>6</v>
      </c>
    </row>
    <row r="264" spans="1:37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  <c r="V264" s="1" t="s">
        <v>61</v>
      </c>
      <c r="W264" s="1" t="s">
        <v>41</v>
      </c>
      <c r="X264" s="1" t="s">
        <v>27</v>
      </c>
      <c r="Y264" s="1" t="s">
        <v>506</v>
      </c>
      <c r="Z264" s="1" t="s">
        <v>507</v>
      </c>
      <c r="AA264" s="1" t="s">
        <v>86</v>
      </c>
      <c r="AB264" s="1" t="s">
        <v>223</v>
      </c>
      <c r="AC264" s="1" t="s">
        <v>48</v>
      </c>
      <c r="AD264" s="1" t="s">
        <v>137</v>
      </c>
      <c r="AE264" s="1" t="s">
        <v>125</v>
      </c>
      <c r="AF264" s="5">
        <f t="shared" si="24"/>
        <v>45803</v>
      </c>
      <c r="AG264" s="5">
        <f t="shared" si="25"/>
        <v>45809</v>
      </c>
      <c r="AH264" s="5" t="b">
        <f t="shared" si="26"/>
        <v>1</v>
      </c>
      <c r="AI264" s="5" t="b">
        <f t="shared" si="27"/>
        <v>1</v>
      </c>
      <c r="AJ264" t="str">
        <f t="shared" si="28"/>
        <v>OK</v>
      </c>
      <c r="AK264">
        <f t="shared" si="29"/>
        <v>6</v>
      </c>
    </row>
    <row r="265" spans="1:37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  <c r="V265" s="1" t="s">
        <v>180</v>
      </c>
      <c r="W265" s="1" t="s">
        <v>41</v>
      </c>
      <c r="X265" s="1" t="s">
        <v>27</v>
      </c>
      <c r="Y265" s="1" t="s">
        <v>506</v>
      </c>
      <c r="Z265" s="1" t="s">
        <v>507</v>
      </c>
      <c r="AA265" s="1" t="s">
        <v>30</v>
      </c>
      <c r="AB265" s="1" t="s">
        <v>198</v>
      </c>
      <c r="AC265" s="1" t="s">
        <v>33</v>
      </c>
      <c r="AD265" s="1" t="s">
        <v>137</v>
      </c>
      <c r="AE265" s="1" t="s">
        <v>125</v>
      </c>
      <c r="AF265" s="5">
        <f t="shared" si="24"/>
        <v>45875</v>
      </c>
      <c r="AG265" s="5">
        <f t="shared" si="25"/>
        <v>45938</v>
      </c>
      <c r="AH265" s="5" t="b">
        <f t="shared" si="26"/>
        <v>1</v>
      </c>
      <c r="AI265" s="5" t="b">
        <f t="shared" si="27"/>
        <v>1</v>
      </c>
      <c r="AJ265" t="str">
        <f t="shared" si="28"/>
        <v>OK</v>
      </c>
      <c r="AK265">
        <f t="shared" si="29"/>
        <v>63</v>
      </c>
    </row>
    <row r="266" spans="1:37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  <c r="V266" s="1" t="s">
        <v>210</v>
      </c>
      <c r="W266" s="1" t="s">
        <v>41</v>
      </c>
      <c r="X266" s="1" t="s">
        <v>42</v>
      </c>
      <c r="Y266" s="1" t="s">
        <v>186</v>
      </c>
      <c r="Z266" s="1" t="s">
        <v>187</v>
      </c>
      <c r="AA266" s="1" t="s">
        <v>86</v>
      </c>
      <c r="AB266" s="1" t="s">
        <v>94</v>
      </c>
      <c r="AC266" s="1" t="s">
        <v>67</v>
      </c>
      <c r="AD266" s="1" t="s">
        <v>34</v>
      </c>
      <c r="AE266" s="1" t="s">
        <v>35</v>
      </c>
      <c r="AF266" s="5" t="e">
        <f t="shared" si="24"/>
        <v>#N/A</v>
      </c>
      <c r="AG266" s="5">
        <f t="shared" si="25"/>
        <v>45433</v>
      </c>
      <c r="AH266" s="5" t="b">
        <f t="shared" si="26"/>
        <v>0</v>
      </c>
      <c r="AI266" s="5" t="b">
        <f t="shared" si="27"/>
        <v>1</v>
      </c>
      <c r="AJ266" t="e">
        <f t="shared" si="28"/>
        <v>#N/A</v>
      </c>
      <c r="AK266" t="e">
        <f t="shared" si="29"/>
        <v>#N/A</v>
      </c>
    </row>
    <row r="267" spans="1:37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  <c r="V267" s="1" t="s">
        <v>142</v>
      </c>
      <c r="W267" s="1" t="s">
        <v>108</v>
      </c>
      <c r="X267" s="1" t="s">
        <v>42</v>
      </c>
      <c r="Y267" s="1" t="s">
        <v>186</v>
      </c>
      <c r="Z267" s="1" t="s">
        <v>187</v>
      </c>
      <c r="AA267" s="1" t="s">
        <v>45</v>
      </c>
      <c r="AB267" s="1" t="s">
        <v>204</v>
      </c>
      <c r="AC267" s="1" t="s">
        <v>48</v>
      </c>
      <c r="AD267" s="1" t="s">
        <v>124</v>
      </c>
      <c r="AE267" s="1" t="s">
        <v>78</v>
      </c>
      <c r="AF267" s="5">
        <f t="shared" si="24"/>
        <v>45610</v>
      </c>
      <c r="AG267" s="5">
        <f t="shared" si="25"/>
        <v>45618</v>
      </c>
      <c r="AH267" s="5" t="b">
        <f t="shared" si="26"/>
        <v>1</v>
      </c>
      <c r="AI267" s="5" t="b">
        <f t="shared" si="27"/>
        <v>1</v>
      </c>
      <c r="AJ267" t="str">
        <f t="shared" si="28"/>
        <v>OK</v>
      </c>
      <c r="AK267">
        <f t="shared" si="29"/>
        <v>8</v>
      </c>
    </row>
    <row r="268" spans="1:37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  <c r="V268" s="1" t="s">
        <v>93</v>
      </c>
      <c r="W268" s="1" t="s">
        <v>115</v>
      </c>
      <c r="X268" s="1" t="s">
        <v>73</v>
      </c>
      <c r="Y268" s="1" t="s">
        <v>74</v>
      </c>
      <c r="Z268" s="1" t="s">
        <v>75</v>
      </c>
      <c r="AA268" s="1" t="s">
        <v>30</v>
      </c>
      <c r="AB268" s="1" t="s">
        <v>156</v>
      </c>
      <c r="AC268" s="1" t="s">
        <v>33</v>
      </c>
      <c r="AD268" s="1" t="s">
        <v>34</v>
      </c>
      <c r="AE268" s="1" t="s">
        <v>35</v>
      </c>
      <c r="AF268" s="5">
        <f t="shared" si="24"/>
        <v>45780</v>
      </c>
      <c r="AG268" s="5">
        <f t="shared" si="25"/>
        <v>45787</v>
      </c>
      <c r="AH268" s="5" t="b">
        <f t="shared" si="26"/>
        <v>1</v>
      </c>
      <c r="AI268" s="5" t="b">
        <f t="shared" si="27"/>
        <v>1</v>
      </c>
      <c r="AJ268" t="str">
        <f t="shared" si="28"/>
        <v>OK</v>
      </c>
      <c r="AK268">
        <f t="shared" si="29"/>
        <v>7</v>
      </c>
    </row>
    <row r="269" spans="1:37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  <c r="V269" s="1" t="s">
        <v>210</v>
      </c>
      <c r="W269" s="1" t="s">
        <v>108</v>
      </c>
      <c r="X269" s="1" t="s">
        <v>42</v>
      </c>
      <c r="Y269" s="1" t="s">
        <v>311</v>
      </c>
      <c r="Z269" s="1" t="s">
        <v>312</v>
      </c>
      <c r="AA269" s="1" t="s">
        <v>45</v>
      </c>
      <c r="AB269" s="1" t="s">
        <v>65</v>
      </c>
      <c r="AC269" s="1" t="s">
        <v>56</v>
      </c>
      <c r="AD269" s="1" t="s">
        <v>34</v>
      </c>
      <c r="AE269" s="1" t="s">
        <v>35</v>
      </c>
      <c r="AF269" s="5">
        <f t="shared" si="24"/>
        <v>45805</v>
      </c>
      <c r="AG269" s="5">
        <f t="shared" si="25"/>
        <v>45753</v>
      </c>
      <c r="AH269" s="5" t="b">
        <f t="shared" si="26"/>
        <v>1</v>
      </c>
      <c r="AI269" s="5" t="b">
        <f t="shared" si="27"/>
        <v>1</v>
      </c>
      <c r="AJ269" t="str">
        <f t="shared" si="28"/>
        <v>Invalid: Ship before Order</v>
      </c>
      <c r="AK269" t="e">
        <f t="shared" si="29"/>
        <v>#NUM!</v>
      </c>
    </row>
    <row r="270" spans="1:37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  <c r="V270" s="1" t="s">
        <v>162</v>
      </c>
      <c r="W270" s="1" t="s">
        <v>115</v>
      </c>
      <c r="X270" s="1" t="s">
        <v>27</v>
      </c>
      <c r="Y270" s="1" t="s">
        <v>154</v>
      </c>
      <c r="Z270" s="1" t="s">
        <v>155</v>
      </c>
      <c r="AA270" s="1" t="s">
        <v>86</v>
      </c>
      <c r="AB270" s="1" t="s">
        <v>87</v>
      </c>
      <c r="AC270" s="1" t="s">
        <v>56</v>
      </c>
      <c r="AD270" s="1" t="s">
        <v>34</v>
      </c>
      <c r="AE270" s="1" t="s">
        <v>35</v>
      </c>
      <c r="AF270" s="5">
        <f t="shared" si="24"/>
        <v>45886</v>
      </c>
      <c r="AG270" s="5">
        <f t="shared" si="25"/>
        <v>45886</v>
      </c>
      <c r="AH270" s="5" t="b">
        <f t="shared" si="26"/>
        <v>1</v>
      </c>
      <c r="AI270" s="5" t="b">
        <f t="shared" si="27"/>
        <v>1</v>
      </c>
      <c r="AJ270" t="str">
        <f t="shared" si="28"/>
        <v>OK</v>
      </c>
      <c r="AK270">
        <f t="shared" si="29"/>
        <v>0</v>
      </c>
    </row>
    <row r="271" spans="1:37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  <c r="V271" s="1" t="s">
        <v>148</v>
      </c>
      <c r="W271" s="1" t="s">
        <v>41</v>
      </c>
      <c r="X271" s="1" t="s">
        <v>73</v>
      </c>
      <c r="Y271" s="1" t="s">
        <v>28</v>
      </c>
      <c r="Z271" s="1" t="s">
        <v>135</v>
      </c>
      <c r="AA271" s="1" t="s">
        <v>45</v>
      </c>
      <c r="AB271" s="1" t="s">
        <v>46</v>
      </c>
      <c r="AC271" s="1" t="s">
        <v>48</v>
      </c>
      <c r="AD271" s="1" t="s">
        <v>34</v>
      </c>
      <c r="AE271" s="1" t="s">
        <v>35</v>
      </c>
      <c r="AF271" s="5">
        <f t="shared" si="24"/>
        <v>45698</v>
      </c>
      <c r="AG271" s="5">
        <f t="shared" si="25"/>
        <v>45700</v>
      </c>
      <c r="AH271" s="5" t="b">
        <f t="shared" si="26"/>
        <v>1</v>
      </c>
      <c r="AI271" s="5" t="b">
        <f t="shared" si="27"/>
        <v>1</v>
      </c>
      <c r="AJ271" t="str">
        <f t="shared" si="28"/>
        <v>OK</v>
      </c>
      <c r="AK271">
        <f t="shared" si="29"/>
        <v>2</v>
      </c>
    </row>
    <row r="272" spans="1:37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  <c r="V272" s="1" t="s">
        <v>107</v>
      </c>
      <c r="W272" s="1" t="s">
        <v>108</v>
      </c>
      <c r="X272" s="1" t="s">
        <v>27</v>
      </c>
      <c r="Y272" s="1" t="s">
        <v>174</v>
      </c>
      <c r="Z272" s="1" t="s">
        <v>175</v>
      </c>
      <c r="AA272" s="1" t="s">
        <v>86</v>
      </c>
      <c r="AB272" s="1" t="s">
        <v>382</v>
      </c>
      <c r="AC272" s="1" t="s">
        <v>48</v>
      </c>
      <c r="AD272" s="1" t="s">
        <v>34</v>
      </c>
      <c r="AE272" s="1" t="s">
        <v>35</v>
      </c>
      <c r="AF272" s="5">
        <f t="shared" si="24"/>
        <v>45303</v>
      </c>
      <c r="AG272" s="5" t="e">
        <f t="shared" si="25"/>
        <v>#N/A</v>
      </c>
      <c r="AH272" s="5" t="b">
        <f t="shared" si="26"/>
        <v>1</v>
      </c>
      <c r="AI272" s="5" t="b">
        <f t="shared" si="27"/>
        <v>0</v>
      </c>
      <c r="AJ272" t="e">
        <f t="shared" si="28"/>
        <v>#N/A</v>
      </c>
      <c r="AK272" t="e">
        <f t="shared" si="29"/>
        <v>#N/A</v>
      </c>
    </row>
    <row r="273" spans="1:37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  <c r="V273" s="1" t="s">
        <v>107</v>
      </c>
      <c r="W273" s="1" t="s">
        <v>26</v>
      </c>
      <c r="X273" s="1" t="s">
        <v>62</v>
      </c>
      <c r="Y273" s="1" t="s">
        <v>63</v>
      </c>
      <c r="Z273" s="1" t="s">
        <v>64</v>
      </c>
      <c r="AA273" s="1" t="s">
        <v>30</v>
      </c>
      <c r="AB273" s="1" t="s">
        <v>198</v>
      </c>
      <c r="AC273" s="1" t="s">
        <v>67</v>
      </c>
      <c r="AD273" s="1" t="s">
        <v>200</v>
      </c>
      <c r="AE273" s="1" t="s">
        <v>78</v>
      </c>
      <c r="AF273" s="5">
        <f t="shared" si="24"/>
        <v>45647</v>
      </c>
      <c r="AG273" s="5">
        <f t="shared" si="25"/>
        <v>45651</v>
      </c>
      <c r="AH273" s="5" t="b">
        <f t="shared" si="26"/>
        <v>1</v>
      </c>
      <c r="AI273" s="5" t="b">
        <f t="shared" si="27"/>
        <v>1</v>
      </c>
      <c r="AJ273" t="str">
        <f t="shared" si="28"/>
        <v>OK</v>
      </c>
      <c r="AK273">
        <f t="shared" si="29"/>
        <v>4</v>
      </c>
    </row>
    <row r="274" spans="1:37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  <c r="V274" s="1" t="s">
        <v>61</v>
      </c>
      <c r="W274" s="1" t="s">
        <v>26</v>
      </c>
      <c r="X274" s="1" t="s">
        <v>62</v>
      </c>
      <c r="Y274" s="1" t="s">
        <v>100</v>
      </c>
      <c r="Z274" s="1" t="s">
        <v>101</v>
      </c>
      <c r="AA274" s="1" t="s">
        <v>45</v>
      </c>
      <c r="AB274" s="1" t="s">
        <v>76</v>
      </c>
      <c r="AC274" s="1" t="s">
        <v>56</v>
      </c>
      <c r="AD274" s="1" t="s">
        <v>34</v>
      </c>
      <c r="AE274" s="1" t="s">
        <v>35</v>
      </c>
      <c r="AF274" s="5">
        <f t="shared" si="24"/>
        <v>45522</v>
      </c>
      <c r="AG274" s="5">
        <f t="shared" si="25"/>
        <v>45528</v>
      </c>
      <c r="AH274" s="5" t="b">
        <f t="shared" si="26"/>
        <v>1</v>
      </c>
      <c r="AI274" s="5" t="b">
        <f t="shared" si="27"/>
        <v>1</v>
      </c>
      <c r="AJ274" t="str">
        <f t="shared" si="28"/>
        <v>OK</v>
      </c>
      <c r="AK274">
        <f t="shared" si="29"/>
        <v>6</v>
      </c>
    </row>
    <row r="275" spans="1:37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  <c r="V275" s="1" t="s">
        <v>53</v>
      </c>
      <c r="W275" s="1" t="s">
        <v>26</v>
      </c>
      <c r="X275" s="1" t="s">
        <v>42</v>
      </c>
      <c r="Y275" s="1" t="s">
        <v>186</v>
      </c>
      <c r="Z275" s="1" t="s">
        <v>187</v>
      </c>
      <c r="AA275" s="1" t="s">
        <v>30</v>
      </c>
      <c r="AB275" s="1" t="s">
        <v>31</v>
      </c>
      <c r="AC275" s="1" t="s">
        <v>33</v>
      </c>
      <c r="AD275" s="1" t="s">
        <v>34</v>
      </c>
      <c r="AE275" s="1" t="s">
        <v>125</v>
      </c>
      <c r="AF275" s="5">
        <f t="shared" si="24"/>
        <v>45701</v>
      </c>
      <c r="AG275" s="5">
        <f t="shared" si="25"/>
        <v>45701</v>
      </c>
      <c r="AH275" s="5" t="b">
        <f t="shared" si="26"/>
        <v>1</v>
      </c>
      <c r="AI275" s="5" t="b">
        <f t="shared" si="27"/>
        <v>1</v>
      </c>
      <c r="AJ275" t="str">
        <f t="shared" si="28"/>
        <v>OK</v>
      </c>
      <c r="AK275">
        <f t="shared" si="29"/>
        <v>0</v>
      </c>
    </row>
    <row r="276" spans="1:37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  <c r="V276" s="1" t="s">
        <v>180</v>
      </c>
      <c r="W276" s="1" t="s">
        <v>26</v>
      </c>
      <c r="X276" s="1" t="s">
        <v>62</v>
      </c>
      <c r="Y276" s="1" t="s">
        <v>242</v>
      </c>
      <c r="Z276" s="1" t="s">
        <v>243</v>
      </c>
      <c r="AA276" s="1" t="s">
        <v>86</v>
      </c>
      <c r="AB276" s="1" t="s">
        <v>94</v>
      </c>
      <c r="AC276" s="1" t="s">
        <v>67</v>
      </c>
      <c r="AD276" s="1" t="s">
        <v>200</v>
      </c>
      <c r="AE276" s="1" t="s">
        <v>125</v>
      </c>
      <c r="AF276" s="5">
        <f t="shared" si="24"/>
        <v>45477</v>
      </c>
      <c r="AG276" s="5" t="e">
        <f t="shared" si="25"/>
        <v>#N/A</v>
      </c>
      <c r="AH276" s="5" t="b">
        <f t="shared" si="26"/>
        <v>1</v>
      </c>
      <c r="AI276" s="5" t="b">
        <f t="shared" si="27"/>
        <v>0</v>
      </c>
      <c r="AJ276" t="e">
        <f t="shared" si="28"/>
        <v>#N/A</v>
      </c>
      <c r="AK276" t="e">
        <f t="shared" si="29"/>
        <v>#N/A</v>
      </c>
    </row>
    <row r="277" spans="1:37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  <c r="V277" s="1" t="s">
        <v>142</v>
      </c>
      <c r="W277" s="1" t="s">
        <v>41</v>
      </c>
      <c r="X277" s="1" t="s">
        <v>42</v>
      </c>
      <c r="Y277" s="1" t="s">
        <v>121</v>
      </c>
      <c r="Z277" s="1" t="s">
        <v>122</v>
      </c>
      <c r="AA277" s="1" t="s">
        <v>45</v>
      </c>
      <c r="AB277" s="1" t="s">
        <v>65</v>
      </c>
      <c r="AC277" s="1" t="s">
        <v>48</v>
      </c>
      <c r="AD277" s="1" t="s">
        <v>34</v>
      </c>
      <c r="AE277" s="1" t="s">
        <v>35</v>
      </c>
      <c r="AF277" s="5">
        <f t="shared" si="24"/>
        <v>45337</v>
      </c>
      <c r="AG277" s="5">
        <f t="shared" si="25"/>
        <v>45344</v>
      </c>
      <c r="AH277" s="5" t="b">
        <f t="shared" si="26"/>
        <v>1</v>
      </c>
      <c r="AI277" s="5" t="b">
        <f t="shared" si="27"/>
        <v>1</v>
      </c>
      <c r="AJ277" t="str">
        <f t="shared" si="28"/>
        <v>OK</v>
      </c>
      <c r="AK277">
        <f t="shared" si="29"/>
        <v>7</v>
      </c>
    </row>
    <row r="278" spans="1:37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  <c r="V278" s="1" t="s">
        <v>162</v>
      </c>
      <c r="W278" s="1" t="s">
        <v>41</v>
      </c>
      <c r="X278" s="1" t="s">
        <v>4119</v>
      </c>
      <c r="Y278" s="1" t="s">
        <v>216</v>
      </c>
      <c r="Z278" s="1" t="s">
        <v>217</v>
      </c>
      <c r="AA278" s="1" t="s">
        <v>45</v>
      </c>
      <c r="AB278" s="1" t="s">
        <v>76</v>
      </c>
      <c r="AC278" s="1" t="s">
        <v>33</v>
      </c>
      <c r="AD278" s="1" t="s">
        <v>34</v>
      </c>
      <c r="AE278" s="1" t="s">
        <v>35</v>
      </c>
      <c r="AF278" s="5" t="e">
        <f t="shared" si="24"/>
        <v>#N/A</v>
      </c>
      <c r="AG278" s="5" t="e">
        <f t="shared" si="25"/>
        <v>#N/A</v>
      </c>
      <c r="AH278" s="5" t="b">
        <f t="shared" si="26"/>
        <v>0</v>
      </c>
      <c r="AI278" s="5" t="b">
        <f t="shared" si="27"/>
        <v>0</v>
      </c>
      <c r="AJ278" t="e">
        <f t="shared" si="28"/>
        <v>#N/A</v>
      </c>
      <c r="AK278" t="e">
        <f t="shared" si="29"/>
        <v>#N/A</v>
      </c>
    </row>
    <row r="279" spans="1:37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  <c r="V279" s="1" t="s">
        <v>53</v>
      </c>
      <c r="W279" s="1" t="s">
        <v>108</v>
      </c>
      <c r="X279" s="1" t="s">
        <v>27</v>
      </c>
      <c r="Y279" s="1" t="s">
        <v>323</v>
      </c>
      <c r="Z279" s="1" t="s">
        <v>324</v>
      </c>
      <c r="AA279" s="1" t="s">
        <v>86</v>
      </c>
      <c r="AB279" s="1" t="s">
        <v>87</v>
      </c>
      <c r="AC279" s="1" t="s">
        <v>33</v>
      </c>
      <c r="AD279" s="1" t="s">
        <v>137</v>
      </c>
      <c r="AE279" s="1" t="s">
        <v>78</v>
      </c>
      <c r="AF279" s="5">
        <f t="shared" si="24"/>
        <v>45812</v>
      </c>
      <c r="AG279" s="5">
        <f t="shared" si="25"/>
        <v>45812</v>
      </c>
      <c r="AH279" s="5" t="b">
        <f t="shared" si="26"/>
        <v>1</v>
      </c>
      <c r="AI279" s="5" t="b">
        <f t="shared" si="27"/>
        <v>1</v>
      </c>
      <c r="AJ279" t="str">
        <f t="shared" si="28"/>
        <v>OK</v>
      </c>
      <c r="AK279">
        <f t="shared" si="29"/>
        <v>0</v>
      </c>
    </row>
    <row r="280" spans="1:37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  <c r="V280" s="1" t="s">
        <v>142</v>
      </c>
      <c r="W280" s="1" t="s">
        <v>41</v>
      </c>
      <c r="X280" s="1" t="s">
        <v>27</v>
      </c>
      <c r="Y280" s="1" t="s">
        <v>506</v>
      </c>
      <c r="Z280" s="1" t="s">
        <v>507</v>
      </c>
      <c r="AA280" s="1" t="s">
        <v>86</v>
      </c>
      <c r="AB280" s="1" t="s">
        <v>87</v>
      </c>
      <c r="AC280" s="1" t="s">
        <v>48</v>
      </c>
      <c r="AD280" s="1" t="s">
        <v>34</v>
      </c>
      <c r="AE280" s="1" t="s">
        <v>125</v>
      </c>
      <c r="AF280" s="5">
        <f t="shared" si="24"/>
        <v>45841</v>
      </c>
      <c r="AG280" s="5">
        <f t="shared" si="25"/>
        <v>45730</v>
      </c>
      <c r="AH280" s="5" t="b">
        <f t="shared" si="26"/>
        <v>1</v>
      </c>
      <c r="AI280" s="5" t="b">
        <f t="shared" si="27"/>
        <v>1</v>
      </c>
      <c r="AJ280" t="str">
        <f t="shared" si="28"/>
        <v>Invalid: Ship before Order</v>
      </c>
      <c r="AK280" t="e">
        <f t="shared" si="29"/>
        <v>#NUM!</v>
      </c>
    </row>
    <row r="281" spans="1:37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  <c r="V281" s="1" t="s">
        <v>180</v>
      </c>
      <c r="W281" s="1" t="s">
        <v>41</v>
      </c>
      <c r="X281" s="1" t="s">
        <v>73</v>
      </c>
      <c r="Y281" s="1" t="s">
        <v>74</v>
      </c>
      <c r="Z281" s="1" t="s">
        <v>75</v>
      </c>
      <c r="AA281" s="1" t="s">
        <v>30</v>
      </c>
      <c r="AB281" s="1" t="s">
        <v>156</v>
      </c>
      <c r="AC281" s="1" t="s">
        <v>56</v>
      </c>
      <c r="AD281" s="1" t="s">
        <v>34</v>
      </c>
      <c r="AE281" s="1" t="s">
        <v>35</v>
      </c>
      <c r="AF281" s="5">
        <f t="shared" si="24"/>
        <v>45391</v>
      </c>
      <c r="AG281" s="5">
        <f t="shared" si="25"/>
        <v>45392</v>
      </c>
      <c r="AH281" s="5" t="b">
        <f t="shared" si="26"/>
        <v>1</v>
      </c>
      <c r="AI281" s="5" t="b">
        <f t="shared" si="27"/>
        <v>1</v>
      </c>
      <c r="AJ281" t="str">
        <f t="shared" si="28"/>
        <v>OK</v>
      </c>
      <c r="AK281">
        <f t="shared" si="29"/>
        <v>1</v>
      </c>
    </row>
    <row r="282" spans="1:37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  <c r="V282" s="1" t="s">
        <v>107</v>
      </c>
      <c r="W282" s="1" t="s">
        <v>26</v>
      </c>
      <c r="X282" s="1" t="s">
        <v>62</v>
      </c>
      <c r="Y282" s="1" t="s">
        <v>229</v>
      </c>
      <c r="Z282" s="1" t="s">
        <v>230</v>
      </c>
      <c r="AA282" s="1" t="s">
        <v>86</v>
      </c>
      <c r="AB282" s="1" t="s">
        <v>94</v>
      </c>
      <c r="AC282" s="1" t="s">
        <v>67</v>
      </c>
      <c r="AD282" s="1" t="s">
        <v>34</v>
      </c>
      <c r="AE282" s="1" t="s">
        <v>35</v>
      </c>
      <c r="AF282" s="5">
        <f t="shared" si="24"/>
        <v>45649</v>
      </c>
      <c r="AG282" s="5" t="e">
        <f t="shared" si="25"/>
        <v>#N/A</v>
      </c>
      <c r="AH282" s="5" t="b">
        <f t="shared" si="26"/>
        <v>1</v>
      </c>
      <c r="AI282" s="5" t="b">
        <f t="shared" si="27"/>
        <v>0</v>
      </c>
      <c r="AJ282" t="e">
        <f t="shared" si="28"/>
        <v>#N/A</v>
      </c>
      <c r="AK282" t="e">
        <f t="shared" si="29"/>
        <v>#N/A</v>
      </c>
    </row>
    <row r="283" spans="1:37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  <c r="V283" s="1" t="s">
        <v>366</v>
      </c>
      <c r="W283" s="1" t="s">
        <v>26</v>
      </c>
      <c r="X283" s="1" t="s">
        <v>42</v>
      </c>
      <c r="Y283" s="1" t="s">
        <v>311</v>
      </c>
      <c r="Z283" s="1" t="s">
        <v>312</v>
      </c>
      <c r="AA283" s="1" t="s">
        <v>30</v>
      </c>
      <c r="AB283" s="1" t="s">
        <v>198</v>
      </c>
      <c r="AC283" s="1" t="s">
        <v>33</v>
      </c>
      <c r="AD283" s="1" t="s">
        <v>34</v>
      </c>
      <c r="AE283" s="1" t="s">
        <v>35</v>
      </c>
      <c r="AF283" s="5" t="e">
        <f t="shared" si="24"/>
        <v>#N/A</v>
      </c>
      <c r="AG283" s="5">
        <f t="shared" si="25"/>
        <v>45865</v>
      </c>
      <c r="AH283" s="5" t="b">
        <f t="shared" si="26"/>
        <v>0</v>
      </c>
      <c r="AI283" s="5" t="b">
        <f t="shared" si="27"/>
        <v>1</v>
      </c>
      <c r="AJ283" t="e">
        <f t="shared" si="28"/>
        <v>#N/A</v>
      </c>
      <c r="AK283" t="e">
        <f t="shared" si="29"/>
        <v>#N/A</v>
      </c>
    </row>
    <row r="284" spans="1:37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  <c r="V284" s="1" t="s">
        <v>25</v>
      </c>
      <c r="W284" s="1" t="s">
        <v>115</v>
      </c>
      <c r="X284" s="1" t="s">
        <v>42</v>
      </c>
      <c r="Y284" s="1" t="s">
        <v>216</v>
      </c>
      <c r="Z284" s="1" t="s">
        <v>217</v>
      </c>
      <c r="AA284" s="1" t="s">
        <v>45</v>
      </c>
      <c r="AB284" s="1" t="s">
        <v>46</v>
      </c>
      <c r="AC284" s="1" t="s">
        <v>33</v>
      </c>
      <c r="AD284" s="1" t="s">
        <v>34</v>
      </c>
      <c r="AE284" s="1" t="s">
        <v>35</v>
      </c>
      <c r="AF284" s="5">
        <f t="shared" si="24"/>
        <v>45566</v>
      </c>
      <c r="AG284" s="5">
        <f t="shared" si="25"/>
        <v>45567</v>
      </c>
      <c r="AH284" s="5" t="b">
        <f t="shared" si="26"/>
        <v>1</v>
      </c>
      <c r="AI284" s="5" t="b">
        <f t="shared" si="27"/>
        <v>1</v>
      </c>
      <c r="AJ284" t="str">
        <f t="shared" si="28"/>
        <v>OK</v>
      </c>
      <c r="AK284">
        <f t="shared" si="29"/>
        <v>1</v>
      </c>
    </row>
    <row r="285" spans="1:37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  <c r="V285" s="1" t="s">
        <v>83</v>
      </c>
      <c r="W285" s="1" t="s">
        <v>26</v>
      </c>
      <c r="X285" s="1" t="s">
        <v>73</v>
      </c>
      <c r="Y285" s="1" t="s">
        <v>74</v>
      </c>
      <c r="Z285" s="1" t="s">
        <v>75</v>
      </c>
      <c r="AA285" s="1" t="s">
        <v>45</v>
      </c>
      <c r="AB285" s="1" t="s">
        <v>65</v>
      </c>
      <c r="AC285" s="1" t="s">
        <v>56</v>
      </c>
      <c r="AD285" s="1" t="s">
        <v>34</v>
      </c>
      <c r="AE285" s="1" t="s">
        <v>35</v>
      </c>
      <c r="AF285" s="5">
        <f t="shared" si="24"/>
        <v>45729</v>
      </c>
      <c r="AG285" s="5" t="e">
        <f t="shared" si="25"/>
        <v>#N/A</v>
      </c>
      <c r="AH285" s="5" t="b">
        <f t="shared" si="26"/>
        <v>1</v>
      </c>
      <c r="AI285" s="5" t="b">
        <f t="shared" si="27"/>
        <v>0</v>
      </c>
      <c r="AJ285" t="e">
        <f t="shared" si="28"/>
        <v>#N/A</v>
      </c>
      <c r="AK285" t="e">
        <f t="shared" si="29"/>
        <v>#N/A</v>
      </c>
    </row>
    <row r="286" spans="1:37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  <c r="V286" s="1" t="s">
        <v>25</v>
      </c>
      <c r="W286" s="1" t="s">
        <v>26</v>
      </c>
      <c r="X286" s="1" t="s">
        <v>42</v>
      </c>
      <c r="Y286" s="1" t="s">
        <v>43</v>
      </c>
      <c r="Z286" s="1" t="s">
        <v>44</v>
      </c>
      <c r="AA286" s="1" t="s">
        <v>45</v>
      </c>
      <c r="AB286" s="1" t="s">
        <v>46</v>
      </c>
      <c r="AC286" s="1" t="s">
        <v>48</v>
      </c>
      <c r="AD286" s="1" t="s">
        <v>34</v>
      </c>
      <c r="AE286" s="1" t="s">
        <v>125</v>
      </c>
      <c r="AF286" s="5">
        <f t="shared" si="24"/>
        <v>45634</v>
      </c>
      <c r="AG286" s="5">
        <f t="shared" si="25"/>
        <v>45640</v>
      </c>
      <c r="AH286" s="5" t="b">
        <f t="shared" si="26"/>
        <v>1</v>
      </c>
      <c r="AI286" s="5" t="b">
        <f t="shared" si="27"/>
        <v>1</v>
      </c>
      <c r="AJ286" t="str">
        <f t="shared" si="28"/>
        <v>OK</v>
      </c>
      <c r="AK286">
        <f t="shared" si="29"/>
        <v>6</v>
      </c>
    </row>
    <row r="287" spans="1:37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  <c r="V287" s="1" t="s">
        <v>93</v>
      </c>
      <c r="W287" s="1" t="s">
        <v>115</v>
      </c>
      <c r="X287" s="1" t="s">
        <v>27</v>
      </c>
      <c r="Y287" s="1" t="s">
        <v>28</v>
      </c>
      <c r="Z287" s="1" t="s">
        <v>29</v>
      </c>
      <c r="AA287" s="1" t="s">
        <v>30</v>
      </c>
      <c r="AB287" s="1" t="s">
        <v>156</v>
      </c>
      <c r="AC287" s="1" t="s">
        <v>67</v>
      </c>
      <c r="AD287" s="1" t="s">
        <v>34</v>
      </c>
      <c r="AE287" s="1" t="s">
        <v>35</v>
      </c>
      <c r="AF287" s="5">
        <f t="shared" si="24"/>
        <v>45884</v>
      </c>
      <c r="AG287" s="5">
        <f t="shared" si="25"/>
        <v>45889</v>
      </c>
      <c r="AH287" s="5" t="b">
        <f t="shared" si="26"/>
        <v>1</v>
      </c>
      <c r="AI287" s="5" t="b">
        <f t="shared" si="27"/>
        <v>1</v>
      </c>
      <c r="AJ287" t="str">
        <f t="shared" si="28"/>
        <v>OK</v>
      </c>
      <c r="AK287">
        <f t="shared" si="29"/>
        <v>5</v>
      </c>
    </row>
    <row r="288" spans="1:37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  <c r="V288" s="1" t="s">
        <v>142</v>
      </c>
      <c r="W288" s="1" t="s">
        <v>41</v>
      </c>
      <c r="X288" s="1" t="s">
        <v>27</v>
      </c>
      <c r="Y288" s="1" t="s">
        <v>506</v>
      </c>
      <c r="Z288" s="1" t="s">
        <v>507</v>
      </c>
      <c r="AA288" s="1" t="s">
        <v>45</v>
      </c>
      <c r="AB288" s="1" t="s">
        <v>65</v>
      </c>
      <c r="AC288" s="1" t="s">
        <v>56</v>
      </c>
      <c r="AD288" s="1" t="s">
        <v>137</v>
      </c>
      <c r="AE288" s="1" t="s">
        <v>125</v>
      </c>
      <c r="AF288" s="5" t="e">
        <f t="shared" si="24"/>
        <v>#N/A</v>
      </c>
      <c r="AG288" s="5">
        <f t="shared" si="25"/>
        <v>45353</v>
      </c>
      <c r="AH288" s="5" t="b">
        <f t="shared" si="26"/>
        <v>0</v>
      </c>
      <c r="AI288" s="5" t="b">
        <f t="shared" si="27"/>
        <v>1</v>
      </c>
      <c r="AJ288" t="e">
        <f t="shared" si="28"/>
        <v>#N/A</v>
      </c>
      <c r="AK288" t="e">
        <f t="shared" si="29"/>
        <v>#N/A</v>
      </c>
    </row>
    <row r="289" spans="1:37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  <c r="V289" s="1" t="s">
        <v>93</v>
      </c>
      <c r="W289" s="1" t="s">
        <v>41</v>
      </c>
      <c r="X289" s="1" t="s">
        <v>62</v>
      </c>
      <c r="Y289" s="1" t="s">
        <v>339</v>
      </c>
      <c r="Z289" s="1" t="s">
        <v>340</v>
      </c>
      <c r="AA289" s="1" t="s">
        <v>86</v>
      </c>
      <c r="AB289" s="1" t="s">
        <v>94</v>
      </c>
      <c r="AC289" s="1" t="s">
        <v>67</v>
      </c>
      <c r="AD289" s="1" t="s">
        <v>34</v>
      </c>
      <c r="AE289" s="1" t="s">
        <v>78</v>
      </c>
      <c r="AF289" s="5">
        <f t="shared" si="24"/>
        <v>45540</v>
      </c>
      <c r="AG289" s="5">
        <f t="shared" si="25"/>
        <v>45482</v>
      </c>
      <c r="AH289" s="5" t="b">
        <f t="shared" si="26"/>
        <v>1</v>
      </c>
      <c r="AI289" s="5" t="b">
        <f t="shared" si="27"/>
        <v>1</v>
      </c>
      <c r="AJ289" t="str">
        <f t="shared" si="28"/>
        <v>Invalid: Ship before Order</v>
      </c>
      <c r="AK289" t="e">
        <f t="shared" si="29"/>
        <v>#NUM!</v>
      </c>
    </row>
    <row r="290" spans="1:37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  <c r="V290" s="1" t="s">
        <v>180</v>
      </c>
      <c r="W290" s="1" t="s">
        <v>41</v>
      </c>
      <c r="X290" s="1" t="s">
        <v>42</v>
      </c>
      <c r="Y290" s="1" t="s">
        <v>186</v>
      </c>
      <c r="Z290" s="1" t="s">
        <v>187</v>
      </c>
      <c r="AA290" s="1" t="s">
        <v>30</v>
      </c>
      <c r="AB290" s="1" t="s">
        <v>198</v>
      </c>
      <c r="AC290" s="1" t="s">
        <v>48</v>
      </c>
      <c r="AD290" s="1" t="s">
        <v>34</v>
      </c>
      <c r="AE290" s="1" t="s">
        <v>35</v>
      </c>
      <c r="AF290" s="5">
        <f t="shared" si="24"/>
        <v>45467</v>
      </c>
      <c r="AG290" s="5">
        <f t="shared" si="25"/>
        <v>45467</v>
      </c>
      <c r="AH290" s="5" t="b">
        <f t="shared" si="26"/>
        <v>1</v>
      </c>
      <c r="AI290" s="5" t="b">
        <f t="shared" si="27"/>
        <v>1</v>
      </c>
      <c r="AJ290" t="str">
        <f t="shared" si="28"/>
        <v>OK</v>
      </c>
      <c r="AK290">
        <f t="shared" si="29"/>
        <v>0</v>
      </c>
    </row>
    <row r="291" spans="1:37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  <c r="V291" s="1" t="s">
        <v>25</v>
      </c>
      <c r="W291" s="1" t="s">
        <v>115</v>
      </c>
      <c r="X291" s="1" t="s">
        <v>62</v>
      </c>
      <c r="Y291" s="1" t="s">
        <v>339</v>
      </c>
      <c r="Z291" s="1" t="s">
        <v>340</v>
      </c>
      <c r="AA291" s="1" t="s">
        <v>45</v>
      </c>
      <c r="AB291" s="1" t="s">
        <v>204</v>
      </c>
      <c r="AC291" s="1" t="s">
        <v>56</v>
      </c>
      <c r="AD291" s="1" t="s">
        <v>34</v>
      </c>
      <c r="AE291" s="1" t="s">
        <v>35</v>
      </c>
      <c r="AF291" s="5" t="e">
        <f t="shared" si="24"/>
        <v>#N/A</v>
      </c>
      <c r="AG291" s="5">
        <f t="shared" si="25"/>
        <v>45835</v>
      </c>
      <c r="AH291" s="5" t="b">
        <f t="shared" si="26"/>
        <v>0</v>
      </c>
      <c r="AI291" s="5" t="b">
        <f t="shared" si="27"/>
        <v>1</v>
      </c>
      <c r="AJ291" t="e">
        <f t="shared" si="28"/>
        <v>#N/A</v>
      </c>
      <c r="AK291" t="e">
        <f t="shared" si="29"/>
        <v>#N/A</v>
      </c>
    </row>
    <row r="292" spans="1:37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  <c r="V292" s="1" t="s">
        <v>210</v>
      </c>
      <c r="W292" s="1" t="s">
        <v>115</v>
      </c>
      <c r="X292" s="1" t="s">
        <v>42</v>
      </c>
      <c r="Y292" s="1" t="s">
        <v>311</v>
      </c>
      <c r="Z292" s="1" t="s">
        <v>312</v>
      </c>
      <c r="AA292" s="1" t="s">
        <v>45</v>
      </c>
      <c r="AB292" s="1" t="s">
        <v>46</v>
      </c>
      <c r="AC292" s="1" t="s">
        <v>67</v>
      </c>
      <c r="AD292" s="1" t="s">
        <v>34</v>
      </c>
      <c r="AE292" s="1" t="s">
        <v>35</v>
      </c>
      <c r="AF292" s="5">
        <f t="shared" si="24"/>
        <v>45891</v>
      </c>
      <c r="AG292" s="5">
        <f t="shared" si="25"/>
        <v>45895</v>
      </c>
      <c r="AH292" s="5" t="b">
        <f t="shared" si="26"/>
        <v>1</v>
      </c>
      <c r="AI292" s="5" t="b">
        <f t="shared" si="27"/>
        <v>1</v>
      </c>
      <c r="AJ292" t="str">
        <f t="shared" si="28"/>
        <v>OK</v>
      </c>
      <c r="AK292">
        <f t="shared" si="29"/>
        <v>4</v>
      </c>
    </row>
    <row r="293" spans="1:37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  <c r="V293" s="1" t="s">
        <v>142</v>
      </c>
      <c r="W293" s="1" t="s">
        <v>115</v>
      </c>
      <c r="X293" s="1" t="s">
        <v>27</v>
      </c>
      <c r="Y293" s="1" t="s">
        <v>28</v>
      </c>
      <c r="Z293" s="1" t="s">
        <v>29</v>
      </c>
      <c r="AA293" s="1" t="s">
        <v>30</v>
      </c>
      <c r="AB293" s="1" t="s">
        <v>198</v>
      </c>
      <c r="AC293" s="1" t="s">
        <v>67</v>
      </c>
      <c r="AD293" s="1" t="s">
        <v>34</v>
      </c>
      <c r="AE293" s="1" t="s">
        <v>35</v>
      </c>
      <c r="AF293" s="5">
        <f t="shared" si="24"/>
        <v>45387</v>
      </c>
      <c r="AG293" s="5">
        <f t="shared" si="25"/>
        <v>45392</v>
      </c>
      <c r="AH293" s="5" t="b">
        <f t="shared" si="26"/>
        <v>1</v>
      </c>
      <c r="AI293" s="5" t="b">
        <f t="shared" si="27"/>
        <v>1</v>
      </c>
      <c r="AJ293" t="str">
        <f t="shared" si="28"/>
        <v>OK</v>
      </c>
      <c r="AK293">
        <f t="shared" si="29"/>
        <v>5</v>
      </c>
    </row>
    <row r="294" spans="1:37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  <c r="V294" s="1" t="s">
        <v>366</v>
      </c>
      <c r="W294" s="1" t="s">
        <v>115</v>
      </c>
      <c r="X294" s="1" t="s">
        <v>27</v>
      </c>
      <c r="Y294" s="1" t="s">
        <v>323</v>
      </c>
      <c r="Z294" s="1" t="s">
        <v>324</v>
      </c>
      <c r="AA294" s="1" t="s">
        <v>30</v>
      </c>
      <c r="AB294" s="1" t="s">
        <v>54</v>
      </c>
      <c r="AC294" s="1" t="s">
        <v>48</v>
      </c>
      <c r="AD294" s="1" t="s">
        <v>137</v>
      </c>
      <c r="AE294" s="1" t="s">
        <v>78</v>
      </c>
      <c r="AF294" s="5">
        <f t="shared" si="24"/>
        <v>45716</v>
      </c>
      <c r="AG294" s="5">
        <f t="shared" si="25"/>
        <v>45719</v>
      </c>
      <c r="AH294" s="5" t="b">
        <f t="shared" si="26"/>
        <v>1</v>
      </c>
      <c r="AI294" s="5" t="b">
        <f t="shared" si="27"/>
        <v>1</v>
      </c>
      <c r="AJ294" t="str">
        <f t="shared" si="28"/>
        <v>OK</v>
      </c>
      <c r="AK294">
        <f t="shared" si="29"/>
        <v>3</v>
      </c>
    </row>
    <row r="295" spans="1:37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  <c r="V295" s="1" t="s">
        <v>61</v>
      </c>
      <c r="W295" s="1" t="s">
        <v>115</v>
      </c>
      <c r="X295" s="1" t="s">
        <v>62</v>
      </c>
      <c r="Y295" s="1" t="s">
        <v>63</v>
      </c>
      <c r="Z295" s="1" t="s">
        <v>64</v>
      </c>
      <c r="AA295" s="1" t="s">
        <v>86</v>
      </c>
      <c r="AB295" s="1" t="s">
        <v>223</v>
      </c>
      <c r="AC295" s="1" t="s">
        <v>56</v>
      </c>
      <c r="AD295" s="1" t="s">
        <v>34</v>
      </c>
      <c r="AE295" s="1" t="s">
        <v>35</v>
      </c>
      <c r="AF295" s="5">
        <f t="shared" si="24"/>
        <v>45358</v>
      </c>
      <c r="AG295" s="5">
        <f t="shared" si="25"/>
        <v>45599</v>
      </c>
      <c r="AH295" s="5" t="b">
        <f t="shared" si="26"/>
        <v>1</v>
      </c>
      <c r="AI295" s="5" t="b">
        <f t="shared" si="27"/>
        <v>1</v>
      </c>
      <c r="AJ295" t="str">
        <f t="shared" si="28"/>
        <v>OK</v>
      </c>
      <c r="AK295">
        <f t="shared" si="29"/>
        <v>241</v>
      </c>
    </row>
    <row r="296" spans="1:37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  <c r="V296" s="1" t="s">
        <v>142</v>
      </c>
      <c r="W296" s="1" t="s">
        <v>26</v>
      </c>
      <c r="X296" s="1" t="s">
        <v>42</v>
      </c>
      <c r="Y296" s="1" t="s">
        <v>43</v>
      </c>
      <c r="Z296" s="1" t="s">
        <v>44</v>
      </c>
      <c r="AA296" s="1" t="s">
        <v>86</v>
      </c>
      <c r="AB296" s="1" t="s">
        <v>223</v>
      </c>
      <c r="AC296" s="1" t="s">
        <v>33</v>
      </c>
      <c r="AD296" s="1" t="s">
        <v>34</v>
      </c>
      <c r="AE296" s="1" t="s">
        <v>125</v>
      </c>
      <c r="AF296" s="5">
        <f t="shared" si="24"/>
        <v>45854</v>
      </c>
      <c r="AG296" s="5">
        <f t="shared" si="25"/>
        <v>45860</v>
      </c>
      <c r="AH296" s="5" t="b">
        <f t="shared" si="26"/>
        <v>1</v>
      </c>
      <c r="AI296" s="5" t="b">
        <f t="shared" si="27"/>
        <v>1</v>
      </c>
      <c r="AJ296" t="str">
        <f t="shared" si="28"/>
        <v>OK</v>
      </c>
      <c r="AK296">
        <f t="shared" si="29"/>
        <v>6</v>
      </c>
    </row>
    <row r="297" spans="1:37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  <c r="V297" s="1" t="s">
        <v>107</v>
      </c>
      <c r="W297" s="1" t="s">
        <v>41</v>
      </c>
      <c r="X297" s="1" t="s">
        <v>42</v>
      </c>
      <c r="Y297" s="1" t="s">
        <v>216</v>
      </c>
      <c r="Z297" s="1" t="s">
        <v>217</v>
      </c>
      <c r="AA297" s="1" t="s">
        <v>30</v>
      </c>
      <c r="AB297" s="1" t="s">
        <v>198</v>
      </c>
      <c r="AC297" s="1" t="s">
        <v>67</v>
      </c>
      <c r="AD297" s="1" t="s">
        <v>34</v>
      </c>
      <c r="AE297" s="1" t="s">
        <v>35</v>
      </c>
      <c r="AF297" s="5">
        <f t="shared" si="24"/>
        <v>45833</v>
      </c>
      <c r="AG297" s="5">
        <f t="shared" si="25"/>
        <v>45836</v>
      </c>
      <c r="AH297" s="5" t="b">
        <f t="shared" si="26"/>
        <v>1</v>
      </c>
      <c r="AI297" s="5" t="b">
        <f t="shared" si="27"/>
        <v>1</v>
      </c>
      <c r="AJ297" t="str">
        <f t="shared" si="28"/>
        <v>OK</v>
      </c>
      <c r="AK297">
        <f t="shared" si="29"/>
        <v>3</v>
      </c>
    </row>
    <row r="298" spans="1:37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  <c r="V298" s="1" t="s">
        <v>107</v>
      </c>
      <c r="W298" s="1" t="s">
        <v>115</v>
      </c>
      <c r="X298" s="1" t="s">
        <v>27</v>
      </c>
      <c r="Y298" s="1" t="s">
        <v>323</v>
      </c>
      <c r="Z298" s="1" t="s">
        <v>324</v>
      </c>
      <c r="AA298" s="1" t="s">
        <v>45</v>
      </c>
      <c r="AB298" s="1" t="s">
        <v>65</v>
      </c>
      <c r="AC298" s="1" t="s">
        <v>48</v>
      </c>
      <c r="AD298" s="1" t="s">
        <v>34</v>
      </c>
      <c r="AE298" s="1" t="s">
        <v>35</v>
      </c>
      <c r="AF298" s="5">
        <f t="shared" si="24"/>
        <v>45801</v>
      </c>
      <c r="AG298" s="5">
        <f t="shared" si="25"/>
        <v>45803</v>
      </c>
      <c r="AH298" s="5" t="b">
        <f t="shared" si="26"/>
        <v>1</v>
      </c>
      <c r="AI298" s="5" t="b">
        <f t="shared" si="27"/>
        <v>1</v>
      </c>
      <c r="AJ298" t="str">
        <f t="shared" si="28"/>
        <v>OK</v>
      </c>
      <c r="AK298">
        <f t="shared" si="29"/>
        <v>2</v>
      </c>
    </row>
    <row r="299" spans="1:37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  <c r="V299" s="1" t="s">
        <v>168</v>
      </c>
      <c r="W299" s="1" t="s">
        <v>108</v>
      </c>
      <c r="X299" s="1" t="s">
        <v>62</v>
      </c>
      <c r="Y299" s="1" t="s">
        <v>339</v>
      </c>
      <c r="Z299" s="1" t="s">
        <v>340</v>
      </c>
      <c r="AA299" s="1" t="s">
        <v>86</v>
      </c>
      <c r="AB299" s="1" t="s">
        <v>94</v>
      </c>
      <c r="AC299" s="1" t="s">
        <v>48</v>
      </c>
      <c r="AD299" s="1" t="s">
        <v>34</v>
      </c>
      <c r="AE299" s="1" t="s">
        <v>35</v>
      </c>
      <c r="AF299" s="5">
        <f t="shared" si="24"/>
        <v>45594</v>
      </c>
      <c r="AG299" s="5">
        <f t="shared" si="25"/>
        <v>45454</v>
      </c>
      <c r="AH299" s="5" t="b">
        <f t="shared" si="26"/>
        <v>1</v>
      </c>
      <c r="AI299" s="5" t="b">
        <f t="shared" si="27"/>
        <v>1</v>
      </c>
      <c r="AJ299" t="str">
        <f t="shared" si="28"/>
        <v>Invalid: Ship before Order</v>
      </c>
      <c r="AK299" t="e">
        <f t="shared" si="29"/>
        <v>#NUM!</v>
      </c>
    </row>
    <row r="300" spans="1:37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  <c r="V300" s="1" t="s">
        <v>53</v>
      </c>
      <c r="W300" s="1" t="s">
        <v>26</v>
      </c>
      <c r="X300" s="1" t="s">
        <v>62</v>
      </c>
      <c r="Y300" s="1" t="s">
        <v>242</v>
      </c>
      <c r="Z300" s="1" t="s">
        <v>243</v>
      </c>
      <c r="AA300" s="1" t="s">
        <v>86</v>
      </c>
      <c r="AB300" s="1" t="s">
        <v>94</v>
      </c>
      <c r="AC300" s="1" t="s">
        <v>56</v>
      </c>
      <c r="AD300" s="1" t="s">
        <v>200</v>
      </c>
      <c r="AE300" s="1" t="s">
        <v>125</v>
      </c>
      <c r="AF300" s="5" t="e">
        <f t="shared" si="24"/>
        <v>#N/A</v>
      </c>
      <c r="AG300" s="5">
        <f t="shared" si="25"/>
        <v>45683</v>
      </c>
      <c r="AH300" s="5" t="b">
        <f t="shared" si="26"/>
        <v>0</v>
      </c>
      <c r="AI300" s="5" t="b">
        <f t="shared" si="27"/>
        <v>1</v>
      </c>
      <c r="AJ300" t="e">
        <f t="shared" si="28"/>
        <v>#N/A</v>
      </c>
      <c r="AK300" t="e">
        <f t="shared" si="29"/>
        <v>#N/A</v>
      </c>
    </row>
    <row r="301" spans="1:37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  <c r="V301" s="1" t="s">
        <v>148</v>
      </c>
      <c r="W301" s="1" t="s">
        <v>41</v>
      </c>
      <c r="X301" s="1" t="s">
        <v>73</v>
      </c>
      <c r="Y301" s="1" t="s">
        <v>235</v>
      </c>
      <c r="Z301" s="1" t="s">
        <v>236</v>
      </c>
      <c r="AA301" s="1" t="s">
        <v>86</v>
      </c>
      <c r="AB301" s="1" t="s">
        <v>87</v>
      </c>
      <c r="AC301" s="1" t="s">
        <v>67</v>
      </c>
      <c r="AD301" s="1" t="s">
        <v>34</v>
      </c>
      <c r="AE301" s="1" t="s">
        <v>35</v>
      </c>
      <c r="AF301" s="5">
        <f t="shared" si="24"/>
        <v>45454</v>
      </c>
      <c r="AG301" s="5">
        <f t="shared" si="25"/>
        <v>45608</v>
      </c>
      <c r="AH301" s="5" t="b">
        <f t="shared" si="26"/>
        <v>1</v>
      </c>
      <c r="AI301" s="5" t="b">
        <f t="shared" si="27"/>
        <v>1</v>
      </c>
      <c r="AJ301" t="str">
        <f t="shared" si="28"/>
        <v>OK</v>
      </c>
      <c r="AK301">
        <f t="shared" si="29"/>
        <v>154</v>
      </c>
    </row>
    <row r="302" spans="1:37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  <c r="V302" s="1" t="s">
        <v>210</v>
      </c>
      <c r="W302" s="1" t="s">
        <v>41</v>
      </c>
      <c r="X302" s="1" t="s">
        <v>27</v>
      </c>
      <c r="Y302" s="1" t="s">
        <v>154</v>
      </c>
      <c r="Z302" s="1" t="s">
        <v>155</v>
      </c>
      <c r="AA302" s="1" t="s">
        <v>86</v>
      </c>
      <c r="AB302" s="1" t="s">
        <v>87</v>
      </c>
      <c r="AC302" s="1" t="s">
        <v>33</v>
      </c>
      <c r="AD302" s="1" t="s">
        <v>34</v>
      </c>
      <c r="AE302" s="1" t="s">
        <v>35</v>
      </c>
      <c r="AF302" s="5" t="e">
        <f t="shared" si="24"/>
        <v>#N/A</v>
      </c>
      <c r="AG302" s="5">
        <f t="shared" si="25"/>
        <v>45405</v>
      </c>
      <c r="AH302" s="5" t="b">
        <f t="shared" si="26"/>
        <v>0</v>
      </c>
      <c r="AI302" s="5" t="b">
        <f t="shared" si="27"/>
        <v>1</v>
      </c>
      <c r="AJ302" t="e">
        <f t="shared" si="28"/>
        <v>#N/A</v>
      </c>
      <c r="AK302" t="e">
        <f t="shared" si="29"/>
        <v>#N/A</v>
      </c>
    </row>
    <row r="303" spans="1:37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  <c r="V303" s="1" t="s">
        <v>53</v>
      </c>
      <c r="W303" s="1" t="s">
        <v>115</v>
      </c>
      <c r="X303" s="1" t="s">
        <v>42</v>
      </c>
      <c r="Y303" s="1" t="s">
        <v>186</v>
      </c>
      <c r="Z303" s="1" t="s">
        <v>187</v>
      </c>
      <c r="AA303" s="1" t="s">
        <v>86</v>
      </c>
      <c r="AB303" s="1" t="s">
        <v>223</v>
      </c>
      <c r="AC303" s="1" t="s">
        <v>48</v>
      </c>
      <c r="AD303" s="1" t="s">
        <v>34</v>
      </c>
      <c r="AE303" s="1" t="s">
        <v>35</v>
      </c>
      <c r="AF303" s="5">
        <f t="shared" si="24"/>
        <v>45805</v>
      </c>
      <c r="AG303" s="5">
        <f t="shared" si="25"/>
        <v>45663</v>
      </c>
      <c r="AH303" s="5" t="b">
        <f t="shared" si="26"/>
        <v>1</v>
      </c>
      <c r="AI303" s="5" t="b">
        <f t="shared" si="27"/>
        <v>1</v>
      </c>
      <c r="AJ303" t="str">
        <f t="shared" si="28"/>
        <v>Invalid: Ship before Order</v>
      </c>
      <c r="AK303" t="e">
        <f t="shared" si="29"/>
        <v>#NUM!</v>
      </c>
    </row>
    <row r="304" spans="1:37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  <c r="V304" s="1" t="s">
        <v>93</v>
      </c>
      <c r="W304" s="1" t="s">
        <v>26</v>
      </c>
      <c r="X304" s="1" t="s">
        <v>73</v>
      </c>
      <c r="Y304" s="1" t="s">
        <v>249</v>
      </c>
      <c r="Z304" s="1" t="s">
        <v>250</v>
      </c>
      <c r="AA304" s="1" t="s">
        <v>30</v>
      </c>
      <c r="AB304" s="1" t="s">
        <v>156</v>
      </c>
      <c r="AC304" s="1" t="s">
        <v>48</v>
      </c>
      <c r="AD304" s="1" t="s">
        <v>34</v>
      </c>
      <c r="AE304" s="1" t="s">
        <v>35</v>
      </c>
      <c r="AF304" s="5">
        <f t="shared" si="24"/>
        <v>45753</v>
      </c>
      <c r="AG304" s="5">
        <f t="shared" si="25"/>
        <v>45820</v>
      </c>
      <c r="AH304" s="5" t="b">
        <f t="shared" si="26"/>
        <v>1</v>
      </c>
      <c r="AI304" s="5" t="b">
        <f t="shared" si="27"/>
        <v>1</v>
      </c>
      <c r="AJ304" t="str">
        <f t="shared" si="28"/>
        <v>OK</v>
      </c>
      <c r="AK304">
        <f t="shared" si="29"/>
        <v>67</v>
      </c>
    </row>
    <row r="305" spans="1:37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  <c r="V305" s="1" t="s">
        <v>210</v>
      </c>
      <c r="W305" s="1" t="s">
        <v>115</v>
      </c>
      <c r="X305" s="1" t="s">
        <v>73</v>
      </c>
      <c r="Y305" s="1" t="s">
        <v>235</v>
      </c>
      <c r="Z305" s="1" t="s">
        <v>236</v>
      </c>
      <c r="AA305" s="1" t="s">
        <v>45</v>
      </c>
      <c r="AB305" s="1" t="s">
        <v>76</v>
      </c>
      <c r="AC305" s="1" t="s">
        <v>67</v>
      </c>
      <c r="AD305" s="1" t="s">
        <v>137</v>
      </c>
      <c r="AE305" s="1" t="s">
        <v>125</v>
      </c>
      <c r="AF305" s="5">
        <f t="shared" si="24"/>
        <v>45466</v>
      </c>
      <c r="AG305" s="5" t="e">
        <f t="shared" si="25"/>
        <v>#N/A</v>
      </c>
      <c r="AH305" s="5" t="b">
        <f t="shared" si="26"/>
        <v>1</v>
      </c>
      <c r="AI305" s="5" t="b">
        <f t="shared" si="27"/>
        <v>0</v>
      </c>
      <c r="AJ305" t="e">
        <f t="shared" si="28"/>
        <v>#N/A</v>
      </c>
      <c r="AK305" t="e">
        <f t="shared" si="29"/>
        <v>#N/A</v>
      </c>
    </row>
    <row r="306" spans="1:37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  <c r="V306" s="1" t="s">
        <v>25</v>
      </c>
      <c r="W306" s="1" t="s">
        <v>26</v>
      </c>
      <c r="X306" s="1" t="s">
        <v>27</v>
      </c>
      <c r="Y306" s="1" t="s">
        <v>154</v>
      </c>
      <c r="Z306" s="1" t="s">
        <v>155</v>
      </c>
      <c r="AA306" s="1" t="s">
        <v>45</v>
      </c>
      <c r="AB306" s="1" t="s">
        <v>65</v>
      </c>
      <c r="AC306" s="1" t="s">
        <v>67</v>
      </c>
      <c r="AD306" s="1" t="s">
        <v>34</v>
      </c>
      <c r="AE306" s="1" t="s">
        <v>35</v>
      </c>
      <c r="AF306" s="5">
        <f t="shared" si="24"/>
        <v>45357</v>
      </c>
      <c r="AG306" s="5">
        <f t="shared" si="25"/>
        <v>45364</v>
      </c>
      <c r="AH306" s="5" t="b">
        <f t="shared" si="26"/>
        <v>1</v>
      </c>
      <c r="AI306" s="5" t="b">
        <f t="shared" si="27"/>
        <v>1</v>
      </c>
      <c r="AJ306" t="str">
        <f t="shared" si="28"/>
        <v>OK</v>
      </c>
      <c r="AK306">
        <f t="shared" si="29"/>
        <v>7</v>
      </c>
    </row>
    <row r="307" spans="1:37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  <c r="V307" s="1" t="s">
        <v>72</v>
      </c>
      <c r="W307" s="1" t="s">
        <v>26</v>
      </c>
      <c r="X307" s="1" t="s">
        <v>42</v>
      </c>
      <c r="Y307" s="1" t="s">
        <v>216</v>
      </c>
      <c r="Z307" s="1" t="s">
        <v>217</v>
      </c>
      <c r="AA307" s="1" t="s">
        <v>45</v>
      </c>
      <c r="AB307" s="1" t="s">
        <v>76</v>
      </c>
      <c r="AC307" s="1" t="s">
        <v>56</v>
      </c>
      <c r="AD307" s="1" t="s">
        <v>34</v>
      </c>
      <c r="AE307" s="1" t="s">
        <v>78</v>
      </c>
      <c r="AF307" s="5">
        <f t="shared" si="24"/>
        <v>45413</v>
      </c>
      <c r="AG307" s="5">
        <f t="shared" si="25"/>
        <v>45414</v>
      </c>
      <c r="AH307" s="5" t="b">
        <f t="shared" si="26"/>
        <v>1</v>
      </c>
      <c r="AI307" s="5" t="b">
        <f t="shared" si="27"/>
        <v>1</v>
      </c>
      <c r="AJ307" t="str">
        <f t="shared" si="28"/>
        <v>OK</v>
      </c>
      <c r="AK307">
        <f t="shared" si="29"/>
        <v>1</v>
      </c>
    </row>
    <row r="308" spans="1:37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  <c r="V308" s="1" t="s">
        <v>162</v>
      </c>
      <c r="W308" s="1" t="s">
        <v>26</v>
      </c>
      <c r="X308" s="1" t="s">
        <v>27</v>
      </c>
      <c r="Y308" s="1" t="s">
        <v>28</v>
      </c>
      <c r="Z308" s="1" t="s">
        <v>29</v>
      </c>
      <c r="AA308" s="1" t="s">
        <v>86</v>
      </c>
      <c r="AB308" s="1" t="s">
        <v>223</v>
      </c>
      <c r="AC308" s="1" t="s">
        <v>33</v>
      </c>
      <c r="AD308" s="1" t="s">
        <v>34</v>
      </c>
      <c r="AE308" s="1" t="s">
        <v>35</v>
      </c>
      <c r="AF308" s="5">
        <f t="shared" si="24"/>
        <v>45708</v>
      </c>
      <c r="AG308" s="5">
        <f t="shared" si="25"/>
        <v>45711</v>
      </c>
      <c r="AH308" s="5" t="b">
        <f t="shared" si="26"/>
        <v>1</v>
      </c>
      <c r="AI308" s="5" t="b">
        <f t="shared" si="27"/>
        <v>1</v>
      </c>
      <c r="AJ308" t="str">
        <f t="shared" si="28"/>
        <v>OK</v>
      </c>
      <c r="AK308">
        <f t="shared" si="29"/>
        <v>3</v>
      </c>
    </row>
    <row r="309" spans="1:37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  <c r="V309" s="1" t="s">
        <v>72</v>
      </c>
      <c r="W309" s="1" t="s">
        <v>108</v>
      </c>
      <c r="X309" s="1" t="s">
        <v>27</v>
      </c>
      <c r="Y309" s="1" t="s">
        <v>174</v>
      </c>
      <c r="Z309" s="1" t="s">
        <v>175</v>
      </c>
      <c r="AA309" s="1" t="s">
        <v>45</v>
      </c>
      <c r="AB309" s="1" t="s">
        <v>46</v>
      </c>
      <c r="AC309" s="1" t="s">
        <v>56</v>
      </c>
      <c r="AD309" s="1" t="s">
        <v>137</v>
      </c>
      <c r="AE309" s="1" t="s">
        <v>78</v>
      </c>
      <c r="AF309" s="5">
        <f t="shared" si="24"/>
        <v>45850</v>
      </c>
      <c r="AG309" s="5">
        <f t="shared" si="25"/>
        <v>45857</v>
      </c>
      <c r="AH309" s="5" t="b">
        <f t="shared" si="26"/>
        <v>1</v>
      </c>
      <c r="AI309" s="5" t="b">
        <f t="shared" si="27"/>
        <v>1</v>
      </c>
      <c r="AJ309" t="str">
        <f t="shared" si="28"/>
        <v>OK</v>
      </c>
      <c r="AK309">
        <f t="shared" si="29"/>
        <v>7</v>
      </c>
    </row>
    <row r="310" spans="1:37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  <c r="V310" s="1" t="s">
        <v>180</v>
      </c>
      <c r="W310" s="1" t="s">
        <v>26</v>
      </c>
      <c r="X310" s="1" t="s">
        <v>27</v>
      </c>
      <c r="Y310" s="1" t="s">
        <v>28</v>
      </c>
      <c r="Z310" s="1" t="s">
        <v>29</v>
      </c>
      <c r="AA310" s="1" t="s">
        <v>45</v>
      </c>
      <c r="AB310" s="1" t="s">
        <v>46</v>
      </c>
      <c r="AC310" s="1" t="s">
        <v>56</v>
      </c>
      <c r="AD310" s="1" t="s">
        <v>34</v>
      </c>
      <c r="AE310" s="1" t="s">
        <v>35</v>
      </c>
      <c r="AF310" s="5">
        <f t="shared" si="24"/>
        <v>45821</v>
      </c>
      <c r="AG310" s="5">
        <f t="shared" si="25"/>
        <v>45827</v>
      </c>
      <c r="AH310" s="5" t="b">
        <f t="shared" si="26"/>
        <v>1</v>
      </c>
      <c r="AI310" s="5" t="b">
        <f t="shared" si="27"/>
        <v>1</v>
      </c>
      <c r="AJ310" t="str">
        <f t="shared" si="28"/>
        <v>OK</v>
      </c>
      <c r="AK310">
        <f t="shared" si="29"/>
        <v>6</v>
      </c>
    </row>
    <row r="311" spans="1:37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  <c r="V311" s="1" t="s">
        <v>72</v>
      </c>
      <c r="W311" s="1" t="s">
        <v>26</v>
      </c>
      <c r="X311" s="1" t="s">
        <v>62</v>
      </c>
      <c r="Y311" s="1" t="s">
        <v>339</v>
      </c>
      <c r="Z311" s="1" t="s">
        <v>340</v>
      </c>
      <c r="AA311" s="1" t="s">
        <v>45</v>
      </c>
      <c r="AB311" s="1" t="s">
        <v>46</v>
      </c>
      <c r="AC311" s="1" t="s">
        <v>56</v>
      </c>
      <c r="AD311" s="1" t="s">
        <v>34</v>
      </c>
      <c r="AE311" s="1" t="s">
        <v>78</v>
      </c>
      <c r="AF311" s="5">
        <f t="shared" si="24"/>
        <v>45493</v>
      </c>
      <c r="AG311" s="5">
        <f t="shared" si="25"/>
        <v>45495</v>
      </c>
      <c r="AH311" s="5" t="b">
        <f t="shared" si="26"/>
        <v>1</v>
      </c>
      <c r="AI311" s="5" t="b">
        <f t="shared" si="27"/>
        <v>1</v>
      </c>
      <c r="AJ311" t="str">
        <f t="shared" si="28"/>
        <v>OK</v>
      </c>
      <c r="AK311">
        <f t="shared" si="29"/>
        <v>2</v>
      </c>
    </row>
    <row r="312" spans="1:37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  <c r="V312" s="1" t="s">
        <v>180</v>
      </c>
      <c r="W312" s="1" t="s">
        <v>41</v>
      </c>
      <c r="X312" s="1" t="s">
        <v>62</v>
      </c>
      <c r="Y312" s="1" t="s">
        <v>339</v>
      </c>
      <c r="Z312" s="1" t="s">
        <v>340</v>
      </c>
      <c r="AA312" s="1" t="s">
        <v>86</v>
      </c>
      <c r="AB312" s="1" t="s">
        <v>382</v>
      </c>
      <c r="AC312" s="1" t="s">
        <v>56</v>
      </c>
      <c r="AD312" s="1" t="s">
        <v>34</v>
      </c>
      <c r="AE312" s="1" t="s">
        <v>35</v>
      </c>
      <c r="AF312" s="5">
        <f t="shared" si="24"/>
        <v>45389</v>
      </c>
      <c r="AG312" s="5">
        <f t="shared" si="25"/>
        <v>45511</v>
      </c>
      <c r="AH312" s="5" t="b">
        <f t="shared" si="26"/>
        <v>1</v>
      </c>
      <c r="AI312" s="5" t="b">
        <f t="shared" si="27"/>
        <v>1</v>
      </c>
      <c r="AJ312" t="str">
        <f t="shared" si="28"/>
        <v>OK</v>
      </c>
      <c r="AK312">
        <f t="shared" si="29"/>
        <v>122</v>
      </c>
    </row>
    <row r="313" spans="1:37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  <c r="V313" s="1" t="s">
        <v>40</v>
      </c>
      <c r="W313" s="1" t="s">
        <v>108</v>
      </c>
      <c r="X313" s="1" t="s">
        <v>62</v>
      </c>
      <c r="Y313" s="1" t="s">
        <v>229</v>
      </c>
      <c r="Z313" s="1" t="s">
        <v>230</v>
      </c>
      <c r="AA313" s="1" t="s">
        <v>30</v>
      </c>
      <c r="AB313" s="1" t="s">
        <v>198</v>
      </c>
      <c r="AC313" s="1" t="s">
        <v>33</v>
      </c>
      <c r="AD313" s="1" t="s">
        <v>34</v>
      </c>
      <c r="AE313" s="1" t="s">
        <v>35</v>
      </c>
      <c r="AF313" s="5" t="e">
        <f t="shared" si="24"/>
        <v>#N/A</v>
      </c>
      <c r="AG313" s="5">
        <f t="shared" si="25"/>
        <v>45327</v>
      </c>
      <c r="AH313" s="5" t="b">
        <f t="shared" si="26"/>
        <v>0</v>
      </c>
      <c r="AI313" s="5" t="b">
        <f t="shared" si="27"/>
        <v>1</v>
      </c>
      <c r="AJ313" t="e">
        <f t="shared" si="28"/>
        <v>#N/A</v>
      </c>
      <c r="AK313" t="e">
        <f t="shared" si="29"/>
        <v>#N/A</v>
      </c>
    </row>
    <row r="314" spans="1:37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  <c r="V314" s="1" t="s">
        <v>25</v>
      </c>
      <c r="W314" s="1" t="s">
        <v>41</v>
      </c>
      <c r="X314" s="1" t="s">
        <v>42</v>
      </c>
      <c r="Y314" s="1" t="s">
        <v>216</v>
      </c>
      <c r="Z314" s="1" t="s">
        <v>217</v>
      </c>
      <c r="AA314" s="1" t="s">
        <v>86</v>
      </c>
      <c r="AB314" s="1" t="s">
        <v>223</v>
      </c>
      <c r="AC314" s="1" t="s">
        <v>67</v>
      </c>
      <c r="AD314" s="1" t="s">
        <v>34</v>
      </c>
      <c r="AE314" s="1" t="s">
        <v>78</v>
      </c>
      <c r="AF314" s="5">
        <f t="shared" si="24"/>
        <v>45504</v>
      </c>
      <c r="AG314" s="5">
        <f t="shared" si="25"/>
        <v>45390</v>
      </c>
      <c r="AH314" s="5" t="b">
        <f t="shared" si="26"/>
        <v>1</v>
      </c>
      <c r="AI314" s="5" t="b">
        <f t="shared" si="27"/>
        <v>1</v>
      </c>
      <c r="AJ314" t="str">
        <f t="shared" si="28"/>
        <v>Invalid: Ship before Order</v>
      </c>
      <c r="AK314" t="e">
        <f t="shared" si="29"/>
        <v>#NUM!</v>
      </c>
    </row>
    <row r="315" spans="1:37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  <c r="V315" s="1" t="s">
        <v>148</v>
      </c>
      <c r="W315" s="1" t="s">
        <v>108</v>
      </c>
      <c r="X315" s="1" t="s">
        <v>27</v>
      </c>
      <c r="Y315" s="1" t="s">
        <v>174</v>
      </c>
      <c r="Z315" s="1" t="s">
        <v>175</v>
      </c>
      <c r="AA315" s="1" t="s">
        <v>86</v>
      </c>
      <c r="AB315" s="1" t="s">
        <v>223</v>
      </c>
      <c r="AC315" s="1" t="s">
        <v>56</v>
      </c>
      <c r="AD315" s="1" t="s">
        <v>124</v>
      </c>
      <c r="AE315" s="1" t="s">
        <v>78</v>
      </c>
      <c r="AF315" s="5">
        <f t="shared" si="24"/>
        <v>45807</v>
      </c>
      <c r="AG315" s="5" t="e">
        <f t="shared" si="25"/>
        <v>#N/A</v>
      </c>
      <c r="AH315" s="5" t="b">
        <f t="shared" si="26"/>
        <v>1</v>
      </c>
      <c r="AI315" s="5" t="b">
        <f t="shared" si="27"/>
        <v>0</v>
      </c>
      <c r="AJ315" t="e">
        <f t="shared" si="28"/>
        <v>#N/A</v>
      </c>
      <c r="AK315" t="e">
        <f t="shared" si="29"/>
        <v>#N/A</v>
      </c>
    </row>
    <row r="316" spans="1:37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  <c r="V316" s="1" t="s">
        <v>53</v>
      </c>
      <c r="W316" s="1" t="s">
        <v>108</v>
      </c>
      <c r="X316" s="1" t="s">
        <v>73</v>
      </c>
      <c r="Y316" s="1" t="s">
        <v>84</v>
      </c>
      <c r="Z316" s="1" t="s">
        <v>85</v>
      </c>
      <c r="AA316" s="1" t="s">
        <v>30</v>
      </c>
      <c r="AB316" s="1" t="s">
        <v>109</v>
      </c>
      <c r="AC316" s="1" t="s">
        <v>67</v>
      </c>
      <c r="AD316" s="1" t="s">
        <v>200</v>
      </c>
      <c r="AE316" s="1" t="s">
        <v>125</v>
      </c>
      <c r="AF316" s="5">
        <f t="shared" si="24"/>
        <v>45795</v>
      </c>
      <c r="AG316" s="5">
        <f t="shared" si="25"/>
        <v>45797</v>
      </c>
      <c r="AH316" s="5" t="b">
        <f t="shared" si="26"/>
        <v>1</v>
      </c>
      <c r="AI316" s="5" t="b">
        <f t="shared" si="27"/>
        <v>1</v>
      </c>
      <c r="AJ316" t="str">
        <f t="shared" si="28"/>
        <v>OK</v>
      </c>
      <c r="AK316">
        <f t="shared" si="29"/>
        <v>2</v>
      </c>
    </row>
    <row r="317" spans="1:37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  <c r="V317" s="1" t="s">
        <v>180</v>
      </c>
      <c r="W317" s="1" t="s">
        <v>26</v>
      </c>
      <c r="X317" s="1" t="s">
        <v>27</v>
      </c>
      <c r="Y317" s="1" t="s">
        <v>506</v>
      </c>
      <c r="Z317" s="1" t="s">
        <v>507</v>
      </c>
      <c r="AA317" s="1" t="s">
        <v>30</v>
      </c>
      <c r="AB317" s="1" t="s">
        <v>31</v>
      </c>
      <c r="AC317" s="1" t="s">
        <v>67</v>
      </c>
      <c r="AD317" s="1" t="s">
        <v>137</v>
      </c>
      <c r="AE317" s="1" t="s">
        <v>125</v>
      </c>
      <c r="AF317" s="5">
        <f t="shared" si="24"/>
        <v>45475</v>
      </c>
      <c r="AG317" s="5">
        <f t="shared" si="25"/>
        <v>45481</v>
      </c>
      <c r="AH317" s="5" t="b">
        <f t="shared" si="26"/>
        <v>1</v>
      </c>
      <c r="AI317" s="5" t="b">
        <f t="shared" si="27"/>
        <v>1</v>
      </c>
      <c r="AJ317" t="str">
        <f t="shared" si="28"/>
        <v>OK</v>
      </c>
      <c r="AK317">
        <f t="shared" si="29"/>
        <v>6</v>
      </c>
    </row>
    <row r="318" spans="1:37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  <c r="V318" s="1" t="s">
        <v>25</v>
      </c>
      <c r="W318" s="1" t="s">
        <v>108</v>
      </c>
      <c r="X318" s="1" t="s">
        <v>27</v>
      </c>
      <c r="Y318" s="1" t="s">
        <v>154</v>
      </c>
      <c r="Z318" s="1" t="s">
        <v>155</v>
      </c>
      <c r="AA318" s="1" t="s">
        <v>30</v>
      </c>
      <c r="AB318" s="1" t="s">
        <v>109</v>
      </c>
      <c r="AC318" s="1" t="s">
        <v>67</v>
      </c>
      <c r="AD318" s="1" t="s">
        <v>34</v>
      </c>
      <c r="AE318" s="1" t="s">
        <v>78</v>
      </c>
      <c r="AF318" s="5" t="e">
        <f t="shared" si="24"/>
        <v>#N/A</v>
      </c>
      <c r="AG318" s="5">
        <f t="shared" si="25"/>
        <v>45340</v>
      </c>
      <c r="AH318" s="5" t="b">
        <f t="shared" si="26"/>
        <v>0</v>
      </c>
      <c r="AI318" s="5" t="b">
        <f t="shared" si="27"/>
        <v>1</v>
      </c>
      <c r="AJ318" t="e">
        <f t="shared" si="28"/>
        <v>#N/A</v>
      </c>
      <c r="AK318" t="e">
        <f t="shared" si="29"/>
        <v>#N/A</v>
      </c>
    </row>
    <row r="319" spans="1:37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  <c r="V319" s="1" t="s">
        <v>93</v>
      </c>
      <c r="W319" s="1" t="s">
        <v>108</v>
      </c>
      <c r="X319" s="1" t="s">
        <v>62</v>
      </c>
      <c r="Y319" s="1" t="s">
        <v>242</v>
      </c>
      <c r="Z319" s="1" t="s">
        <v>243</v>
      </c>
      <c r="AA319" s="1" t="s">
        <v>45</v>
      </c>
      <c r="AB319" s="1" t="s">
        <v>46</v>
      </c>
      <c r="AC319" s="1" t="s">
        <v>56</v>
      </c>
      <c r="AD319" s="1" t="s">
        <v>34</v>
      </c>
      <c r="AE319" s="1" t="s">
        <v>35</v>
      </c>
      <c r="AF319" s="5" t="e">
        <f t="shared" si="24"/>
        <v>#N/A</v>
      </c>
      <c r="AG319" s="5">
        <f t="shared" si="25"/>
        <v>45904</v>
      </c>
      <c r="AH319" s="5" t="b">
        <f t="shared" si="26"/>
        <v>0</v>
      </c>
      <c r="AI319" s="5" t="b">
        <f t="shared" si="27"/>
        <v>1</v>
      </c>
      <c r="AJ319" t="e">
        <f t="shared" si="28"/>
        <v>#N/A</v>
      </c>
      <c r="AK319" t="e">
        <f t="shared" si="29"/>
        <v>#N/A</v>
      </c>
    </row>
    <row r="320" spans="1:37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  <c r="V320" s="1" t="s">
        <v>40</v>
      </c>
      <c r="W320" s="1" t="s">
        <v>41</v>
      </c>
      <c r="X320" s="1" t="s">
        <v>62</v>
      </c>
      <c r="Y320" s="1" t="s">
        <v>229</v>
      </c>
      <c r="Z320" s="1" t="s">
        <v>230</v>
      </c>
      <c r="AA320" s="1" t="s">
        <v>86</v>
      </c>
      <c r="AB320" s="1" t="s">
        <v>223</v>
      </c>
      <c r="AC320" s="1" t="s">
        <v>67</v>
      </c>
      <c r="AD320" s="1" t="s">
        <v>34</v>
      </c>
      <c r="AE320" s="1" t="s">
        <v>35</v>
      </c>
      <c r="AF320" s="5">
        <f t="shared" si="24"/>
        <v>45407</v>
      </c>
      <c r="AG320" s="5" t="e">
        <f t="shared" si="25"/>
        <v>#N/A</v>
      </c>
      <c r="AH320" s="5" t="b">
        <f t="shared" si="26"/>
        <v>1</v>
      </c>
      <c r="AI320" s="5" t="b">
        <f t="shared" si="27"/>
        <v>0</v>
      </c>
      <c r="AJ320" t="e">
        <f t="shared" si="28"/>
        <v>#N/A</v>
      </c>
      <c r="AK320" t="e">
        <f t="shared" si="29"/>
        <v>#N/A</v>
      </c>
    </row>
    <row r="321" spans="1:37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  <c r="V321" s="1" t="s">
        <v>210</v>
      </c>
      <c r="W321" s="1" t="s">
        <v>26</v>
      </c>
      <c r="X321" s="1" t="s">
        <v>73</v>
      </c>
      <c r="Y321" s="1" t="s">
        <v>235</v>
      </c>
      <c r="Z321" s="1" t="s">
        <v>236</v>
      </c>
      <c r="AA321" s="1" t="s">
        <v>30</v>
      </c>
      <c r="AB321" s="1" t="s">
        <v>198</v>
      </c>
      <c r="AC321" s="1" t="s">
        <v>56</v>
      </c>
      <c r="AD321" s="1" t="s">
        <v>34</v>
      </c>
      <c r="AE321" s="1" t="s">
        <v>35</v>
      </c>
      <c r="AF321" s="5">
        <f t="shared" si="24"/>
        <v>45525</v>
      </c>
      <c r="AG321" s="5">
        <f t="shared" si="25"/>
        <v>45529</v>
      </c>
      <c r="AH321" s="5" t="b">
        <f t="shared" si="26"/>
        <v>1</v>
      </c>
      <c r="AI321" s="5" t="b">
        <f t="shared" si="27"/>
        <v>1</v>
      </c>
      <c r="AJ321" t="str">
        <f t="shared" si="28"/>
        <v>OK</v>
      </c>
      <c r="AK321">
        <f t="shared" si="29"/>
        <v>4</v>
      </c>
    </row>
    <row r="322" spans="1:37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  <c r="V322" s="1" t="s">
        <v>162</v>
      </c>
      <c r="W322" s="1" t="s">
        <v>115</v>
      </c>
      <c r="X322" s="1" t="s">
        <v>42</v>
      </c>
      <c r="Y322" s="1" t="s">
        <v>121</v>
      </c>
      <c r="Z322" s="1" t="s">
        <v>122</v>
      </c>
      <c r="AA322" s="1" t="s">
        <v>30</v>
      </c>
      <c r="AB322" s="1" t="s">
        <v>54</v>
      </c>
      <c r="AC322" s="1" t="s">
        <v>33</v>
      </c>
      <c r="AD322" s="1" t="s">
        <v>137</v>
      </c>
      <c r="AE322" s="1" t="s">
        <v>125</v>
      </c>
      <c r="AF322" s="5">
        <f t="shared" si="24"/>
        <v>45630</v>
      </c>
      <c r="AG322" s="5">
        <f t="shared" si="25"/>
        <v>45632</v>
      </c>
      <c r="AH322" s="5" t="b">
        <f t="shared" si="26"/>
        <v>1</v>
      </c>
      <c r="AI322" s="5" t="b">
        <f t="shared" si="27"/>
        <v>1</v>
      </c>
      <c r="AJ322" t="str">
        <f t="shared" si="28"/>
        <v>OK</v>
      </c>
      <c r="AK322">
        <f t="shared" si="29"/>
        <v>2</v>
      </c>
    </row>
    <row r="323" spans="1:37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  <c r="V323" s="1" t="s">
        <v>93</v>
      </c>
      <c r="W323" s="1" t="s">
        <v>41</v>
      </c>
      <c r="X323" s="1" t="s">
        <v>73</v>
      </c>
      <c r="Y323" s="1" t="s">
        <v>249</v>
      </c>
      <c r="Z323" s="1" t="s">
        <v>250</v>
      </c>
      <c r="AA323" s="1" t="s">
        <v>86</v>
      </c>
      <c r="AB323" s="1" t="s">
        <v>87</v>
      </c>
      <c r="AC323" s="1" t="s">
        <v>48</v>
      </c>
      <c r="AD323" s="1" t="s">
        <v>200</v>
      </c>
      <c r="AE323" s="1" t="s">
        <v>78</v>
      </c>
      <c r="AF323" s="5">
        <f t="shared" ref="AF323:AF386" si="30">IFERROR(DATEVALUE(B323),IFERROR(DATE(VALUE(RIGHT(B323,4)),VALUE(MID(SUBSTITUTE(B323,"-","/"),6,2)),VALUE(LEFT(B323,2))),NA()))</f>
        <v>45466</v>
      </c>
      <c r="AG323" s="5">
        <f t="shared" ref="AG323:AG386" si="31">IFERROR(DATEVALUE(C323),IFERROR(DATE(VALUE(RIGHT(C323,4)),VALUE(MID(SUBSTITUTE(C323,"-","/"),6,2)),VALUE(LEFT(C323,2))),NA()))</f>
        <v>45473</v>
      </c>
      <c r="AH323" s="5" t="b">
        <f t="shared" ref="AH323:AH386" si="32">ISNUMBER(AF323)</f>
        <v>1</v>
      </c>
      <c r="AI323" s="5" t="b">
        <f t="shared" ref="AI323:AI386" si="33">ISNUMBER(AG323)</f>
        <v>1</v>
      </c>
      <c r="AJ323" t="str">
        <f t="shared" ref="AJ323:AJ386" si="34">IF(AG323&lt;AF323,"Invalid: Ship before Order","OK")</f>
        <v>OK</v>
      </c>
      <c r="AK323">
        <f t="shared" ref="AK323:AK386" si="35">DATEDIF(AF323, AG323, "D")</f>
        <v>7</v>
      </c>
    </row>
    <row r="324" spans="1:37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  <c r="V324" s="1" t="s">
        <v>53</v>
      </c>
      <c r="W324" s="1" t="s">
        <v>26</v>
      </c>
      <c r="X324" s="1" t="s">
        <v>27</v>
      </c>
      <c r="Y324" s="1" t="s">
        <v>174</v>
      </c>
      <c r="Z324" s="1" t="s">
        <v>175</v>
      </c>
      <c r="AA324" s="1" t="s">
        <v>86</v>
      </c>
      <c r="AB324" s="1" t="s">
        <v>223</v>
      </c>
      <c r="AC324" s="1" t="s">
        <v>33</v>
      </c>
      <c r="AD324" s="1" t="s">
        <v>34</v>
      </c>
      <c r="AE324" s="1" t="s">
        <v>35</v>
      </c>
      <c r="AF324" s="5">
        <f t="shared" si="30"/>
        <v>45608</v>
      </c>
      <c r="AG324" s="5">
        <f t="shared" si="31"/>
        <v>45637</v>
      </c>
      <c r="AH324" s="5" t="b">
        <f t="shared" si="32"/>
        <v>1</v>
      </c>
      <c r="AI324" s="5" t="b">
        <f t="shared" si="33"/>
        <v>1</v>
      </c>
      <c r="AJ324" t="str">
        <f t="shared" si="34"/>
        <v>OK</v>
      </c>
      <c r="AK324">
        <f t="shared" si="35"/>
        <v>29</v>
      </c>
    </row>
    <row r="325" spans="1:37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  <c r="V325" s="1" t="s">
        <v>53</v>
      </c>
      <c r="W325" s="1" t="s">
        <v>41</v>
      </c>
      <c r="X325" s="1" t="s">
        <v>73</v>
      </c>
      <c r="Y325" s="1" t="s">
        <v>249</v>
      </c>
      <c r="Z325" s="1" t="s">
        <v>250</v>
      </c>
      <c r="AA325" s="1" t="s">
        <v>45</v>
      </c>
      <c r="AB325" s="1" t="s">
        <v>65</v>
      </c>
      <c r="AC325" s="1" t="s">
        <v>67</v>
      </c>
      <c r="AD325" s="1" t="s">
        <v>34</v>
      </c>
      <c r="AE325" s="1" t="s">
        <v>35</v>
      </c>
      <c r="AF325" s="5" t="e">
        <f t="shared" si="30"/>
        <v>#N/A</v>
      </c>
      <c r="AG325" s="5">
        <f t="shared" si="31"/>
        <v>45351</v>
      </c>
      <c r="AH325" s="5" t="b">
        <f t="shared" si="32"/>
        <v>0</v>
      </c>
      <c r="AI325" s="5" t="b">
        <f t="shared" si="33"/>
        <v>1</v>
      </c>
      <c r="AJ325" t="e">
        <f t="shared" si="34"/>
        <v>#N/A</v>
      </c>
      <c r="AK325" t="e">
        <f t="shared" si="35"/>
        <v>#N/A</v>
      </c>
    </row>
    <row r="326" spans="1:37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  <c r="V326" s="1" t="s">
        <v>180</v>
      </c>
      <c r="W326" s="1" t="s">
        <v>115</v>
      </c>
      <c r="X326" s="1" t="s">
        <v>62</v>
      </c>
      <c r="Y326" s="1" t="s">
        <v>100</v>
      </c>
      <c r="Z326" s="1" t="s">
        <v>101</v>
      </c>
      <c r="AA326" s="1" t="s">
        <v>30</v>
      </c>
      <c r="AB326" s="1" t="s">
        <v>109</v>
      </c>
      <c r="AC326" s="1" t="s">
        <v>48</v>
      </c>
      <c r="AD326" s="1" t="s">
        <v>34</v>
      </c>
      <c r="AE326" s="1" t="s">
        <v>125</v>
      </c>
      <c r="AF326" s="5">
        <f t="shared" si="30"/>
        <v>45869</v>
      </c>
      <c r="AG326" s="5">
        <f t="shared" si="31"/>
        <v>45696</v>
      </c>
      <c r="AH326" s="5" t="b">
        <f t="shared" si="32"/>
        <v>1</v>
      </c>
      <c r="AI326" s="5" t="b">
        <f t="shared" si="33"/>
        <v>1</v>
      </c>
      <c r="AJ326" t="str">
        <f t="shared" si="34"/>
        <v>Invalid: Ship before Order</v>
      </c>
      <c r="AK326" t="e">
        <f t="shared" si="35"/>
        <v>#NUM!</v>
      </c>
    </row>
    <row r="327" spans="1:37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  <c r="V327" s="1" t="s">
        <v>168</v>
      </c>
      <c r="W327" s="1" t="s">
        <v>115</v>
      </c>
      <c r="X327" s="1" t="s">
        <v>42</v>
      </c>
      <c r="Y327" s="1" t="s">
        <v>121</v>
      </c>
      <c r="Z327" s="1" t="s">
        <v>122</v>
      </c>
      <c r="AA327" s="1" t="s">
        <v>86</v>
      </c>
      <c r="AB327" s="1" t="s">
        <v>94</v>
      </c>
      <c r="AC327" s="1" t="s">
        <v>33</v>
      </c>
      <c r="AD327" s="1" t="s">
        <v>34</v>
      </c>
      <c r="AE327" s="1" t="s">
        <v>35</v>
      </c>
      <c r="AF327" s="5">
        <f t="shared" si="30"/>
        <v>45916</v>
      </c>
      <c r="AG327" s="5">
        <f t="shared" si="31"/>
        <v>45922</v>
      </c>
      <c r="AH327" s="5" t="b">
        <f t="shared" si="32"/>
        <v>1</v>
      </c>
      <c r="AI327" s="5" t="b">
        <f t="shared" si="33"/>
        <v>1</v>
      </c>
      <c r="AJ327" t="str">
        <f t="shared" si="34"/>
        <v>OK</v>
      </c>
      <c r="AK327">
        <f t="shared" si="35"/>
        <v>6</v>
      </c>
    </row>
    <row r="328" spans="1:37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  <c r="V328" s="1" t="s">
        <v>168</v>
      </c>
      <c r="W328" s="1" t="s">
        <v>108</v>
      </c>
      <c r="X328" s="1" t="s">
        <v>42</v>
      </c>
      <c r="Y328" s="1" t="s">
        <v>311</v>
      </c>
      <c r="Z328" s="1" t="s">
        <v>312</v>
      </c>
      <c r="AA328" s="1" t="s">
        <v>45</v>
      </c>
      <c r="AB328" s="1" t="s">
        <v>65</v>
      </c>
      <c r="AC328" s="1" t="s">
        <v>48</v>
      </c>
      <c r="AD328" s="1" t="s">
        <v>34</v>
      </c>
      <c r="AE328" s="1" t="s">
        <v>35</v>
      </c>
      <c r="AF328" s="5">
        <f t="shared" si="30"/>
        <v>45860</v>
      </c>
      <c r="AG328" s="5">
        <f t="shared" si="31"/>
        <v>45860</v>
      </c>
      <c r="AH328" s="5" t="b">
        <f t="shared" si="32"/>
        <v>1</v>
      </c>
      <c r="AI328" s="5" t="b">
        <f t="shared" si="33"/>
        <v>1</v>
      </c>
      <c r="AJ328" t="str">
        <f t="shared" si="34"/>
        <v>OK</v>
      </c>
      <c r="AK328">
        <f t="shared" si="35"/>
        <v>0</v>
      </c>
    </row>
    <row r="329" spans="1:37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  <c r="V329" s="1" t="s">
        <v>53</v>
      </c>
      <c r="W329" s="1" t="s">
        <v>26</v>
      </c>
      <c r="X329" s="1" t="s">
        <v>73</v>
      </c>
      <c r="Y329" s="1" t="s">
        <v>28</v>
      </c>
      <c r="Z329" s="1" t="s">
        <v>135</v>
      </c>
      <c r="AA329" s="1" t="s">
        <v>86</v>
      </c>
      <c r="AB329" s="1" t="s">
        <v>87</v>
      </c>
      <c r="AC329" s="1" t="s">
        <v>33</v>
      </c>
      <c r="AD329" s="1" t="s">
        <v>137</v>
      </c>
      <c r="AE329" s="1" t="s">
        <v>78</v>
      </c>
      <c r="AF329" s="5">
        <f t="shared" si="30"/>
        <v>45497</v>
      </c>
      <c r="AG329" s="5" t="e">
        <f t="shared" si="31"/>
        <v>#N/A</v>
      </c>
      <c r="AH329" s="5" t="b">
        <f t="shared" si="32"/>
        <v>1</v>
      </c>
      <c r="AI329" s="5" t="b">
        <f t="shared" si="33"/>
        <v>0</v>
      </c>
      <c r="AJ329" t="e">
        <f t="shared" si="34"/>
        <v>#N/A</v>
      </c>
      <c r="AK329" t="e">
        <f t="shared" si="35"/>
        <v>#N/A</v>
      </c>
    </row>
    <row r="330" spans="1:37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  <c r="V330" s="1" t="s">
        <v>210</v>
      </c>
      <c r="W330" s="1" t="s">
        <v>26</v>
      </c>
      <c r="X330" s="1" t="s">
        <v>73</v>
      </c>
      <c r="Y330" s="1" t="s">
        <v>74</v>
      </c>
      <c r="Z330" s="1" t="s">
        <v>75</v>
      </c>
      <c r="AA330" s="1" t="s">
        <v>30</v>
      </c>
      <c r="AB330" s="1" t="s">
        <v>156</v>
      </c>
      <c r="AC330" s="1" t="s">
        <v>56</v>
      </c>
      <c r="AD330" s="1" t="s">
        <v>34</v>
      </c>
      <c r="AE330" s="1" t="s">
        <v>35</v>
      </c>
      <c r="AF330" s="5">
        <f t="shared" si="30"/>
        <v>45806</v>
      </c>
      <c r="AG330" s="5">
        <f t="shared" si="31"/>
        <v>45812</v>
      </c>
      <c r="AH330" s="5" t="b">
        <f t="shared" si="32"/>
        <v>1</v>
      </c>
      <c r="AI330" s="5" t="b">
        <f t="shared" si="33"/>
        <v>1</v>
      </c>
      <c r="AJ330" t="str">
        <f t="shared" si="34"/>
        <v>OK</v>
      </c>
      <c r="AK330">
        <f t="shared" si="35"/>
        <v>6</v>
      </c>
    </row>
    <row r="331" spans="1:37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  <c r="V331" s="1" t="s">
        <v>93</v>
      </c>
      <c r="W331" s="1" t="s">
        <v>41</v>
      </c>
      <c r="X331" s="1" t="s">
        <v>73</v>
      </c>
      <c r="Y331" s="1" t="s">
        <v>74</v>
      </c>
      <c r="Z331" s="1" t="s">
        <v>75</v>
      </c>
      <c r="AA331" s="1" t="s">
        <v>30</v>
      </c>
      <c r="AB331" s="1" t="s">
        <v>156</v>
      </c>
      <c r="AC331" s="1" t="s">
        <v>67</v>
      </c>
      <c r="AD331" s="1" t="s">
        <v>34</v>
      </c>
      <c r="AE331" s="1" t="s">
        <v>35</v>
      </c>
      <c r="AF331" s="5">
        <f t="shared" si="30"/>
        <v>45789</v>
      </c>
      <c r="AG331" s="5">
        <f t="shared" si="31"/>
        <v>45795</v>
      </c>
      <c r="AH331" s="5" t="b">
        <f t="shared" si="32"/>
        <v>1</v>
      </c>
      <c r="AI331" s="5" t="b">
        <f t="shared" si="33"/>
        <v>1</v>
      </c>
      <c r="AJ331" t="str">
        <f t="shared" si="34"/>
        <v>OK</v>
      </c>
      <c r="AK331">
        <f t="shared" si="35"/>
        <v>6</v>
      </c>
    </row>
    <row r="332" spans="1:37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  <c r="V332" s="1" t="s">
        <v>61</v>
      </c>
      <c r="W332" s="1" t="s">
        <v>115</v>
      </c>
      <c r="X332" s="1" t="s">
        <v>27</v>
      </c>
      <c r="Y332" s="1" t="s">
        <v>154</v>
      </c>
      <c r="Z332" s="1" t="s">
        <v>155</v>
      </c>
      <c r="AA332" s="1" t="s">
        <v>86</v>
      </c>
      <c r="AB332" s="1" t="s">
        <v>87</v>
      </c>
      <c r="AC332" s="1" t="s">
        <v>48</v>
      </c>
      <c r="AD332" s="1" t="s">
        <v>200</v>
      </c>
      <c r="AE332" s="1" t="s">
        <v>78</v>
      </c>
      <c r="AF332" s="5">
        <f t="shared" si="30"/>
        <v>45428</v>
      </c>
      <c r="AG332" s="5">
        <f t="shared" si="31"/>
        <v>45436</v>
      </c>
      <c r="AH332" s="5" t="b">
        <f t="shared" si="32"/>
        <v>1</v>
      </c>
      <c r="AI332" s="5" t="b">
        <f t="shared" si="33"/>
        <v>1</v>
      </c>
      <c r="AJ332" t="str">
        <f t="shared" si="34"/>
        <v>OK</v>
      </c>
      <c r="AK332">
        <f t="shared" si="35"/>
        <v>8</v>
      </c>
    </row>
    <row r="333" spans="1:37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  <c r="V333" s="1" t="s">
        <v>168</v>
      </c>
      <c r="W333" s="1" t="s">
        <v>115</v>
      </c>
      <c r="X333" s="1" t="s">
        <v>42</v>
      </c>
      <c r="Y333" s="1" t="s">
        <v>43</v>
      </c>
      <c r="Z333" s="1" t="s">
        <v>44</v>
      </c>
      <c r="AA333" s="1" t="s">
        <v>30</v>
      </c>
      <c r="AB333" s="1" t="s">
        <v>198</v>
      </c>
      <c r="AC333" s="1" t="s">
        <v>33</v>
      </c>
      <c r="AD333" s="1" t="s">
        <v>34</v>
      </c>
      <c r="AE333" s="1" t="s">
        <v>125</v>
      </c>
      <c r="AF333" s="5">
        <f t="shared" si="30"/>
        <v>45394</v>
      </c>
      <c r="AG333" s="5">
        <f t="shared" si="31"/>
        <v>45632</v>
      </c>
      <c r="AH333" s="5" t="b">
        <f t="shared" si="32"/>
        <v>1</v>
      </c>
      <c r="AI333" s="5" t="b">
        <f t="shared" si="33"/>
        <v>1</v>
      </c>
      <c r="AJ333" t="str">
        <f t="shared" si="34"/>
        <v>OK</v>
      </c>
      <c r="AK333">
        <f t="shared" si="35"/>
        <v>238</v>
      </c>
    </row>
    <row r="334" spans="1:37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  <c r="V334" s="1" t="s">
        <v>162</v>
      </c>
      <c r="W334" s="1" t="s">
        <v>26</v>
      </c>
      <c r="X334" s="1" t="s">
        <v>62</v>
      </c>
      <c r="Y334" s="1" t="s">
        <v>100</v>
      </c>
      <c r="Z334" s="1" t="s">
        <v>101</v>
      </c>
      <c r="AA334" s="1" t="s">
        <v>86</v>
      </c>
      <c r="AB334" s="1" t="s">
        <v>382</v>
      </c>
      <c r="AC334" s="1" t="s">
        <v>33</v>
      </c>
      <c r="AD334" s="1" t="s">
        <v>34</v>
      </c>
      <c r="AE334" s="1" t="s">
        <v>35</v>
      </c>
      <c r="AF334" s="5">
        <f t="shared" si="30"/>
        <v>45804</v>
      </c>
      <c r="AG334" s="5">
        <f t="shared" si="31"/>
        <v>45805</v>
      </c>
      <c r="AH334" s="5" t="b">
        <f t="shared" si="32"/>
        <v>1</v>
      </c>
      <c r="AI334" s="5" t="b">
        <f t="shared" si="33"/>
        <v>1</v>
      </c>
      <c r="AJ334" t="str">
        <f t="shared" si="34"/>
        <v>OK</v>
      </c>
      <c r="AK334">
        <f t="shared" si="35"/>
        <v>1</v>
      </c>
    </row>
    <row r="335" spans="1:37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  <c r="V335" s="1" t="s">
        <v>180</v>
      </c>
      <c r="W335" s="1" t="s">
        <v>115</v>
      </c>
      <c r="X335" s="1" t="s">
        <v>4119</v>
      </c>
      <c r="Y335" s="1" t="s">
        <v>506</v>
      </c>
      <c r="Z335" s="1" t="s">
        <v>507</v>
      </c>
      <c r="AA335" s="1" t="s">
        <v>86</v>
      </c>
      <c r="AB335" s="1" t="s">
        <v>223</v>
      </c>
      <c r="AC335" s="1" t="s">
        <v>56</v>
      </c>
      <c r="AD335" s="1" t="s">
        <v>34</v>
      </c>
      <c r="AE335" s="1" t="s">
        <v>35</v>
      </c>
      <c r="AF335" s="5">
        <f t="shared" si="30"/>
        <v>45830</v>
      </c>
      <c r="AG335" s="5">
        <f t="shared" si="31"/>
        <v>45835</v>
      </c>
      <c r="AH335" s="5" t="b">
        <f t="shared" si="32"/>
        <v>1</v>
      </c>
      <c r="AI335" s="5" t="b">
        <f t="shared" si="33"/>
        <v>1</v>
      </c>
      <c r="AJ335" t="str">
        <f t="shared" si="34"/>
        <v>OK</v>
      </c>
      <c r="AK335">
        <f t="shared" si="35"/>
        <v>5</v>
      </c>
    </row>
    <row r="336" spans="1:37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  <c r="V336" s="1" t="s">
        <v>72</v>
      </c>
      <c r="W336" s="1" t="s">
        <v>26</v>
      </c>
      <c r="X336" s="1" t="s">
        <v>42</v>
      </c>
      <c r="Y336" s="1" t="s">
        <v>311</v>
      </c>
      <c r="Z336" s="1" t="s">
        <v>312</v>
      </c>
      <c r="AA336" s="1" t="s">
        <v>30</v>
      </c>
      <c r="AB336" s="1" t="s">
        <v>156</v>
      </c>
      <c r="AC336" s="1" t="s">
        <v>56</v>
      </c>
      <c r="AD336" s="1" t="s">
        <v>34</v>
      </c>
      <c r="AE336" s="1" t="s">
        <v>35</v>
      </c>
      <c r="AF336" s="5">
        <f t="shared" si="30"/>
        <v>45547</v>
      </c>
      <c r="AG336" s="5" t="e">
        <f t="shared" si="31"/>
        <v>#N/A</v>
      </c>
      <c r="AH336" s="5" t="b">
        <f t="shared" si="32"/>
        <v>1</v>
      </c>
      <c r="AI336" s="5" t="b">
        <f t="shared" si="33"/>
        <v>0</v>
      </c>
      <c r="AJ336" t="e">
        <f t="shared" si="34"/>
        <v>#N/A</v>
      </c>
      <c r="AK336" t="e">
        <f t="shared" si="35"/>
        <v>#N/A</v>
      </c>
    </row>
    <row r="337" spans="1:37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  <c r="V337" s="1" t="s">
        <v>148</v>
      </c>
      <c r="W337" s="1" t="s">
        <v>115</v>
      </c>
      <c r="X337" s="1" t="s">
        <v>73</v>
      </c>
      <c r="Y337" s="1" t="s">
        <v>84</v>
      </c>
      <c r="Z337" s="1" t="s">
        <v>85</v>
      </c>
      <c r="AA337" s="1" t="s">
        <v>30</v>
      </c>
      <c r="AB337" s="1" t="s">
        <v>31</v>
      </c>
      <c r="AC337" s="1" t="s">
        <v>56</v>
      </c>
      <c r="AD337" s="1" t="s">
        <v>34</v>
      </c>
      <c r="AE337" s="1" t="s">
        <v>35</v>
      </c>
      <c r="AF337" s="5">
        <f t="shared" si="30"/>
        <v>45824</v>
      </c>
      <c r="AG337" s="5">
        <f t="shared" si="31"/>
        <v>45826</v>
      </c>
      <c r="AH337" s="5" t="b">
        <f t="shared" si="32"/>
        <v>1</v>
      </c>
      <c r="AI337" s="5" t="b">
        <f t="shared" si="33"/>
        <v>1</v>
      </c>
      <c r="AJ337" t="str">
        <f t="shared" si="34"/>
        <v>OK</v>
      </c>
      <c r="AK337">
        <f t="shared" si="35"/>
        <v>2</v>
      </c>
    </row>
    <row r="338" spans="1:37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  <c r="V338" s="1" t="s">
        <v>162</v>
      </c>
      <c r="W338" s="1" t="s">
        <v>26</v>
      </c>
      <c r="X338" s="1" t="s">
        <v>27</v>
      </c>
      <c r="Y338" s="1" t="s">
        <v>28</v>
      </c>
      <c r="Z338" s="1" t="s">
        <v>29</v>
      </c>
      <c r="AA338" s="1" t="s">
        <v>86</v>
      </c>
      <c r="AB338" s="1" t="s">
        <v>94</v>
      </c>
      <c r="AC338" s="1" t="s">
        <v>56</v>
      </c>
      <c r="AD338" s="1" t="s">
        <v>34</v>
      </c>
      <c r="AE338" s="1" t="s">
        <v>35</v>
      </c>
      <c r="AF338" s="5" t="e">
        <f t="shared" si="30"/>
        <v>#N/A</v>
      </c>
      <c r="AG338" s="5">
        <f t="shared" si="31"/>
        <v>45372</v>
      </c>
      <c r="AH338" s="5" t="b">
        <f t="shared" si="32"/>
        <v>0</v>
      </c>
      <c r="AI338" s="5" t="b">
        <f t="shared" si="33"/>
        <v>1</v>
      </c>
      <c r="AJ338" t="e">
        <f t="shared" si="34"/>
        <v>#N/A</v>
      </c>
      <c r="AK338" t="e">
        <f t="shared" si="35"/>
        <v>#N/A</v>
      </c>
    </row>
    <row r="339" spans="1:37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  <c r="V339" s="1" t="s">
        <v>72</v>
      </c>
      <c r="W339" s="1" t="s">
        <v>26</v>
      </c>
      <c r="X339" s="1" t="s">
        <v>42</v>
      </c>
      <c r="Y339" s="1" t="s">
        <v>216</v>
      </c>
      <c r="Z339" s="1" t="s">
        <v>217</v>
      </c>
      <c r="AA339" s="1" t="s">
        <v>30</v>
      </c>
      <c r="AB339" s="1" t="s">
        <v>109</v>
      </c>
      <c r="AC339" s="1" t="s">
        <v>48</v>
      </c>
      <c r="AD339" s="1" t="s">
        <v>34</v>
      </c>
      <c r="AE339" s="1" t="s">
        <v>35</v>
      </c>
      <c r="AF339" s="5">
        <f t="shared" si="30"/>
        <v>45516</v>
      </c>
      <c r="AG339" s="5">
        <f t="shared" si="31"/>
        <v>45522</v>
      </c>
      <c r="AH339" s="5" t="b">
        <f t="shared" si="32"/>
        <v>1</v>
      </c>
      <c r="AI339" s="5" t="b">
        <f t="shared" si="33"/>
        <v>1</v>
      </c>
      <c r="AJ339" t="str">
        <f t="shared" si="34"/>
        <v>OK</v>
      </c>
      <c r="AK339">
        <f t="shared" si="35"/>
        <v>6</v>
      </c>
    </row>
    <row r="340" spans="1:37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  <c r="V340" s="1" t="s">
        <v>61</v>
      </c>
      <c r="W340" s="1" t="s">
        <v>41</v>
      </c>
      <c r="X340" s="1" t="s">
        <v>62</v>
      </c>
      <c r="Y340" s="1" t="s">
        <v>100</v>
      </c>
      <c r="Z340" s="1" t="s">
        <v>101</v>
      </c>
      <c r="AA340" s="1" t="s">
        <v>86</v>
      </c>
      <c r="AB340" s="1" t="s">
        <v>87</v>
      </c>
      <c r="AC340" s="1" t="s">
        <v>56</v>
      </c>
      <c r="AD340" s="1" t="s">
        <v>34</v>
      </c>
      <c r="AE340" s="1" t="s">
        <v>35</v>
      </c>
      <c r="AF340" s="5">
        <f t="shared" si="30"/>
        <v>45516</v>
      </c>
      <c r="AG340" s="5">
        <f t="shared" si="31"/>
        <v>45634</v>
      </c>
      <c r="AH340" s="5" t="b">
        <f t="shared" si="32"/>
        <v>1</v>
      </c>
      <c r="AI340" s="5" t="b">
        <f t="shared" si="33"/>
        <v>1</v>
      </c>
      <c r="AJ340" t="str">
        <f t="shared" si="34"/>
        <v>OK</v>
      </c>
      <c r="AK340">
        <f t="shared" si="35"/>
        <v>118</v>
      </c>
    </row>
    <row r="341" spans="1:37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  <c r="V341" s="1" t="s">
        <v>93</v>
      </c>
      <c r="W341" s="1" t="s">
        <v>108</v>
      </c>
      <c r="X341" s="1" t="s">
        <v>42</v>
      </c>
      <c r="Y341" s="1" t="s">
        <v>311</v>
      </c>
      <c r="Z341" s="1" t="s">
        <v>312</v>
      </c>
      <c r="AA341" s="1" t="s">
        <v>45</v>
      </c>
      <c r="AB341" s="1" t="s">
        <v>204</v>
      </c>
      <c r="AC341" s="1" t="s">
        <v>67</v>
      </c>
      <c r="AD341" s="1" t="s">
        <v>34</v>
      </c>
      <c r="AE341" s="1" t="s">
        <v>35</v>
      </c>
      <c r="AF341" s="5" t="e">
        <f t="shared" si="30"/>
        <v>#N/A</v>
      </c>
      <c r="AG341" s="5" t="e">
        <f t="shared" si="31"/>
        <v>#N/A</v>
      </c>
      <c r="AH341" s="5" t="b">
        <f t="shared" si="32"/>
        <v>0</v>
      </c>
      <c r="AI341" s="5" t="b">
        <f t="shared" si="33"/>
        <v>0</v>
      </c>
      <c r="AJ341" t="e">
        <f t="shared" si="34"/>
        <v>#N/A</v>
      </c>
      <c r="AK341" t="e">
        <f t="shared" si="35"/>
        <v>#N/A</v>
      </c>
    </row>
    <row r="342" spans="1:37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  <c r="V342" s="1" t="s">
        <v>93</v>
      </c>
      <c r="W342" s="1" t="s">
        <v>26</v>
      </c>
      <c r="X342" s="1" t="s">
        <v>62</v>
      </c>
      <c r="Y342" s="1" t="s">
        <v>229</v>
      </c>
      <c r="Z342" s="1" t="s">
        <v>230</v>
      </c>
      <c r="AA342" s="1" t="s">
        <v>30</v>
      </c>
      <c r="AB342" s="1" t="s">
        <v>198</v>
      </c>
      <c r="AC342" s="1" t="s">
        <v>67</v>
      </c>
      <c r="AD342" s="1" t="s">
        <v>34</v>
      </c>
      <c r="AE342" s="1" t="s">
        <v>35</v>
      </c>
      <c r="AF342" s="5">
        <f t="shared" si="30"/>
        <v>45312</v>
      </c>
      <c r="AG342" s="5">
        <f t="shared" si="31"/>
        <v>45320</v>
      </c>
      <c r="AH342" s="5" t="b">
        <f t="shared" si="32"/>
        <v>1</v>
      </c>
      <c r="AI342" s="5" t="b">
        <f t="shared" si="33"/>
        <v>1</v>
      </c>
      <c r="AJ342" t="str">
        <f t="shared" si="34"/>
        <v>OK</v>
      </c>
      <c r="AK342">
        <f t="shared" si="35"/>
        <v>8</v>
      </c>
    </row>
    <row r="343" spans="1:37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  <c r="V343" s="1" t="s">
        <v>180</v>
      </c>
      <c r="W343" s="1" t="s">
        <v>115</v>
      </c>
      <c r="X343" s="1" t="s">
        <v>73</v>
      </c>
      <c r="Y343" s="1" t="s">
        <v>235</v>
      </c>
      <c r="Z343" s="1" t="s">
        <v>236</v>
      </c>
      <c r="AA343" s="1" t="s">
        <v>45</v>
      </c>
      <c r="AB343" s="1" t="s">
        <v>76</v>
      </c>
      <c r="AC343" s="1" t="s">
        <v>33</v>
      </c>
      <c r="AD343" s="1" t="s">
        <v>34</v>
      </c>
      <c r="AE343" s="1" t="s">
        <v>35</v>
      </c>
      <c r="AF343" s="5">
        <f t="shared" si="30"/>
        <v>45908</v>
      </c>
      <c r="AG343" s="5">
        <f t="shared" si="31"/>
        <v>45909</v>
      </c>
      <c r="AH343" s="5" t="b">
        <f t="shared" si="32"/>
        <v>1</v>
      </c>
      <c r="AI343" s="5" t="b">
        <f t="shared" si="33"/>
        <v>1</v>
      </c>
      <c r="AJ343" t="str">
        <f t="shared" si="34"/>
        <v>OK</v>
      </c>
      <c r="AK343">
        <f t="shared" si="35"/>
        <v>1</v>
      </c>
    </row>
    <row r="344" spans="1:37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  <c r="V344" s="1" t="s">
        <v>366</v>
      </c>
      <c r="W344" s="1" t="s">
        <v>41</v>
      </c>
      <c r="X344" s="1" t="s">
        <v>42</v>
      </c>
      <c r="Y344" s="1" t="s">
        <v>311</v>
      </c>
      <c r="Z344" s="1" t="s">
        <v>312</v>
      </c>
      <c r="AA344" s="1" t="s">
        <v>30</v>
      </c>
      <c r="AB344" s="1" t="s">
        <v>198</v>
      </c>
      <c r="AC344" s="1" t="s">
        <v>56</v>
      </c>
      <c r="AD344" s="1" t="s">
        <v>34</v>
      </c>
      <c r="AE344" s="1" t="s">
        <v>35</v>
      </c>
      <c r="AF344" s="5" t="e">
        <f t="shared" si="30"/>
        <v>#N/A</v>
      </c>
      <c r="AG344" s="5">
        <f t="shared" si="31"/>
        <v>45665</v>
      </c>
      <c r="AH344" s="5" t="b">
        <f t="shared" si="32"/>
        <v>0</v>
      </c>
      <c r="AI344" s="5" t="b">
        <f t="shared" si="33"/>
        <v>1</v>
      </c>
      <c r="AJ344" t="e">
        <f t="shared" si="34"/>
        <v>#N/A</v>
      </c>
      <c r="AK344" t="e">
        <f t="shared" si="35"/>
        <v>#N/A</v>
      </c>
    </row>
    <row r="345" spans="1:37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  <c r="V345" s="1" t="s">
        <v>162</v>
      </c>
      <c r="W345" s="1" t="s">
        <v>108</v>
      </c>
      <c r="X345" s="1" t="s">
        <v>73</v>
      </c>
      <c r="Y345" s="1" t="s">
        <v>84</v>
      </c>
      <c r="Z345" s="1" t="s">
        <v>85</v>
      </c>
      <c r="AA345" s="1" t="s">
        <v>86</v>
      </c>
      <c r="AB345" s="1" t="s">
        <v>382</v>
      </c>
      <c r="AC345" s="1" t="s">
        <v>48</v>
      </c>
      <c r="AD345" s="1" t="s">
        <v>34</v>
      </c>
      <c r="AE345" s="1" t="s">
        <v>35</v>
      </c>
      <c r="AF345" s="5">
        <f t="shared" si="30"/>
        <v>45933</v>
      </c>
      <c r="AG345" s="5">
        <f t="shared" si="31"/>
        <v>45938</v>
      </c>
      <c r="AH345" s="5" t="b">
        <f t="shared" si="32"/>
        <v>1</v>
      </c>
      <c r="AI345" s="5" t="b">
        <f t="shared" si="33"/>
        <v>1</v>
      </c>
      <c r="AJ345" t="str">
        <f t="shared" si="34"/>
        <v>OK</v>
      </c>
      <c r="AK345">
        <f t="shared" si="35"/>
        <v>5</v>
      </c>
    </row>
    <row r="346" spans="1:37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  <c r="V346" s="1" t="s">
        <v>142</v>
      </c>
      <c r="W346" s="1" t="s">
        <v>26</v>
      </c>
      <c r="X346" s="1" t="s">
        <v>27</v>
      </c>
      <c r="Y346" s="1" t="s">
        <v>154</v>
      </c>
      <c r="Z346" s="1" t="s">
        <v>155</v>
      </c>
      <c r="AA346" s="1" t="s">
        <v>45</v>
      </c>
      <c r="AB346" s="1" t="s">
        <v>204</v>
      </c>
      <c r="AC346" s="1" t="s">
        <v>48</v>
      </c>
      <c r="AD346" s="1" t="s">
        <v>137</v>
      </c>
      <c r="AE346" s="1" t="s">
        <v>125</v>
      </c>
      <c r="AF346" s="5">
        <f t="shared" si="30"/>
        <v>45599</v>
      </c>
      <c r="AG346" s="5">
        <f t="shared" si="31"/>
        <v>45599</v>
      </c>
      <c r="AH346" s="5" t="b">
        <f t="shared" si="32"/>
        <v>1</v>
      </c>
      <c r="AI346" s="5" t="b">
        <f t="shared" si="33"/>
        <v>1</v>
      </c>
      <c r="AJ346" t="str">
        <f t="shared" si="34"/>
        <v>OK</v>
      </c>
      <c r="AK346">
        <f t="shared" si="35"/>
        <v>0</v>
      </c>
    </row>
    <row r="347" spans="1:37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  <c r="V347" s="1" t="s">
        <v>25</v>
      </c>
      <c r="W347" s="1" t="s">
        <v>26</v>
      </c>
      <c r="X347" s="1" t="s">
        <v>73</v>
      </c>
      <c r="Y347" s="1" t="s">
        <v>84</v>
      </c>
      <c r="Z347" s="1" t="s">
        <v>85</v>
      </c>
      <c r="AA347" s="1" t="s">
        <v>45</v>
      </c>
      <c r="AB347" s="1" t="s">
        <v>65</v>
      </c>
      <c r="AC347" s="1" t="s">
        <v>33</v>
      </c>
      <c r="AD347" s="1" t="s">
        <v>34</v>
      </c>
      <c r="AE347" s="1" t="s">
        <v>35</v>
      </c>
      <c r="AF347" s="5">
        <f t="shared" si="30"/>
        <v>45549</v>
      </c>
      <c r="AG347" s="5">
        <f t="shared" si="31"/>
        <v>45557</v>
      </c>
      <c r="AH347" s="5" t="b">
        <f t="shared" si="32"/>
        <v>1</v>
      </c>
      <c r="AI347" s="5" t="b">
        <f t="shared" si="33"/>
        <v>1</v>
      </c>
      <c r="AJ347" t="str">
        <f t="shared" si="34"/>
        <v>OK</v>
      </c>
      <c r="AK347">
        <f t="shared" si="35"/>
        <v>8</v>
      </c>
    </row>
    <row r="348" spans="1:37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  <c r="V348" s="1" t="s">
        <v>148</v>
      </c>
      <c r="W348" s="1" t="s">
        <v>108</v>
      </c>
      <c r="X348" s="1" t="s">
        <v>62</v>
      </c>
      <c r="Y348" s="1" t="s">
        <v>242</v>
      </c>
      <c r="Z348" s="1" t="s">
        <v>243</v>
      </c>
      <c r="AA348" s="1" t="s">
        <v>45</v>
      </c>
      <c r="AB348" s="1" t="s">
        <v>76</v>
      </c>
      <c r="AC348" s="1" t="s">
        <v>33</v>
      </c>
      <c r="AD348" s="1" t="s">
        <v>34</v>
      </c>
      <c r="AE348" s="1" t="s">
        <v>35</v>
      </c>
      <c r="AF348" s="5">
        <f t="shared" si="30"/>
        <v>45860</v>
      </c>
      <c r="AG348" s="5" t="e">
        <f t="shared" si="31"/>
        <v>#N/A</v>
      </c>
      <c r="AH348" s="5" t="b">
        <f t="shared" si="32"/>
        <v>1</v>
      </c>
      <c r="AI348" s="5" t="b">
        <f t="shared" si="33"/>
        <v>0</v>
      </c>
      <c r="AJ348" t="e">
        <f t="shared" si="34"/>
        <v>#N/A</v>
      </c>
      <c r="AK348" t="e">
        <f t="shared" si="35"/>
        <v>#N/A</v>
      </c>
    </row>
    <row r="349" spans="1:37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  <c r="V349" s="1" t="s">
        <v>162</v>
      </c>
      <c r="W349" s="1" t="s">
        <v>41</v>
      </c>
      <c r="X349" s="1" t="s">
        <v>73</v>
      </c>
      <c r="Y349" s="1" t="s">
        <v>249</v>
      </c>
      <c r="Z349" s="1" t="s">
        <v>250</v>
      </c>
      <c r="AA349" s="1" t="s">
        <v>45</v>
      </c>
      <c r="AB349" s="1" t="s">
        <v>76</v>
      </c>
      <c r="AC349" s="1" t="s">
        <v>33</v>
      </c>
      <c r="AD349" s="1" t="s">
        <v>124</v>
      </c>
      <c r="AE349" s="1" t="s">
        <v>125</v>
      </c>
      <c r="AF349" s="5">
        <f t="shared" si="30"/>
        <v>45303</v>
      </c>
      <c r="AG349" s="5">
        <f t="shared" si="31"/>
        <v>45634</v>
      </c>
      <c r="AH349" s="5" t="b">
        <f t="shared" si="32"/>
        <v>1</v>
      </c>
      <c r="AI349" s="5" t="b">
        <f t="shared" si="33"/>
        <v>1</v>
      </c>
      <c r="AJ349" t="str">
        <f t="shared" si="34"/>
        <v>OK</v>
      </c>
      <c r="AK349">
        <f t="shared" si="35"/>
        <v>331</v>
      </c>
    </row>
    <row r="350" spans="1:37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  <c r="V350" s="1" t="s">
        <v>162</v>
      </c>
      <c r="W350" s="1" t="s">
        <v>108</v>
      </c>
      <c r="X350" s="1" t="s">
        <v>62</v>
      </c>
      <c r="Y350" s="1" t="s">
        <v>229</v>
      </c>
      <c r="Z350" s="1" t="s">
        <v>230</v>
      </c>
      <c r="AA350" s="1" t="s">
        <v>86</v>
      </c>
      <c r="AB350" s="1" t="s">
        <v>223</v>
      </c>
      <c r="AC350" s="1" t="s">
        <v>48</v>
      </c>
      <c r="AD350" s="1" t="s">
        <v>34</v>
      </c>
      <c r="AE350" s="1" t="s">
        <v>35</v>
      </c>
      <c r="AF350" s="5">
        <f t="shared" si="30"/>
        <v>45445</v>
      </c>
      <c r="AG350" s="5">
        <f t="shared" si="31"/>
        <v>45450</v>
      </c>
      <c r="AH350" s="5" t="b">
        <f t="shared" si="32"/>
        <v>1</v>
      </c>
      <c r="AI350" s="5" t="b">
        <f t="shared" si="33"/>
        <v>1</v>
      </c>
      <c r="AJ350" t="str">
        <f t="shared" si="34"/>
        <v>OK</v>
      </c>
      <c r="AK350">
        <f t="shared" si="35"/>
        <v>5</v>
      </c>
    </row>
    <row r="351" spans="1:37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  <c r="V351" s="1" t="s">
        <v>366</v>
      </c>
      <c r="W351" s="1" t="s">
        <v>115</v>
      </c>
      <c r="X351" s="1" t="s">
        <v>42</v>
      </c>
      <c r="Y351" s="1" t="s">
        <v>311</v>
      </c>
      <c r="Z351" s="1" t="s">
        <v>312</v>
      </c>
      <c r="AA351" s="1" t="s">
        <v>45</v>
      </c>
      <c r="AB351" s="1" t="s">
        <v>65</v>
      </c>
      <c r="AC351" s="1" t="s">
        <v>33</v>
      </c>
      <c r="AD351" s="1" t="s">
        <v>34</v>
      </c>
      <c r="AE351" s="1" t="s">
        <v>35</v>
      </c>
      <c r="AF351" s="5" t="e">
        <f t="shared" si="30"/>
        <v>#N/A</v>
      </c>
      <c r="AG351" s="5">
        <f t="shared" si="31"/>
        <v>45929</v>
      </c>
      <c r="AH351" s="5" t="b">
        <f t="shared" si="32"/>
        <v>0</v>
      </c>
      <c r="AI351" s="5" t="b">
        <f t="shared" si="33"/>
        <v>1</v>
      </c>
      <c r="AJ351" t="e">
        <f t="shared" si="34"/>
        <v>#N/A</v>
      </c>
      <c r="AK351" t="e">
        <f t="shared" si="35"/>
        <v>#N/A</v>
      </c>
    </row>
    <row r="352" spans="1:37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  <c r="V352" s="1" t="s">
        <v>168</v>
      </c>
      <c r="W352" s="1" t="s">
        <v>41</v>
      </c>
      <c r="X352" s="1" t="s">
        <v>42</v>
      </c>
      <c r="Y352" s="1" t="s">
        <v>311</v>
      </c>
      <c r="Z352" s="1" t="s">
        <v>312</v>
      </c>
      <c r="AA352" s="1" t="s">
        <v>45</v>
      </c>
      <c r="AB352" s="1" t="s">
        <v>65</v>
      </c>
      <c r="AC352" s="1" t="s">
        <v>33</v>
      </c>
      <c r="AD352" s="1" t="s">
        <v>124</v>
      </c>
      <c r="AE352" s="1" t="s">
        <v>125</v>
      </c>
      <c r="AF352" s="5">
        <f t="shared" si="30"/>
        <v>45474</v>
      </c>
      <c r="AG352" s="5">
        <f t="shared" si="31"/>
        <v>45305</v>
      </c>
      <c r="AH352" s="5" t="b">
        <f t="shared" si="32"/>
        <v>1</v>
      </c>
      <c r="AI352" s="5" t="b">
        <f t="shared" si="33"/>
        <v>1</v>
      </c>
      <c r="AJ352" t="str">
        <f t="shared" si="34"/>
        <v>Invalid: Ship before Order</v>
      </c>
      <c r="AK352" t="e">
        <f t="shared" si="35"/>
        <v>#NUM!</v>
      </c>
    </row>
    <row r="353" spans="1:37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  <c r="V353" s="1" t="s">
        <v>83</v>
      </c>
      <c r="W353" s="1" t="s">
        <v>41</v>
      </c>
      <c r="X353" s="1" t="s">
        <v>62</v>
      </c>
      <c r="Y353" s="1" t="s">
        <v>63</v>
      </c>
      <c r="Z353" s="1" t="s">
        <v>64</v>
      </c>
      <c r="AA353" s="1" t="s">
        <v>30</v>
      </c>
      <c r="AB353" s="1" t="s">
        <v>156</v>
      </c>
      <c r="AC353" s="1" t="s">
        <v>56</v>
      </c>
      <c r="AD353" s="1" t="s">
        <v>137</v>
      </c>
      <c r="AE353" s="1" t="s">
        <v>78</v>
      </c>
      <c r="AF353" s="5" t="e">
        <f t="shared" si="30"/>
        <v>#N/A</v>
      </c>
      <c r="AG353" s="5">
        <f t="shared" si="31"/>
        <v>45804</v>
      </c>
      <c r="AH353" s="5" t="b">
        <f t="shared" si="32"/>
        <v>0</v>
      </c>
      <c r="AI353" s="5" t="b">
        <f t="shared" si="33"/>
        <v>1</v>
      </c>
      <c r="AJ353" t="e">
        <f t="shared" si="34"/>
        <v>#N/A</v>
      </c>
      <c r="AK353" t="e">
        <f t="shared" si="35"/>
        <v>#N/A</v>
      </c>
    </row>
    <row r="354" spans="1:37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  <c r="V354" s="1" t="s">
        <v>210</v>
      </c>
      <c r="W354" s="1" t="s">
        <v>41</v>
      </c>
      <c r="X354" s="1" t="s">
        <v>42</v>
      </c>
      <c r="Y354" s="1" t="s">
        <v>216</v>
      </c>
      <c r="Z354" s="1" t="s">
        <v>217</v>
      </c>
      <c r="AA354" s="1" t="s">
        <v>86</v>
      </c>
      <c r="AB354" s="1" t="s">
        <v>94</v>
      </c>
      <c r="AC354" s="1" t="s">
        <v>56</v>
      </c>
      <c r="AD354" s="1" t="s">
        <v>34</v>
      </c>
      <c r="AE354" s="1" t="s">
        <v>35</v>
      </c>
      <c r="AF354" s="5">
        <f t="shared" si="30"/>
        <v>45884</v>
      </c>
      <c r="AG354" s="5">
        <f t="shared" si="31"/>
        <v>45886</v>
      </c>
      <c r="AH354" s="5" t="b">
        <f t="shared" si="32"/>
        <v>1</v>
      </c>
      <c r="AI354" s="5" t="b">
        <f t="shared" si="33"/>
        <v>1</v>
      </c>
      <c r="AJ354" t="str">
        <f t="shared" si="34"/>
        <v>OK</v>
      </c>
      <c r="AK354">
        <f t="shared" si="35"/>
        <v>2</v>
      </c>
    </row>
    <row r="355" spans="1:37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  <c r="V355" s="1" t="s">
        <v>72</v>
      </c>
      <c r="W355" s="1" t="s">
        <v>26</v>
      </c>
      <c r="X355" s="1" t="s">
        <v>27</v>
      </c>
      <c r="Y355" s="1" t="s">
        <v>28</v>
      </c>
      <c r="Z355" s="1" t="s">
        <v>29</v>
      </c>
      <c r="AA355" s="1" t="s">
        <v>30</v>
      </c>
      <c r="AB355" s="1" t="s">
        <v>54</v>
      </c>
      <c r="AC355" s="1" t="s">
        <v>48</v>
      </c>
      <c r="AD355" s="1" t="s">
        <v>34</v>
      </c>
      <c r="AE355" s="1" t="s">
        <v>35</v>
      </c>
      <c r="AF355" s="5" t="e">
        <f t="shared" si="30"/>
        <v>#N/A</v>
      </c>
      <c r="AG355" s="5" t="e">
        <f t="shared" si="31"/>
        <v>#N/A</v>
      </c>
      <c r="AH355" s="5" t="b">
        <f t="shared" si="32"/>
        <v>0</v>
      </c>
      <c r="AI355" s="5" t="b">
        <f t="shared" si="33"/>
        <v>0</v>
      </c>
      <c r="AJ355" t="e">
        <f t="shared" si="34"/>
        <v>#N/A</v>
      </c>
      <c r="AK355" t="e">
        <f t="shared" si="35"/>
        <v>#N/A</v>
      </c>
    </row>
    <row r="356" spans="1:37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  <c r="V356" s="1" t="s">
        <v>366</v>
      </c>
      <c r="W356" s="1" t="s">
        <v>108</v>
      </c>
      <c r="X356" s="1" t="s">
        <v>27</v>
      </c>
      <c r="Y356" s="1" t="s">
        <v>154</v>
      </c>
      <c r="Z356" s="1" t="s">
        <v>155</v>
      </c>
      <c r="AA356" s="1" t="s">
        <v>45</v>
      </c>
      <c r="AB356" s="1" t="s">
        <v>65</v>
      </c>
      <c r="AC356" s="1" t="s">
        <v>67</v>
      </c>
      <c r="AD356" s="1" t="s">
        <v>137</v>
      </c>
      <c r="AE356" s="1" t="s">
        <v>78</v>
      </c>
      <c r="AF356" s="5">
        <f t="shared" si="30"/>
        <v>45653</v>
      </c>
      <c r="AG356" s="5">
        <f t="shared" si="31"/>
        <v>45657</v>
      </c>
      <c r="AH356" s="5" t="b">
        <f t="shared" si="32"/>
        <v>1</v>
      </c>
      <c r="AI356" s="5" t="b">
        <f t="shared" si="33"/>
        <v>1</v>
      </c>
      <c r="AJ356" t="str">
        <f t="shared" si="34"/>
        <v>OK</v>
      </c>
      <c r="AK356">
        <f t="shared" si="35"/>
        <v>4</v>
      </c>
    </row>
    <row r="357" spans="1:37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  <c r="V357" s="1" t="s">
        <v>142</v>
      </c>
      <c r="W357" s="1" t="s">
        <v>108</v>
      </c>
      <c r="X357" s="1" t="s">
        <v>73</v>
      </c>
      <c r="Y357" s="1" t="s">
        <v>28</v>
      </c>
      <c r="Z357" s="1" t="s">
        <v>135</v>
      </c>
      <c r="AA357" s="1" t="s">
        <v>45</v>
      </c>
      <c r="AB357" s="1" t="s">
        <v>46</v>
      </c>
      <c r="AC357" s="1" t="s">
        <v>67</v>
      </c>
      <c r="AD357" s="1" t="s">
        <v>137</v>
      </c>
      <c r="AE357" s="1" t="s">
        <v>78</v>
      </c>
      <c r="AF357" s="5">
        <f t="shared" si="30"/>
        <v>45631</v>
      </c>
      <c r="AG357" s="5">
        <f t="shared" si="31"/>
        <v>45421</v>
      </c>
      <c r="AH357" s="5" t="b">
        <f t="shared" si="32"/>
        <v>1</v>
      </c>
      <c r="AI357" s="5" t="b">
        <f t="shared" si="33"/>
        <v>1</v>
      </c>
      <c r="AJ357" t="str">
        <f t="shared" si="34"/>
        <v>Invalid: Ship before Order</v>
      </c>
      <c r="AK357" t="e">
        <f t="shared" si="35"/>
        <v>#NUM!</v>
      </c>
    </row>
    <row r="358" spans="1:37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  <c r="V358" s="1" t="s">
        <v>180</v>
      </c>
      <c r="W358" s="1" t="s">
        <v>115</v>
      </c>
      <c r="X358" s="1" t="s">
        <v>62</v>
      </c>
      <c r="Y358" s="1" t="s">
        <v>63</v>
      </c>
      <c r="Z358" s="1" t="s">
        <v>64</v>
      </c>
      <c r="AA358" s="1" t="s">
        <v>45</v>
      </c>
      <c r="AB358" s="1" t="s">
        <v>76</v>
      </c>
      <c r="AC358" s="1" t="s">
        <v>56</v>
      </c>
      <c r="AD358" s="1" t="s">
        <v>137</v>
      </c>
      <c r="AE358" s="1" t="s">
        <v>125</v>
      </c>
      <c r="AF358" s="5">
        <f t="shared" si="30"/>
        <v>45835</v>
      </c>
      <c r="AG358" s="5">
        <f t="shared" si="31"/>
        <v>45837</v>
      </c>
      <c r="AH358" s="5" t="b">
        <f t="shared" si="32"/>
        <v>1</v>
      </c>
      <c r="AI358" s="5" t="b">
        <f t="shared" si="33"/>
        <v>1</v>
      </c>
      <c r="AJ358" t="str">
        <f t="shared" si="34"/>
        <v>OK</v>
      </c>
      <c r="AK358">
        <f t="shared" si="35"/>
        <v>2</v>
      </c>
    </row>
    <row r="359" spans="1:37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  <c r="V359" s="1" t="s">
        <v>40</v>
      </c>
      <c r="W359" s="1" t="s">
        <v>115</v>
      </c>
      <c r="X359" s="1" t="s">
        <v>62</v>
      </c>
      <c r="Y359" s="1" t="s">
        <v>100</v>
      </c>
      <c r="Z359" s="1" t="s">
        <v>101</v>
      </c>
      <c r="AA359" s="1" t="s">
        <v>86</v>
      </c>
      <c r="AB359" s="1" t="s">
        <v>382</v>
      </c>
      <c r="AC359" s="1" t="s">
        <v>33</v>
      </c>
      <c r="AD359" s="1" t="s">
        <v>34</v>
      </c>
      <c r="AE359" s="1" t="s">
        <v>78</v>
      </c>
      <c r="AF359" s="5">
        <f t="shared" si="30"/>
        <v>45678</v>
      </c>
      <c r="AG359" s="5">
        <f t="shared" si="31"/>
        <v>45686</v>
      </c>
      <c r="AH359" s="5" t="b">
        <f t="shared" si="32"/>
        <v>1</v>
      </c>
      <c r="AI359" s="5" t="b">
        <f t="shared" si="33"/>
        <v>1</v>
      </c>
      <c r="AJ359" t="str">
        <f t="shared" si="34"/>
        <v>OK</v>
      </c>
      <c r="AK359">
        <f t="shared" si="35"/>
        <v>8</v>
      </c>
    </row>
    <row r="360" spans="1:37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  <c r="V360" s="1" t="s">
        <v>83</v>
      </c>
      <c r="W360" s="1" t="s">
        <v>115</v>
      </c>
      <c r="X360" s="1" t="s">
        <v>73</v>
      </c>
      <c r="Y360" s="1" t="s">
        <v>235</v>
      </c>
      <c r="Z360" s="1" t="s">
        <v>236</v>
      </c>
      <c r="AA360" s="1" t="s">
        <v>45</v>
      </c>
      <c r="AB360" s="1" t="s">
        <v>204</v>
      </c>
      <c r="AC360" s="1" t="s">
        <v>33</v>
      </c>
      <c r="AD360" s="1" t="s">
        <v>137</v>
      </c>
      <c r="AE360" s="1" t="s">
        <v>125</v>
      </c>
      <c r="AF360" s="5">
        <f t="shared" si="30"/>
        <v>45878</v>
      </c>
      <c r="AG360" s="5">
        <f t="shared" si="31"/>
        <v>45876</v>
      </c>
      <c r="AH360" s="5" t="b">
        <f t="shared" si="32"/>
        <v>1</v>
      </c>
      <c r="AI360" s="5" t="b">
        <f t="shared" si="33"/>
        <v>1</v>
      </c>
      <c r="AJ360" t="str">
        <f t="shared" si="34"/>
        <v>Invalid: Ship before Order</v>
      </c>
      <c r="AK360" t="e">
        <f t="shared" si="35"/>
        <v>#NUM!</v>
      </c>
    </row>
    <row r="361" spans="1:37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  <c r="V361" s="1" t="s">
        <v>53</v>
      </c>
      <c r="W361" s="1" t="s">
        <v>26</v>
      </c>
      <c r="X361" s="1" t="s">
        <v>62</v>
      </c>
      <c r="Y361" s="1" t="s">
        <v>339</v>
      </c>
      <c r="Z361" s="1" t="s">
        <v>340</v>
      </c>
      <c r="AA361" s="1" t="s">
        <v>86</v>
      </c>
      <c r="AB361" s="1" t="s">
        <v>223</v>
      </c>
      <c r="AC361" s="1" t="s">
        <v>48</v>
      </c>
      <c r="AD361" s="1" t="s">
        <v>34</v>
      </c>
      <c r="AE361" s="1" t="s">
        <v>35</v>
      </c>
      <c r="AF361" s="5">
        <f t="shared" si="30"/>
        <v>45525</v>
      </c>
      <c r="AG361" s="5" t="e">
        <f t="shared" si="31"/>
        <v>#N/A</v>
      </c>
      <c r="AH361" s="5" t="b">
        <f t="shared" si="32"/>
        <v>1</v>
      </c>
      <c r="AI361" s="5" t="b">
        <f t="shared" si="33"/>
        <v>0</v>
      </c>
      <c r="AJ361" t="e">
        <f t="shared" si="34"/>
        <v>#N/A</v>
      </c>
      <c r="AK361" t="e">
        <f t="shared" si="35"/>
        <v>#N/A</v>
      </c>
    </row>
    <row r="362" spans="1:37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  <c r="V362" s="1" t="s">
        <v>168</v>
      </c>
      <c r="W362" s="1" t="s">
        <v>41</v>
      </c>
      <c r="X362" s="1" t="s">
        <v>73</v>
      </c>
      <c r="Y362" s="1" t="s">
        <v>235</v>
      </c>
      <c r="Z362" s="1" t="s">
        <v>236</v>
      </c>
      <c r="AA362" s="1" t="s">
        <v>45</v>
      </c>
      <c r="AB362" s="1" t="s">
        <v>65</v>
      </c>
      <c r="AC362" s="1" t="s">
        <v>67</v>
      </c>
      <c r="AD362" s="1" t="s">
        <v>124</v>
      </c>
      <c r="AE362" s="1" t="s">
        <v>78</v>
      </c>
      <c r="AF362" s="5">
        <f t="shared" si="30"/>
        <v>45460</v>
      </c>
      <c r="AG362" s="5">
        <f t="shared" si="31"/>
        <v>45463</v>
      </c>
      <c r="AH362" s="5" t="b">
        <f t="shared" si="32"/>
        <v>1</v>
      </c>
      <c r="AI362" s="5" t="b">
        <f t="shared" si="33"/>
        <v>1</v>
      </c>
      <c r="AJ362" t="str">
        <f t="shared" si="34"/>
        <v>OK</v>
      </c>
      <c r="AK362">
        <f t="shared" si="35"/>
        <v>3</v>
      </c>
    </row>
    <row r="363" spans="1:37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  <c r="V363" s="1" t="s">
        <v>180</v>
      </c>
      <c r="W363" s="1" t="s">
        <v>108</v>
      </c>
      <c r="X363" s="1" t="s">
        <v>42</v>
      </c>
      <c r="Y363" s="1" t="s">
        <v>43</v>
      </c>
      <c r="Z363" s="1" t="s">
        <v>44</v>
      </c>
      <c r="AA363" s="1" t="s">
        <v>45</v>
      </c>
      <c r="AB363" s="1" t="s">
        <v>76</v>
      </c>
      <c r="AC363" s="1" t="s">
        <v>33</v>
      </c>
      <c r="AD363" s="1" t="s">
        <v>137</v>
      </c>
      <c r="AE363" s="1" t="s">
        <v>125</v>
      </c>
      <c r="AF363" s="5">
        <f t="shared" si="30"/>
        <v>45661</v>
      </c>
      <c r="AG363" s="5">
        <f t="shared" si="31"/>
        <v>45749</v>
      </c>
      <c r="AH363" s="5" t="b">
        <f t="shared" si="32"/>
        <v>1</v>
      </c>
      <c r="AI363" s="5" t="b">
        <f t="shared" si="33"/>
        <v>1</v>
      </c>
      <c r="AJ363" t="str">
        <f t="shared" si="34"/>
        <v>OK</v>
      </c>
      <c r="AK363">
        <f t="shared" si="35"/>
        <v>88</v>
      </c>
    </row>
    <row r="364" spans="1:37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  <c r="V364" s="1" t="s">
        <v>83</v>
      </c>
      <c r="W364" s="1" t="s">
        <v>26</v>
      </c>
      <c r="X364" s="1" t="s">
        <v>73</v>
      </c>
      <c r="Y364" s="1" t="s">
        <v>249</v>
      </c>
      <c r="Z364" s="1" t="s">
        <v>250</v>
      </c>
      <c r="AA364" s="1" t="s">
        <v>86</v>
      </c>
      <c r="AB364" s="1" t="s">
        <v>382</v>
      </c>
      <c r="AC364" s="1" t="s">
        <v>48</v>
      </c>
      <c r="AD364" s="1" t="s">
        <v>34</v>
      </c>
      <c r="AE364" s="1" t="s">
        <v>35</v>
      </c>
      <c r="AF364" s="5">
        <f t="shared" si="30"/>
        <v>45527</v>
      </c>
      <c r="AG364" s="5" t="e">
        <f t="shared" si="31"/>
        <v>#N/A</v>
      </c>
      <c r="AH364" s="5" t="b">
        <f t="shared" si="32"/>
        <v>1</v>
      </c>
      <c r="AI364" s="5" t="b">
        <f t="shared" si="33"/>
        <v>0</v>
      </c>
      <c r="AJ364" t="e">
        <f t="shared" si="34"/>
        <v>#N/A</v>
      </c>
      <c r="AK364" t="e">
        <f t="shared" si="35"/>
        <v>#N/A</v>
      </c>
    </row>
    <row r="365" spans="1:37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  <c r="V365" s="1" t="s">
        <v>210</v>
      </c>
      <c r="W365" s="1" t="s">
        <v>108</v>
      </c>
      <c r="X365" s="1" t="s">
        <v>42</v>
      </c>
      <c r="Y365" s="1" t="s">
        <v>121</v>
      </c>
      <c r="Z365" s="1" t="s">
        <v>122</v>
      </c>
      <c r="AA365" s="1" t="s">
        <v>45</v>
      </c>
      <c r="AB365" s="1" t="s">
        <v>46</v>
      </c>
      <c r="AC365" s="1" t="s">
        <v>33</v>
      </c>
      <c r="AD365" s="1" t="s">
        <v>34</v>
      </c>
      <c r="AE365" s="1" t="s">
        <v>35</v>
      </c>
      <c r="AF365" s="5">
        <f t="shared" si="30"/>
        <v>45845</v>
      </c>
      <c r="AG365" s="5">
        <f t="shared" si="31"/>
        <v>45850</v>
      </c>
      <c r="AH365" s="5" t="b">
        <f t="shared" si="32"/>
        <v>1</v>
      </c>
      <c r="AI365" s="5" t="b">
        <f t="shared" si="33"/>
        <v>1</v>
      </c>
      <c r="AJ365" t="str">
        <f t="shared" si="34"/>
        <v>OK</v>
      </c>
      <c r="AK365">
        <f t="shared" si="35"/>
        <v>5</v>
      </c>
    </row>
    <row r="366" spans="1:37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  <c r="V366" s="1" t="s">
        <v>162</v>
      </c>
      <c r="W366" s="1" t="s">
        <v>41</v>
      </c>
      <c r="X366" s="1" t="s">
        <v>62</v>
      </c>
      <c r="Y366" s="1" t="s">
        <v>100</v>
      </c>
      <c r="Z366" s="1" t="s">
        <v>101</v>
      </c>
      <c r="AA366" s="1" t="s">
        <v>45</v>
      </c>
      <c r="AB366" s="1" t="s">
        <v>76</v>
      </c>
      <c r="AC366" s="1" t="s">
        <v>33</v>
      </c>
      <c r="AD366" s="1" t="s">
        <v>34</v>
      </c>
      <c r="AE366" s="1" t="s">
        <v>35</v>
      </c>
      <c r="AF366" s="5">
        <f t="shared" si="30"/>
        <v>45737</v>
      </c>
      <c r="AG366" s="5">
        <f t="shared" si="31"/>
        <v>45740</v>
      </c>
      <c r="AH366" s="5" t="b">
        <f t="shared" si="32"/>
        <v>1</v>
      </c>
      <c r="AI366" s="5" t="b">
        <f t="shared" si="33"/>
        <v>1</v>
      </c>
      <c r="AJ366" t="str">
        <f t="shared" si="34"/>
        <v>OK</v>
      </c>
      <c r="AK366">
        <f t="shared" si="35"/>
        <v>3</v>
      </c>
    </row>
    <row r="367" spans="1:37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  <c r="V367" s="1" t="s">
        <v>107</v>
      </c>
      <c r="W367" s="1" t="s">
        <v>108</v>
      </c>
      <c r="X367" s="1" t="s">
        <v>73</v>
      </c>
      <c r="Y367" s="1" t="s">
        <v>249</v>
      </c>
      <c r="Z367" s="1" t="s">
        <v>250</v>
      </c>
      <c r="AA367" s="1" t="s">
        <v>86</v>
      </c>
      <c r="AB367" s="1" t="s">
        <v>87</v>
      </c>
      <c r="AC367" s="1" t="s">
        <v>56</v>
      </c>
      <c r="AD367" s="1" t="s">
        <v>34</v>
      </c>
      <c r="AE367" s="1" t="s">
        <v>35</v>
      </c>
      <c r="AF367" s="5" t="e">
        <f t="shared" si="30"/>
        <v>#N/A</v>
      </c>
      <c r="AG367" s="5" t="e">
        <f t="shared" si="31"/>
        <v>#N/A</v>
      </c>
      <c r="AH367" s="5" t="b">
        <f t="shared" si="32"/>
        <v>0</v>
      </c>
      <c r="AI367" s="5" t="b">
        <f t="shared" si="33"/>
        <v>0</v>
      </c>
      <c r="AJ367" t="e">
        <f t="shared" si="34"/>
        <v>#N/A</v>
      </c>
      <c r="AK367" t="e">
        <f t="shared" si="35"/>
        <v>#N/A</v>
      </c>
    </row>
    <row r="368" spans="1:37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  <c r="V368" s="1" t="s">
        <v>168</v>
      </c>
      <c r="W368" s="1" t="s">
        <v>108</v>
      </c>
      <c r="X368" s="1" t="s">
        <v>27</v>
      </c>
      <c r="Y368" s="1" t="s">
        <v>28</v>
      </c>
      <c r="Z368" s="1" t="s">
        <v>29</v>
      </c>
      <c r="AA368" s="1" t="s">
        <v>45</v>
      </c>
      <c r="AB368" s="1" t="s">
        <v>46</v>
      </c>
      <c r="AC368" s="1" t="s">
        <v>48</v>
      </c>
      <c r="AD368" s="1" t="s">
        <v>34</v>
      </c>
      <c r="AE368" s="1" t="s">
        <v>35</v>
      </c>
      <c r="AF368" s="5">
        <f t="shared" si="30"/>
        <v>45673</v>
      </c>
      <c r="AG368" s="5">
        <f t="shared" si="31"/>
        <v>45679</v>
      </c>
      <c r="AH368" s="5" t="b">
        <f t="shared" si="32"/>
        <v>1</v>
      </c>
      <c r="AI368" s="5" t="b">
        <f t="shared" si="33"/>
        <v>1</v>
      </c>
      <c r="AJ368" t="str">
        <f t="shared" si="34"/>
        <v>OK</v>
      </c>
      <c r="AK368">
        <f t="shared" si="35"/>
        <v>6</v>
      </c>
    </row>
    <row r="369" spans="1:37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  <c r="V369" s="1" t="s">
        <v>180</v>
      </c>
      <c r="W369" s="1" t="s">
        <v>26</v>
      </c>
      <c r="X369" s="1" t="s">
        <v>27</v>
      </c>
      <c r="Y369" s="1" t="s">
        <v>506</v>
      </c>
      <c r="Z369" s="1" t="s">
        <v>507</v>
      </c>
      <c r="AA369" s="1" t="s">
        <v>30</v>
      </c>
      <c r="AB369" s="1" t="s">
        <v>54</v>
      </c>
      <c r="AC369" s="1" t="s">
        <v>67</v>
      </c>
      <c r="AD369" s="1" t="s">
        <v>200</v>
      </c>
      <c r="AE369" s="1" t="s">
        <v>78</v>
      </c>
      <c r="AF369" s="5">
        <f t="shared" si="30"/>
        <v>45366</v>
      </c>
      <c r="AG369" s="5">
        <f t="shared" si="31"/>
        <v>45367</v>
      </c>
      <c r="AH369" s="5" t="b">
        <f t="shared" si="32"/>
        <v>1</v>
      </c>
      <c r="AI369" s="5" t="b">
        <f t="shared" si="33"/>
        <v>1</v>
      </c>
      <c r="AJ369" t="str">
        <f t="shared" si="34"/>
        <v>OK</v>
      </c>
      <c r="AK369">
        <f t="shared" si="35"/>
        <v>1</v>
      </c>
    </row>
    <row r="370" spans="1:37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  <c r="V370" s="1" t="s">
        <v>162</v>
      </c>
      <c r="W370" s="1" t="s">
        <v>115</v>
      </c>
      <c r="X370" s="1" t="s">
        <v>27</v>
      </c>
      <c r="Y370" s="1" t="s">
        <v>28</v>
      </c>
      <c r="Z370" s="1" t="s">
        <v>29</v>
      </c>
      <c r="AA370" s="1" t="s">
        <v>86</v>
      </c>
      <c r="AB370" s="1" t="s">
        <v>87</v>
      </c>
      <c r="AC370" s="1" t="s">
        <v>48</v>
      </c>
      <c r="AD370" s="1" t="s">
        <v>124</v>
      </c>
      <c r="AE370" s="1" t="s">
        <v>125</v>
      </c>
      <c r="AF370" s="5">
        <f t="shared" si="30"/>
        <v>45815</v>
      </c>
      <c r="AG370" s="5">
        <f t="shared" si="31"/>
        <v>45815</v>
      </c>
      <c r="AH370" s="5" t="b">
        <f t="shared" si="32"/>
        <v>1</v>
      </c>
      <c r="AI370" s="5" t="b">
        <f t="shared" si="33"/>
        <v>1</v>
      </c>
      <c r="AJ370" t="str">
        <f t="shared" si="34"/>
        <v>OK</v>
      </c>
      <c r="AK370">
        <f t="shared" si="35"/>
        <v>0</v>
      </c>
    </row>
    <row r="371" spans="1:37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  <c r="V371" s="1" t="s">
        <v>142</v>
      </c>
      <c r="W371" s="1" t="s">
        <v>26</v>
      </c>
      <c r="X371" s="1" t="s">
        <v>27</v>
      </c>
      <c r="Y371" s="1" t="s">
        <v>506</v>
      </c>
      <c r="Z371" s="1" t="s">
        <v>507</v>
      </c>
      <c r="AA371" s="1" t="s">
        <v>30</v>
      </c>
      <c r="AB371" s="1" t="s">
        <v>109</v>
      </c>
      <c r="AC371" s="1" t="s">
        <v>67</v>
      </c>
      <c r="AD371" s="1" t="s">
        <v>34</v>
      </c>
      <c r="AE371" s="1" t="s">
        <v>35</v>
      </c>
      <c r="AF371" s="5" t="e">
        <f t="shared" si="30"/>
        <v>#N/A</v>
      </c>
      <c r="AG371" s="5">
        <f t="shared" si="31"/>
        <v>45687</v>
      </c>
      <c r="AH371" s="5" t="b">
        <f t="shared" si="32"/>
        <v>0</v>
      </c>
      <c r="AI371" s="5" t="b">
        <f t="shared" si="33"/>
        <v>1</v>
      </c>
      <c r="AJ371" t="e">
        <f t="shared" si="34"/>
        <v>#N/A</v>
      </c>
      <c r="AK371" t="e">
        <f t="shared" si="35"/>
        <v>#N/A</v>
      </c>
    </row>
    <row r="372" spans="1:37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  <c r="V372" s="1" t="s">
        <v>72</v>
      </c>
      <c r="W372" s="1" t="s">
        <v>41</v>
      </c>
      <c r="X372" s="1" t="s">
        <v>73</v>
      </c>
      <c r="Y372" s="1" t="s">
        <v>28</v>
      </c>
      <c r="Z372" s="1" t="s">
        <v>135</v>
      </c>
      <c r="AA372" s="1" t="s">
        <v>86</v>
      </c>
      <c r="AB372" s="1" t="s">
        <v>94</v>
      </c>
      <c r="AC372" s="1" t="s">
        <v>56</v>
      </c>
      <c r="AD372" s="1" t="s">
        <v>34</v>
      </c>
      <c r="AE372" s="1" t="s">
        <v>35</v>
      </c>
      <c r="AF372" s="5">
        <f t="shared" si="30"/>
        <v>45519</v>
      </c>
      <c r="AG372" s="5">
        <f t="shared" si="31"/>
        <v>45525</v>
      </c>
      <c r="AH372" s="5" t="b">
        <f t="shared" si="32"/>
        <v>1</v>
      </c>
      <c r="AI372" s="5" t="b">
        <f t="shared" si="33"/>
        <v>1</v>
      </c>
      <c r="AJ372" t="str">
        <f t="shared" si="34"/>
        <v>OK</v>
      </c>
      <c r="AK372">
        <f t="shared" si="35"/>
        <v>6</v>
      </c>
    </row>
    <row r="373" spans="1:37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  <c r="V373" s="1" t="s">
        <v>210</v>
      </c>
      <c r="W373" s="1" t="s">
        <v>115</v>
      </c>
      <c r="X373" s="1" t="s">
        <v>73</v>
      </c>
      <c r="Y373" s="1" t="s">
        <v>74</v>
      </c>
      <c r="Z373" s="1" t="s">
        <v>75</v>
      </c>
      <c r="AA373" s="1" t="s">
        <v>30</v>
      </c>
      <c r="AB373" s="1" t="s">
        <v>54</v>
      </c>
      <c r="AC373" s="1" t="s">
        <v>67</v>
      </c>
      <c r="AD373" s="1" t="s">
        <v>124</v>
      </c>
      <c r="AE373" s="1" t="s">
        <v>78</v>
      </c>
      <c r="AF373" s="5" t="e">
        <f t="shared" si="30"/>
        <v>#N/A</v>
      </c>
      <c r="AG373" s="5">
        <f t="shared" si="31"/>
        <v>45315</v>
      </c>
      <c r="AH373" s="5" t="b">
        <f t="shared" si="32"/>
        <v>0</v>
      </c>
      <c r="AI373" s="5" t="b">
        <f t="shared" si="33"/>
        <v>1</v>
      </c>
      <c r="AJ373" t="e">
        <f t="shared" si="34"/>
        <v>#N/A</v>
      </c>
      <c r="AK373" t="e">
        <f t="shared" si="35"/>
        <v>#N/A</v>
      </c>
    </row>
    <row r="374" spans="1:37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  <c r="V374" s="1" t="s">
        <v>366</v>
      </c>
      <c r="W374" s="1" t="s">
        <v>26</v>
      </c>
      <c r="X374" s="1" t="s">
        <v>42</v>
      </c>
      <c r="Y374" s="1" t="s">
        <v>311</v>
      </c>
      <c r="Z374" s="1" t="s">
        <v>312</v>
      </c>
      <c r="AA374" s="1" t="s">
        <v>45</v>
      </c>
      <c r="AB374" s="1" t="s">
        <v>76</v>
      </c>
      <c r="AC374" s="1" t="s">
        <v>48</v>
      </c>
      <c r="AD374" s="1" t="s">
        <v>34</v>
      </c>
      <c r="AE374" s="1" t="s">
        <v>35</v>
      </c>
      <c r="AF374" s="5">
        <f t="shared" si="30"/>
        <v>45885</v>
      </c>
      <c r="AG374" s="5">
        <f t="shared" si="31"/>
        <v>45887</v>
      </c>
      <c r="AH374" s="5" t="b">
        <f t="shared" si="32"/>
        <v>1</v>
      </c>
      <c r="AI374" s="5" t="b">
        <f t="shared" si="33"/>
        <v>1</v>
      </c>
      <c r="AJ374" t="str">
        <f t="shared" si="34"/>
        <v>OK</v>
      </c>
      <c r="AK374">
        <f t="shared" si="35"/>
        <v>2</v>
      </c>
    </row>
    <row r="375" spans="1:37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  <c r="V375" s="1" t="s">
        <v>168</v>
      </c>
      <c r="W375" s="1" t="s">
        <v>41</v>
      </c>
      <c r="X375" s="1" t="s">
        <v>27</v>
      </c>
      <c r="Y375" s="1" t="s">
        <v>174</v>
      </c>
      <c r="Z375" s="1" t="s">
        <v>175</v>
      </c>
      <c r="AA375" s="1" t="s">
        <v>30</v>
      </c>
      <c r="AB375" s="1" t="s">
        <v>156</v>
      </c>
      <c r="AC375" s="1" t="s">
        <v>33</v>
      </c>
      <c r="AD375" s="1" t="s">
        <v>34</v>
      </c>
      <c r="AE375" s="1" t="s">
        <v>35</v>
      </c>
      <c r="AF375" s="5">
        <f t="shared" si="30"/>
        <v>45760</v>
      </c>
      <c r="AG375" s="5">
        <f t="shared" si="31"/>
        <v>45760</v>
      </c>
      <c r="AH375" s="5" t="b">
        <f t="shared" si="32"/>
        <v>1</v>
      </c>
      <c r="AI375" s="5" t="b">
        <f t="shared" si="33"/>
        <v>1</v>
      </c>
      <c r="AJ375" t="str">
        <f t="shared" si="34"/>
        <v>OK</v>
      </c>
      <c r="AK375">
        <f t="shared" si="35"/>
        <v>0</v>
      </c>
    </row>
    <row r="376" spans="1:37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  <c r="V376" s="1" t="s">
        <v>107</v>
      </c>
      <c r="W376" s="1" t="s">
        <v>41</v>
      </c>
      <c r="X376" s="1" t="s">
        <v>27</v>
      </c>
      <c r="Y376" s="1" t="s">
        <v>174</v>
      </c>
      <c r="Z376" s="1" t="s">
        <v>175</v>
      </c>
      <c r="AA376" s="1" t="s">
        <v>30</v>
      </c>
      <c r="AB376" s="1" t="s">
        <v>109</v>
      </c>
      <c r="AC376" s="1" t="s">
        <v>67</v>
      </c>
      <c r="AD376" s="1" t="s">
        <v>34</v>
      </c>
      <c r="AE376" s="1" t="s">
        <v>35</v>
      </c>
      <c r="AF376" s="5">
        <f t="shared" si="30"/>
        <v>45715</v>
      </c>
      <c r="AG376" s="5" t="e">
        <f t="shared" si="31"/>
        <v>#N/A</v>
      </c>
      <c r="AH376" s="5" t="b">
        <f t="shared" si="32"/>
        <v>1</v>
      </c>
      <c r="AI376" s="5" t="b">
        <f t="shared" si="33"/>
        <v>0</v>
      </c>
      <c r="AJ376" t="e">
        <f t="shared" si="34"/>
        <v>#N/A</v>
      </c>
      <c r="AK376" t="e">
        <f t="shared" si="35"/>
        <v>#N/A</v>
      </c>
    </row>
    <row r="377" spans="1:37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  <c r="V377" s="1" t="s">
        <v>83</v>
      </c>
      <c r="W377" s="1" t="s">
        <v>26</v>
      </c>
      <c r="X377" s="1" t="s">
        <v>27</v>
      </c>
      <c r="Y377" s="1" t="s">
        <v>506</v>
      </c>
      <c r="Z377" s="1" t="s">
        <v>507</v>
      </c>
      <c r="AA377" s="1" t="s">
        <v>45</v>
      </c>
      <c r="AB377" s="1" t="s">
        <v>76</v>
      </c>
      <c r="AC377" s="1" t="s">
        <v>48</v>
      </c>
      <c r="AD377" s="1" t="s">
        <v>34</v>
      </c>
      <c r="AE377" s="1" t="s">
        <v>35</v>
      </c>
      <c r="AF377" s="5" t="e">
        <f t="shared" si="30"/>
        <v>#N/A</v>
      </c>
      <c r="AG377" s="5">
        <f t="shared" si="31"/>
        <v>45661</v>
      </c>
      <c r="AH377" s="5" t="b">
        <f t="shared" si="32"/>
        <v>0</v>
      </c>
      <c r="AI377" s="5" t="b">
        <f t="shared" si="33"/>
        <v>1</v>
      </c>
      <c r="AJ377" t="e">
        <f t="shared" si="34"/>
        <v>#N/A</v>
      </c>
      <c r="AK377" t="e">
        <f t="shared" si="35"/>
        <v>#N/A</v>
      </c>
    </row>
    <row r="378" spans="1:37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  <c r="V378" s="1" t="s">
        <v>53</v>
      </c>
      <c r="W378" s="1" t="s">
        <v>41</v>
      </c>
      <c r="X378" s="1" t="s">
        <v>42</v>
      </c>
      <c r="Y378" s="1" t="s">
        <v>186</v>
      </c>
      <c r="Z378" s="1" t="s">
        <v>187</v>
      </c>
      <c r="AA378" s="1" t="s">
        <v>45</v>
      </c>
      <c r="AB378" s="1" t="s">
        <v>76</v>
      </c>
      <c r="AC378" s="1" t="s">
        <v>56</v>
      </c>
      <c r="AD378" s="1" t="s">
        <v>34</v>
      </c>
      <c r="AE378" s="1" t="s">
        <v>35</v>
      </c>
      <c r="AF378" s="5" t="e">
        <f t="shared" si="30"/>
        <v>#N/A</v>
      </c>
      <c r="AG378" s="5">
        <f t="shared" si="31"/>
        <v>45657</v>
      </c>
      <c r="AH378" s="5" t="b">
        <f t="shared" si="32"/>
        <v>0</v>
      </c>
      <c r="AI378" s="5" t="b">
        <f t="shared" si="33"/>
        <v>1</v>
      </c>
      <c r="AJ378" t="e">
        <f t="shared" si="34"/>
        <v>#N/A</v>
      </c>
      <c r="AK378" t="e">
        <f t="shared" si="35"/>
        <v>#N/A</v>
      </c>
    </row>
    <row r="379" spans="1:37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  <c r="V379" s="1" t="s">
        <v>366</v>
      </c>
      <c r="W379" s="1" t="s">
        <v>41</v>
      </c>
      <c r="X379" s="1" t="s">
        <v>42</v>
      </c>
      <c r="Y379" s="1" t="s">
        <v>43</v>
      </c>
      <c r="Z379" s="1" t="s">
        <v>44</v>
      </c>
      <c r="AA379" s="1" t="s">
        <v>30</v>
      </c>
      <c r="AB379" s="1" t="s">
        <v>156</v>
      </c>
      <c r="AC379" s="1" t="s">
        <v>48</v>
      </c>
      <c r="AD379" s="1" t="s">
        <v>34</v>
      </c>
      <c r="AE379" s="1" t="s">
        <v>35</v>
      </c>
      <c r="AF379" s="5">
        <f t="shared" si="30"/>
        <v>45801</v>
      </c>
      <c r="AG379" s="5" t="e">
        <f t="shared" si="31"/>
        <v>#N/A</v>
      </c>
      <c r="AH379" s="5" t="b">
        <f t="shared" si="32"/>
        <v>1</v>
      </c>
      <c r="AI379" s="5" t="b">
        <f t="shared" si="33"/>
        <v>0</v>
      </c>
      <c r="AJ379" t="e">
        <f t="shared" si="34"/>
        <v>#N/A</v>
      </c>
      <c r="AK379" t="e">
        <f t="shared" si="35"/>
        <v>#N/A</v>
      </c>
    </row>
    <row r="380" spans="1:37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  <c r="V380" s="1" t="s">
        <v>40</v>
      </c>
      <c r="W380" s="1" t="s">
        <v>26</v>
      </c>
      <c r="X380" s="1" t="s">
        <v>73</v>
      </c>
      <c r="Y380" s="1" t="s">
        <v>249</v>
      </c>
      <c r="Z380" s="1" t="s">
        <v>250</v>
      </c>
      <c r="AA380" s="1" t="s">
        <v>86</v>
      </c>
      <c r="AB380" s="1" t="s">
        <v>87</v>
      </c>
      <c r="AC380" s="1" t="s">
        <v>67</v>
      </c>
      <c r="AD380" s="1" t="s">
        <v>34</v>
      </c>
      <c r="AE380" s="1" t="s">
        <v>35</v>
      </c>
      <c r="AF380" s="5" t="e">
        <f t="shared" si="30"/>
        <v>#N/A</v>
      </c>
      <c r="AG380" s="5" t="e">
        <f t="shared" si="31"/>
        <v>#N/A</v>
      </c>
      <c r="AH380" s="5" t="b">
        <f t="shared" si="32"/>
        <v>0</v>
      </c>
      <c r="AI380" s="5" t="b">
        <f t="shared" si="33"/>
        <v>0</v>
      </c>
      <c r="AJ380" t="e">
        <f t="shared" si="34"/>
        <v>#N/A</v>
      </c>
      <c r="AK380" t="e">
        <f t="shared" si="35"/>
        <v>#N/A</v>
      </c>
    </row>
    <row r="381" spans="1:37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  <c r="V381" s="1" t="s">
        <v>40</v>
      </c>
      <c r="W381" s="1" t="s">
        <v>41</v>
      </c>
      <c r="X381" s="1" t="s">
        <v>62</v>
      </c>
      <c r="Y381" s="1" t="s">
        <v>242</v>
      </c>
      <c r="Z381" s="1" t="s">
        <v>243</v>
      </c>
      <c r="AA381" s="1" t="s">
        <v>30</v>
      </c>
      <c r="AB381" s="1" t="s">
        <v>31</v>
      </c>
      <c r="AC381" s="1" t="s">
        <v>67</v>
      </c>
      <c r="AD381" s="1" t="s">
        <v>34</v>
      </c>
      <c r="AE381" s="1" t="s">
        <v>35</v>
      </c>
      <c r="AF381" s="5">
        <f t="shared" si="30"/>
        <v>45554</v>
      </c>
      <c r="AG381" s="5">
        <f t="shared" si="31"/>
        <v>45558</v>
      </c>
      <c r="AH381" s="5" t="b">
        <f t="shared" si="32"/>
        <v>1</v>
      </c>
      <c r="AI381" s="5" t="b">
        <f t="shared" si="33"/>
        <v>1</v>
      </c>
      <c r="AJ381" t="str">
        <f t="shared" si="34"/>
        <v>OK</v>
      </c>
      <c r="AK381">
        <f t="shared" si="35"/>
        <v>4</v>
      </c>
    </row>
    <row r="382" spans="1:37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  <c r="V382" s="1" t="s">
        <v>83</v>
      </c>
      <c r="W382" s="1" t="s">
        <v>26</v>
      </c>
      <c r="X382" s="1" t="s">
        <v>73</v>
      </c>
      <c r="Y382" s="1" t="s">
        <v>74</v>
      </c>
      <c r="Z382" s="1" t="s">
        <v>75</v>
      </c>
      <c r="AA382" s="1" t="s">
        <v>45</v>
      </c>
      <c r="AB382" s="1" t="s">
        <v>204</v>
      </c>
      <c r="AC382" s="1" t="s">
        <v>48</v>
      </c>
      <c r="AD382" s="1" t="s">
        <v>34</v>
      </c>
      <c r="AE382" s="1" t="s">
        <v>125</v>
      </c>
      <c r="AF382" s="5">
        <f t="shared" si="30"/>
        <v>45389</v>
      </c>
      <c r="AG382" s="5" t="e">
        <f t="shared" si="31"/>
        <v>#N/A</v>
      </c>
      <c r="AH382" s="5" t="b">
        <f t="shared" si="32"/>
        <v>1</v>
      </c>
      <c r="AI382" s="5" t="b">
        <f t="shared" si="33"/>
        <v>0</v>
      </c>
      <c r="AJ382" t="e">
        <f t="shared" si="34"/>
        <v>#N/A</v>
      </c>
      <c r="AK382" t="e">
        <f t="shared" si="35"/>
        <v>#N/A</v>
      </c>
    </row>
    <row r="383" spans="1:37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  <c r="V383" s="1" t="s">
        <v>61</v>
      </c>
      <c r="W383" s="1" t="s">
        <v>115</v>
      </c>
      <c r="X383" s="1" t="s">
        <v>27</v>
      </c>
      <c r="Y383" s="1" t="s">
        <v>506</v>
      </c>
      <c r="Z383" s="1" t="s">
        <v>507</v>
      </c>
      <c r="AA383" s="1" t="s">
        <v>30</v>
      </c>
      <c r="AB383" s="1" t="s">
        <v>198</v>
      </c>
      <c r="AC383" s="1" t="s">
        <v>67</v>
      </c>
      <c r="AD383" s="1" t="s">
        <v>200</v>
      </c>
      <c r="AE383" s="1" t="s">
        <v>78</v>
      </c>
      <c r="AF383" s="5">
        <f t="shared" si="30"/>
        <v>45919</v>
      </c>
      <c r="AG383" s="5" t="e">
        <f t="shared" si="31"/>
        <v>#N/A</v>
      </c>
      <c r="AH383" s="5" t="b">
        <f t="shared" si="32"/>
        <v>1</v>
      </c>
      <c r="AI383" s="5" t="b">
        <f t="shared" si="33"/>
        <v>0</v>
      </c>
      <c r="AJ383" t="e">
        <f t="shared" si="34"/>
        <v>#N/A</v>
      </c>
      <c r="AK383" t="e">
        <f t="shared" si="35"/>
        <v>#N/A</v>
      </c>
    </row>
    <row r="384" spans="1:37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  <c r="V384" s="1" t="s">
        <v>61</v>
      </c>
      <c r="W384" s="1" t="s">
        <v>41</v>
      </c>
      <c r="X384" s="1" t="s">
        <v>42</v>
      </c>
      <c r="Y384" s="1" t="s">
        <v>186</v>
      </c>
      <c r="Z384" s="1" t="s">
        <v>187</v>
      </c>
      <c r="AA384" s="1" t="s">
        <v>86</v>
      </c>
      <c r="AB384" s="1" t="s">
        <v>223</v>
      </c>
      <c r="AC384" s="1" t="s">
        <v>56</v>
      </c>
      <c r="AD384" s="1" t="s">
        <v>34</v>
      </c>
      <c r="AE384" s="1" t="s">
        <v>35</v>
      </c>
      <c r="AF384" s="5">
        <f t="shared" si="30"/>
        <v>45720</v>
      </c>
      <c r="AG384" s="5">
        <f t="shared" si="31"/>
        <v>45724</v>
      </c>
      <c r="AH384" s="5" t="b">
        <f t="shared" si="32"/>
        <v>1</v>
      </c>
      <c r="AI384" s="5" t="b">
        <f t="shared" si="33"/>
        <v>1</v>
      </c>
      <c r="AJ384" t="str">
        <f t="shared" si="34"/>
        <v>OK</v>
      </c>
      <c r="AK384">
        <f t="shared" si="35"/>
        <v>4</v>
      </c>
    </row>
    <row r="385" spans="1:37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  <c r="V385" s="1" t="s">
        <v>83</v>
      </c>
      <c r="W385" s="1" t="s">
        <v>108</v>
      </c>
      <c r="X385" s="1" t="s">
        <v>42</v>
      </c>
      <c r="Y385" s="1" t="s">
        <v>121</v>
      </c>
      <c r="Z385" s="1" t="s">
        <v>122</v>
      </c>
      <c r="AA385" s="1" t="s">
        <v>30</v>
      </c>
      <c r="AB385" s="1" t="s">
        <v>54</v>
      </c>
      <c r="AC385" s="1" t="s">
        <v>56</v>
      </c>
      <c r="AD385" s="1" t="s">
        <v>34</v>
      </c>
      <c r="AE385" s="1" t="s">
        <v>78</v>
      </c>
      <c r="AF385" s="5">
        <f t="shared" si="30"/>
        <v>45836</v>
      </c>
      <c r="AG385" s="5">
        <f t="shared" si="31"/>
        <v>45843</v>
      </c>
      <c r="AH385" s="5" t="b">
        <f t="shared" si="32"/>
        <v>1</v>
      </c>
      <c r="AI385" s="5" t="b">
        <f t="shared" si="33"/>
        <v>1</v>
      </c>
      <c r="AJ385" t="str">
        <f t="shared" si="34"/>
        <v>OK</v>
      </c>
      <c r="AK385">
        <f t="shared" si="35"/>
        <v>7</v>
      </c>
    </row>
    <row r="386" spans="1:37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  <c r="V386" s="1" t="s">
        <v>180</v>
      </c>
      <c r="W386" s="1" t="s">
        <v>26</v>
      </c>
      <c r="X386" s="1" t="s">
        <v>42</v>
      </c>
      <c r="Y386" s="1" t="s">
        <v>311</v>
      </c>
      <c r="Z386" s="1" t="s">
        <v>312</v>
      </c>
      <c r="AA386" s="1" t="s">
        <v>86</v>
      </c>
      <c r="AB386" s="1" t="s">
        <v>94</v>
      </c>
      <c r="AC386" s="1" t="s">
        <v>67</v>
      </c>
      <c r="AD386" s="1" t="s">
        <v>34</v>
      </c>
      <c r="AE386" s="1" t="s">
        <v>125</v>
      </c>
      <c r="AF386" s="5" t="e">
        <f t="shared" si="30"/>
        <v>#N/A</v>
      </c>
      <c r="AG386" s="5">
        <f t="shared" si="31"/>
        <v>45371</v>
      </c>
      <c r="AH386" s="5" t="b">
        <f t="shared" si="32"/>
        <v>0</v>
      </c>
      <c r="AI386" s="5" t="b">
        <f t="shared" si="33"/>
        <v>1</v>
      </c>
      <c r="AJ386" t="e">
        <f t="shared" si="34"/>
        <v>#N/A</v>
      </c>
      <c r="AK386" t="e">
        <f t="shared" si="35"/>
        <v>#N/A</v>
      </c>
    </row>
    <row r="387" spans="1:37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  <c r="V387" s="1" t="s">
        <v>61</v>
      </c>
      <c r="W387" s="1" t="s">
        <v>26</v>
      </c>
      <c r="X387" s="1" t="s">
        <v>27</v>
      </c>
      <c r="Y387" s="1" t="s">
        <v>323</v>
      </c>
      <c r="Z387" s="1" t="s">
        <v>324</v>
      </c>
      <c r="AA387" s="1" t="s">
        <v>30</v>
      </c>
      <c r="AB387" s="1" t="s">
        <v>109</v>
      </c>
      <c r="AC387" s="1" t="s">
        <v>67</v>
      </c>
      <c r="AD387" s="1" t="s">
        <v>34</v>
      </c>
      <c r="AE387" s="1" t="s">
        <v>35</v>
      </c>
      <c r="AF387" s="5">
        <f t="shared" ref="AF387:AF450" si="36">IFERROR(DATEVALUE(B387),IFERROR(DATE(VALUE(RIGHT(B387,4)),VALUE(MID(SUBSTITUTE(B387,"-","/"),6,2)),VALUE(LEFT(B387,2))),NA()))</f>
        <v>45832</v>
      </c>
      <c r="AG387" s="5">
        <f t="shared" ref="AG387:AG450" si="37">IFERROR(DATEVALUE(C387),IFERROR(DATE(VALUE(RIGHT(C387,4)),VALUE(MID(SUBSTITUTE(C387,"-","/"),6,2)),VALUE(LEFT(C387,2))),NA()))</f>
        <v>45838</v>
      </c>
      <c r="AH387" s="5" t="b">
        <f t="shared" ref="AH387:AH450" si="38">ISNUMBER(AF387)</f>
        <v>1</v>
      </c>
      <c r="AI387" s="5" t="b">
        <f t="shared" ref="AI387:AI450" si="39">ISNUMBER(AG387)</f>
        <v>1</v>
      </c>
      <c r="AJ387" t="str">
        <f t="shared" ref="AJ387:AJ450" si="40">IF(AG387&lt;AF387,"Invalid: Ship before Order","OK")</f>
        <v>OK</v>
      </c>
      <c r="AK387">
        <f t="shared" ref="AK387:AK450" si="41">DATEDIF(AF387, AG387, "D")</f>
        <v>6</v>
      </c>
    </row>
    <row r="388" spans="1:37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  <c r="V388" s="1" t="s">
        <v>168</v>
      </c>
      <c r="W388" s="1" t="s">
        <v>26</v>
      </c>
      <c r="X388" s="1" t="s">
        <v>73</v>
      </c>
      <c r="Y388" s="1" t="s">
        <v>74</v>
      </c>
      <c r="Z388" s="1" t="s">
        <v>75</v>
      </c>
      <c r="AA388" s="1" t="s">
        <v>45</v>
      </c>
      <c r="AB388" s="1" t="s">
        <v>65</v>
      </c>
      <c r="AC388" s="1" t="s">
        <v>33</v>
      </c>
      <c r="AD388" s="1" t="s">
        <v>34</v>
      </c>
      <c r="AE388" s="1" t="s">
        <v>35</v>
      </c>
      <c r="AF388" s="5">
        <f t="shared" si="36"/>
        <v>45700</v>
      </c>
      <c r="AG388" s="5" t="e">
        <f t="shared" si="37"/>
        <v>#N/A</v>
      </c>
      <c r="AH388" s="5" t="b">
        <f t="shared" si="38"/>
        <v>1</v>
      </c>
      <c r="AI388" s="5" t="b">
        <f t="shared" si="39"/>
        <v>0</v>
      </c>
      <c r="AJ388" t="e">
        <f t="shared" si="40"/>
        <v>#N/A</v>
      </c>
      <c r="AK388" t="e">
        <f t="shared" si="41"/>
        <v>#N/A</v>
      </c>
    </row>
    <row r="389" spans="1:37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  <c r="V389" s="1" t="s">
        <v>142</v>
      </c>
      <c r="W389" s="1" t="s">
        <v>41</v>
      </c>
      <c r="X389" s="1" t="s">
        <v>73</v>
      </c>
      <c r="Y389" s="1" t="s">
        <v>84</v>
      </c>
      <c r="Z389" s="1" t="s">
        <v>85</v>
      </c>
      <c r="AA389" s="1" t="s">
        <v>45</v>
      </c>
      <c r="AB389" s="1" t="s">
        <v>76</v>
      </c>
      <c r="AC389" s="1" t="s">
        <v>67</v>
      </c>
      <c r="AD389" s="1" t="s">
        <v>137</v>
      </c>
      <c r="AE389" s="1" t="s">
        <v>78</v>
      </c>
      <c r="AF389" s="5">
        <f t="shared" si="36"/>
        <v>45938</v>
      </c>
      <c r="AG389" s="5">
        <f t="shared" si="37"/>
        <v>45882</v>
      </c>
      <c r="AH389" s="5" t="b">
        <f t="shared" si="38"/>
        <v>1</v>
      </c>
      <c r="AI389" s="5" t="b">
        <f t="shared" si="39"/>
        <v>1</v>
      </c>
      <c r="AJ389" t="str">
        <f t="shared" si="40"/>
        <v>Invalid: Ship before Order</v>
      </c>
      <c r="AK389" t="e">
        <f t="shared" si="41"/>
        <v>#NUM!</v>
      </c>
    </row>
    <row r="390" spans="1:37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  <c r="V390" s="1" t="s">
        <v>53</v>
      </c>
      <c r="W390" s="1" t="s">
        <v>41</v>
      </c>
      <c r="X390" s="1" t="s">
        <v>73</v>
      </c>
      <c r="Y390" s="1" t="s">
        <v>235</v>
      </c>
      <c r="Z390" s="1" t="s">
        <v>236</v>
      </c>
      <c r="AA390" s="1" t="s">
        <v>45</v>
      </c>
      <c r="AB390" s="1" t="s">
        <v>76</v>
      </c>
      <c r="AC390" s="1" t="s">
        <v>67</v>
      </c>
      <c r="AD390" s="1" t="s">
        <v>34</v>
      </c>
      <c r="AE390" s="1" t="s">
        <v>35</v>
      </c>
      <c r="AF390" s="5">
        <f t="shared" si="36"/>
        <v>45425</v>
      </c>
      <c r="AG390" s="5">
        <f t="shared" si="37"/>
        <v>45430</v>
      </c>
      <c r="AH390" s="5" t="b">
        <f t="shared" si="38"/>
        <v>1</v>
      </c>
      <c r="AI390" s="5" t="b">
        <f t="shared" si="39"/>
        <v>1</v>
      </c>
      <c r="AJ390" t="str">
        <f t="shared" si="40"/>
        <v>OK</v>
      </c>
      <c r="AK390">
        <f t="shared" si="41"/>
        <v>5</v>
      </c>
    </row>
    <row r="391" spans="1:37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  <c r="V391" s="1" t="s">
        <v>210</v>
      </c>
      <c r="W391" s="1" t="s">
        <v>108</v>
      </c>
      <c r="X391" s="1" t="s">
        <v>73</v>
      </c>
      <c r="Y391" s="1" t="s">
        <v>235</v>
      </c>
      <c r="Z391" s="1" t="s">
        <v>236</v>
      </c>
      <c r="AA391" s="1" t="s">
        <v>86</v>
      </c>
      <c r="AB391" s="1" t="s">
        <v>382</v>
      </c>
      <c r="AC391" s="1" t="s">
        <v>33</v>
      </c>
      <c r="AD391" s="1" t="s">
        <v>137</v>
      </c>
      <c r="AE391" s="1" t="s">
        <v>78</v>
      </c>
      <c r="AF391" s="5">
        <f t="shared" si="36"/>
        <v>45387</v>
      </c>
      <c r="AG391" s="5">
        <f t="shared" si="37"/>
        <v>45395</v>
      </c>
      <c r="AH391" s="5" t="b">
        <f t="shared" si="38"/>
        <v>1</v>
      </c>
      <c r="AI391" s="5" t="b">
        <f t="shared" si="39"/>
        <v>1</v>
      </c>
      <c r="AJ391" t="str">
        <f t="shared" si="40"/>
        <v>OK</v>
      </c>
      <c r="AK391">
        <f t="shared" si="41"/>
        <v>8</v>
      </c>
    </row>
    <row r="392" spans="1:37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  <c r="V392" s="1" t="s">
        <v>53</v>
      </c>
      <c r="W392" s="1" t="s">
        <v>26</v>
      </c>
      <c r="X392" s="1" t="s">
        <v>73</v>
      </c>
      <c r="Y392" s="1" t="s">
        <v>235</v>
      </c>
      <c r="Z392" s="1" t="s">
        <v>236</v>
      </c>
      <c r="AA392" s="1" t="s">
        <v>45</v>
      </c>
      <c r="AB392" s="1" t="s">
        <v>65</v>
      </c>
      <c r="AC392" s="1" t="s">
        <v>67</v>
      </c>
      <c r="AD392" s="1" t="s">
        <v>34</v>
      </c>
      <c r="AE392" s="1" t="s">
        <v>35</v>
      </c>
      <c r="AF392" s="5">
        <f t="shared" si="36"/>
        <v>45602</v>
      </c>
      <c r="AG392" s="5">
        <f t="shared" si="37"/>
        <v>45607</v>
      </c>
      <c r="AH392" s="5" t="b">
        <f t="shared" si="38"/>
        <v>1</v>
      </c>
      <c r="AI392" s="5" t="b">
        <f t="shared" si="39"/>
        <v>1</v>
      </c>
      <c r="AJ392" t="str">
        <f t="shared" si="40"/>
        <v>OK</v>
      </c>
      <c r="AK392">
        <f t="shared" si="41"/>
        <v>5</v>
      </c>
    </row>
    <row r="393" spans="1:37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  <c r="V393" s="1" t="s">
        <v>210</v>
      </c>
      <c r="W393" s="1" t="s">
        <v>26</v>
      </c>
      <c r="X393" s="1" t="s">
        <v>62</v>
      </c>
      <c r="Y393" s="1" t="s">
        <v>229</v>
      </c>
      <c r="Z393" s="1" t="s">
        <v>230</v>
      </c>
      <c r="AA393" s="1" t="s">
        <v>30</v>
      </c>
      <c r="AB393" s="1" t="s">
        <v>156</v>
      </c>
      <c r="AC393" s="1" t="s">
        <v>56</v>
      </c>
      <c r="AD393" s="1" t="s">
        <v>34</v>
      </c>
      <c r="AE393" s="1" t="s">
        <v>35</v>
      </c>
      <c r="AF393" s="5" t="e">
        <f t="shared" si="36"/>
        <v>#N/A</v>
      </c>
      <c r="AG393" s="5">
        <f t="shared" si="37"/>
        <v>45702</v>
      </c>
      <c r="AH393" s="5" t="b">
        <f t="shared" si="38"/>
        <v>0</v>
      </c>
      <c r="AI393" s="5" t="b">
        <f t="shared" si="39"/>
        <v>1</v>
      </c>
      <c r="AJ393" t="e">
        <f t="shared" si="40"/>
        <v>#N/A</v>
      </c>
      <c r="AK393" t="e">
        <f t="shared" si="41"/>
        <v>#N/A</v>
      </c>
    </row>
    <row r="394" spans="1:37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  <c r="V394" s="1" t="s">
        <v>107</v>
      </c>
      <c r="W394" s="1" t="s">
        <v>41</v>
      </c>
      <c r="X394" s="1" t="s">
        <v>62</v>
      </c>
      <c r="Y394" s="1" t="s">
        <v>242</v>
      </c>
      <c r="Z394" s="1" t="s">
        <v>243</v>
      </c>
      <c r="AA394" s="1" t="s">
        <v>45</v>
      </c>
      <c r="AB394" s="1" t="s">
        <v>65</v>
      </c>
      <c r="AC394" s="1" t="s">
        <v>48</v>
      </c>
      <c r="AD394" s="1" t="s">
        <v>34</v>
      </c>
      <c r="AE394" s="1" t="s">
        <v>35</v>
      </c>
      <c r="AF394" s="5">
        <f t="shared" si="36"/>
        <v>45341</v>
      </c>
      <c r="AG394" s="5">
        <f t="shared" si="37"/>
        <v>45344</v>
      </c>
      <c r="AH394" s="5" t="b">
        <f t="shared" si="38"/>
        <v>1</v>
      </c>
      <c r="AI394" s="5" t="b">
        <f t="shared" si="39"/>
        <v>1</v>
      </c>
      <c r="AJ394" t="str">
        <f t="shared" si="40"/>
        <v>OK</v>
      </c>
      <c r="AK394">
        <f t="shared" si="41"/>
        <v>3</v>
      </c>
    </row>
    <row r="395" spans="1:37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  <c r="V395" s="1" t="s">
        <v>40</v>
      </c>
      <c r="W395" s="1" t="s">
        <v>108</v>
      </c>
      <c r="X395" s="1" t="s">
        <v>27</v>
      </c>
      <c r="Y395" s="1" t="s">
        <v>174</v>
      </c>
      <c r="Z395" s="1" t="s">
        <v>175</v>
      </c>
      <c r="AA395" s="1" t="s">
        <v>30</v>
      </c>
      <c r="AB395" s="1" t="s">
        <v>109</v>
      </c>
      <c r="AC395" s="1" t="s">
        <v>48</v>
      </c>
      <c r="AD395" s="1" t="s">
        <v>34</v>
      </c>
      <c r="AE395" s="1" t="s">
        <v>35</v>
      </c>
      <c r="AF395" s="5">
        <f t="shared" si="36"/>
        <v>45527</v>
      </c>
      <c r="AG395" s="5">
        <f t="shared" si="37"/>
        <v>45533</v>
      </c>
      <c r="AH395" s="5" t="b">
        <f t="shared" si="38"/>
        <v>1</v>
      </c>
      <c r="AI395" s="5" t="b">
        <f t="shared" si="39"/>
        <v>1</v>
      </c>
      <c r="AJ395" t="str">
        <f t="shared" si="40"/>
        <v>OK</v>
      </c>
      <c r="AK395">
        <f t="shared" si="41"/>
        <v>6</v>
      </c>
    </row>
    <row r="396" spans="1:37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  <c r="V396" s="1" t="s">
        <v>366</v>
      </c>
      <c r="W396" s="1" t="s">
        <v>26</v>
      </c>
      <c r="X396" s="1" t="s">
        <v>73</v>
      </c>
      <c r="Y396" s="1" t="s">
        <v>74</v>
      </c>
      <c r="Z396" s="1" t="s">
        <v>75</v>
      </c>
      <c r="AA396" s="1" t="s">
        <v>45</v>
      </c>
      <c r="AB396" s="1" t="s">
        <v>65</v>
      </c>
      <c r="AC396" s="1" t="s">
        <v>56</v>
      </c>
      <c r="AD396" s="1" t="s">
        <v>34</v>
      </c>
      <c r="AE396" s="1" t="s">
        <v>35</v>
      </c>
      <c r="AF396" s="5">
        <f t="shared" si="36"/>
        <v>45355</v>
      </c>
      <c r="AG396" s="5">
        <f t="shared" si="37"/>
        <v>45386</v>
      </c>
      <c r="AH396" s="5" t="b">
        <f t="shared" si="38"/>
        <v>1</v>
      </c>
      <c r="AI396" s="5" t="b">
        <f t="shared" si="39"/>
        <v>1</v>
      </c>
      <c r="AJ396" t="str">
        <f t="shared" si="40"/>
        <v>OK</v>
      </c>
      <c r="AK396">
        <f t="shared" si="41"/>
        <v>31</v>
      </c>
    </row>
    <row r="397" spans="1:37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  <c r="V397" s="1" t="s">
        <v>148</v>
      </c>
      <c r="W397" s="1" t="s">
        <v>115</v>
      </c>
      <c r="X397" s="1" t="s">
        <v>62</v>
      </c>
      <c r="Y397" s="1" t="s">
        <v>339</v>
      </c>
      <c r="Z397" s="1" t="s">
        <v>340</v>
      </c>
      <c r="AA397" s="1" t="s">
        <v>45</v>
      </c>
      <c r="AB397" s="1" t="s">
        <v>46</v>
      </c>
      <c r="AC397" s="1" t="s">
        <v>48</v>
      </c>
      <c r="AD397" s="1" t="s">
        <v>34</v>
      </c>
      <c r="AE397" s="1" t="s">
        <v>35</v>
      </c>
      <c r="AF397" s="5">
        <f t="shared" si="36"/>
        <v>45449</v>
      </c>
      <c r="AG397" s="5">
        <f t="shared" si="37"/>
        <v>45450</v>
      </c>
      <c r="AH397" s="5" t="b">
        <f t="shared" si="38"/>
        <v>1</v>
      </c>
      <c r="AI397" s="5" t="b">
        <f t="shared" si="39"/>
        <v>1</v>
      </c>
      <c r="AJ397" t="str">
        <f t="shared" si="40"/>
        <v>OK</v>
      </c>
      <c r="AK397">
        <f t="shared" si="41"/>
        <v>1</v>
      </c>
    </row>
    <row r="398" spans="1:37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  <c r="V398" s="1" t="s">
        <v>107</v>
      </c>
      <c r="W398" s="1" t="s">
        <v>41</v>
      </c>
      <c r="X398" s="1" t="s">
        <v>62</v>
      </c>
      <c r="Y398" s="1" t="s">
        <v>229</v>
      </c>
      <c r="Z398" s="1" t="s">
        <v>230</v>
      </c>
      <c r="AA398" s="1" t="s">
        <v>86</v>
      </c>
      <c r="AB398" s="1" t="s">
        <v>382</v>
      </c>
      <c r="AC398" s="1" t="s">
        <v>67</v>
      </c>
      <c r="AD398" s="1" t="s">
        <v>34</v>
      </c>
      <c r="AE398" s="1" t="s">
        <v>35</v>
      </c>
      <c r="AF398" s="5">
        <f t="shared" si="36"/>
        <v>45761</v>
      </c>
      <c r="AG398" s="5">
        <f t="shared" si="37"/>
        <v>45769</v>
      </c>
      <c r="AH398" s="5" t="b">
        <f t="shared" si="38"/>
        <v>1</v>
      </c>
      <c r="AI398" s="5" t="b">
        <f t="shared" si="39"/>
        <v>1</v>
      </c>
      <c r="AJ398" t="str">
        <f t="shared" si="40"/>
        <v>OK</v>
      </c>
      <c r="AK398">
        <f t="shared" si="41"/>
        <v>8</v>
      </c>
    </row>
    <row r="399" spans="1:37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  <c r="V399" s="1" t="s">
        <v>168</v>
      </c>
      <c r="W399" s="1" t="s">
        <v>41</v>
      </c>
      <c r="X399" s="1" t="s">
        <v>27</v>
      </c>
      <c r="Y399" s="1" t="s">
        <v>174</v>
      </c>
      <c r="Z399" s="1" t="s">
        <v>175</v>
      </c>
      <c r="AA399" s="1" t="s">
        <v>45</v>
      </c>
      <c r="AB399" s="1" t="s">
        <v>46</v>
      </c>
      <c r="AC399" s="1" t="s">
        <v>33</v>
      </c>
      <c r="AD399" s="1" t="s">
        <v>34</v>
      </c>
      <c r="AE399" s="1" t="s">
        <v>35</v>
      </c>
      <c r="AF399" s="5">
        <f t="shared" si="36"/>
        <v>45817</v>
      </c>
      <c r="AG399" s="5">
        <f t="shared" si="37"/>
        <v>45818</v>
      </c>
      <c r="AH399" s="5" t="b">
        <f t="shared" si="38"/>
        <v>1</v>
      </c>
      <c r="AI399" s="5" t="b">
        <f t="shared" si="39"/>
        <v>1</v>
      </c>
      <c r="AJ399" t="str">
        <f t="shared" si="40"/>
        <v>OK</v>
      </c>
      <c r="AK399">
        <f t="shared" si="41"/>
        <v>1</v>
      </c>
    </row>
    <row r="400" spans="1:37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  <c r="V400" s="1" t="s">
        <v>83</v>
      </c>
      <c r="W400" s="1" t="s">
        <v>108</v>
      </c>
      <c r="X400" s="1" t="s">
        <v>27</v>
      </c>
      <c r="Y400" s="1" t="s">
        <v>154</v>
      </c>
      <c r="Z400" s="1" t="s">
        <v>155</v>
      </c>
      <c r="AA400" s="1" t="s">
        <v>86</v>
      </c>
      <c r="AB400" s="1" t="s">
        <v>382</v>
      </c>
      <c r="AC400" s="1" t="s">
        <v>48</v>
      </c>
      <c r="AD400" s="1" t="s">
        <v>34</v>
      </c>
      <c r="AE400" s="1" t="s">
        <v>35</v>
      </c>
      <c r="AF400" s="5">
        <f t="shared" si="36"/>
        <v>45492</v>
      </c>
      <c r="AG400" s="5">
        <f t="shared" si="37"/>
        <v>45499</v>
      </c>
      <c r="AH400" s="5" t="b">
        <f t="shared" si="38"/>
        <v>1</v>
      </c>
      <c r="AI400" s="5" t="b">
        <f t="shared" si="39"/>
        <v>1</v>
      </c>
      <c r="AJ400" t="str">
        <f t="shared" si="40"/>
        <v>OK</v>
      </c>
      <c r="AK400">
        <f t="shared" si="41"/>
        <v>7</v>
      </c>
    </row>
    <row r="401" spans="1:37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  <c r="V401" s="1" t="s">
        <v>210</v>
      </c>
      <c r="W401" s="1" t="s">
        <v>41</v>
      </c>
      <c r="X401" s="1" t="s">
        <v>62</v>
      </c>
      <c r="Y401" s="1" t="s">
        <v>100</v>
      </c>
      <c r="Z401" s="1" t="s">
        <v>101</v>
      </c>
      <c r="AA401" s="1" t="s">
        <v>30</v>
      </c>
      <c r="AB401" s="1" t="s">
        <v>31</v>
      </c>
      <c r="AC401" s="1" t="s">
        <v>48</v>
      </c>
      <c r="AD401" s="1" t="s">
        <v>34</v>
      </c>
      <c r="AE401" s="1" t="s">
        <v>35</v>
      </c>
      <c r="AF401" s="5">
        <f t="shared" si="36"/>
        <v>45771</v>
      </c>
      <c r="AG401" s="5">
        <f t="shared" si="37"/>
        <v>45776</v>
      </c>
      <c r="AH401" s="5" t="b">
        <f t="shared" si="38"/>
        <v>1</v>
      </c>
      <c r="AI401" s="5" t="b">
        <f t="shared" si="39"/>
        <v>1</v>
      </c>
      <c r="AJ401" t="str">
        <f t="shared" si="40"/>
        <v>OK</v>
      </c>
      <c r="AK401">
        <f t="shared" si="41"/>
        <v>5</v>
      </c>
    </row>
    <row r="402" spans="1:37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  <c r="V402" s="1" t="s">
        <v>168</v>
      </c>
      <c r="W402" s="1" t="s">
        <v>41</v>
      </c>
      <c r="X402" s="1" t="s">
        <v>27</v>
      </c>
      <c r="Y402" s="1" t="s">
        <v>174</v>
      </c>
      <c r="Z402" s="1" t="s">
        <v>175</v>
      </c>
      <c r="AA402" s="1" t="s">
        <v>30</v>
      </c>
      <c r="AB402" s="1" t="s">
        <v>31</v>
      </c>
      <c r="AC402" s="1" t="s">
        <v>48</v>
      </c>
      <c r="AD402" s="1" t="s">
        <v>34</v>
      </c>
      <c r="AE402" s="1" t="s">
        <v>35</v>
      </c>
      <c r="AF402" s="5">
        <f t="shared" si="36"/>
        <v>45814</v>
      </c>
      <c r="AG402" s="5">
        <f t="shared" si="37"/>
        <v>45819</v>
      </c>
      <c r="AH402" s="5" t="b">
        <f t="shared" si="38"/>
        <v>1</v>
      </c>
      <c r="AI402" s="5" t="b">
        <f t="shared" si="39"/>
        <v>1</v>
      </c>
      <c r="AJ402" t="str">
        <f t="shared" si="40"/>
        <v>OK</v>
      </c>
      <c r="AK402">
        <f t="shared" si="41"/>
        <v>5</v>
      </c>
    </row>
    <row r="403" spans="1:37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  <c r="V403" s="1" t="s">
        <v>61</v>
      </c>
      <c r="W403" s="1" t="s">
        <v>41</v>
      </c>
      <c r="X403" s="1" t="s">
        <v>42</v>
      </c>
      <c r="Y403" s="1" t="s">
        <v>311</v>
      </c>
      <c r="Z403" s="1" t="s">
        <v>312</v>
      </c>
      <c r="AA403" s="1" t="s">
        <v>45</v>
      </c>
      <c r="AB403" s="1" t="s">
        <v>46</v>
      </c>
      <c r="AC403" s="1" t="s">
        <v>48</v>
      </c>
      <c r="AD403" s="1" t="s">
        <v>34</v>
      </c>
      <c r="AE403" s="1" t="s">
        <v>35</v>
      </c>
      <c r="AF403" s="5">
        <f t="shared" si="36"/>
        <v>45725</v>
      </c>
      <c r="AG403" s="5" t="e">
        <f t="shared" si="37"/>
        <v>#N/A</v>
      </c>
      <c r="AH403" s="5" t="b">
        <f t="shared" si="38"/>
        <v>1</v>
      </c>
      <c r="AI403" s="5" t="b">
        <f t="shared" si="39"/>
        <v>0</v>
      </c>
      <c r="AJ403" t="e">
        <f t="shared" si="40"/>
        <v>#N/A</v>
      </c>
      <c r="AK403" t="e">
        <f t="shared" si="41"/>
        <v>#N/A</v>
      </c>
    </row>
    <row r="404" spans="1:37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  <c r="V404" s="1" t="s">
        <v>142</v>
      </c>
      <c r="W404" s="1" t="s">
        <v>41</v>
      </c>
      <c r="X404" s="1" t="s">
        <v>62</v>
      </c>
      <c r="Y404" s="1" t="s">
        <v>229</v>
      </c>
      <c r="Z404" s="1" t="s">
        <v>230</v>
      </c>
      <c r="AA404" s="1" t="s">
        <v>45</v>
      </c>
      <c r="AB404" s="1" t="s">
        <v>46</v>
      </c>
      <c r="AC404" s="1" t="s">
        <v>4119</v>
      </c>
      <c r="AD404" s="1" t="s">
        <v>34</v>
      </c>
      <c r="AE404" s="1" t="s">
        <v>35</v>
      </c>
      <c r="AF404" s="5">
        <f t="shared" si="36"/>
        <v>45373</v>
      </c>
      <c r="AG404" s="5">
        <f t="shared" si="37"/>
        <v>45373</v>
      </c>
      <c r="AH404" s="5" t="b">
        <f t="shared" si="38"/>
        <v>1</v>
      </c>
      <c r="AI404" s="5" t="b">
        <f t="shared" si="39"/>
        <v>1</v>
      </c>
      <c r="AJ404" t="str">
        <f t="shared" si="40"/>
        <v>OK</v>
      </c>
      <c r="AK404">
        <f t="shared" si="41"/>
        <v>0</v>
      </c>
    </row>
    <row r="405" spans="1:37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  <c r="V405" s="1" t="s">
        <v>61</v>
      </c>
      <c r="W405" s="1" t="s">
        <v>41</v>
      </c>
      <c r="X405" s="1" t="s">
        <v>62</v>
      </c>
      <c r="Y405" s="1" t="s">
        <v>242</v>
      </c>
      <c r="Z405" s="1" t="s">
        <v>243</v>
      </c>
      <c r="AA405" s="1" t="s">
        <v>30</v>
      </c>
      <c r="AB405" s="1" t="s">
        <v>31</v>
      </c>
      <c r="AC405" s="1" t="s">
        <v>48</v>
      </c>
      <c r="AD405" s="1" t="s">
        <v>34</v>
      </c>
      <c r="AE405" s="1" t="s">
        <v>125</v>
      </c>
      <c r="AF405" s="5">
        <f t="shared" si="36"/>
        <v>45565</v>
      </c>
      <c r="AG405" s="5">
        <f t="shared" si="37"/>
        <v>45392</v>
      </c>
      <c r="AH405" s="5" t="b">
        <f t="shared" si="38"/>
        <v>1</v>
      </c>
      <c r="AI405" s="5" t="b">
        <f t="shared" si="39"/>
        <v>1</v>
      </c>
      <c r="AJ405" t="str">
        <f t="shared" si="40"/>
        <v>Invalid: Ship before Order</v>
      </c>
      <c r="AK405" t="e">
        <f t="shared" si="41"/>
        <v>#NUM!</v>
      </c>
    </row>
    <row r="406" spans="1:37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  <c r="V406" s="1" t="s">
        <v>107</v>
      </c>
      <c r="W406" s="1" t="s">
        <v>108</v>
      </c>
      <c r="X406" s="1" t="s">
        <v>73</v>
      </c>
      <c r="Y406" s="1" t="s">
        <v>28</v>
      </c>
      <c r="Z406" s="1" t="s">
        <v>135</v>
      </c>
      <c r="AA406" s="1" t="s">
        <v>45</v>
      </c>
      <c r="AB406" s="1" t="s">
        <v>76</v>
      </c>
      <c r="AC406" s="1" t="s">
        <v>48</v>
      </c>
      <c r="AD406" s="1" t="s">
        <v>34</v>
      </c>
      <c r="AE406" s="1" t="s">
        <v>35</v>
      </c>
      <c r="AF406" s="5">
        <f t="shared" si="36"/>
        <v>45318</v>
      </c>
      <c r="AG406" s="5">
        <f t="shared" si="37"/>
        <v>45325</v>
      </c>
      <c r="AH406" s="5" t="b">
        <f t="shared" si="38"/>
        <v>1</v>
      </c>
      <c r="AI406" s="5" t="b">
        <f t="shared" si="39"/>
        <v>1</v>
      </c>
      <c r="AJ406" t="str">
        <f t="shared" si="40"/>
        <v>OK</v>
      </c>
      <c r="AK406">
        <f t="shared" si="41"/>
        <v>7</v>
      </c>
    </row>
    <row r="407" spans="1:37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  <c r="V407" s="1" t="s">
        <v>107</v>
      </c>
      <c r="W407" s="1" t="s">
        <v>115</v>
      </c>
      <c r="X407" s="1" t="s">
        <v>73</v>
      </c>
      <c r="Y407" s="1" t="s">
        <v>235</v>
      </c>
      <c r="Z407" s="1" t="s">
        <v>236</v>
      </c>
      <c r="AA407" s="1" t="s">
        <v>45</v>
      </c>
      <c r="AB407" s="1" t="s">
        <v>204</v>
      </c>
      <c r="AC407" s="1" t="s">
        <v>4119</v>
      </c>
      <c r="AD407" s="1" t="s">
        <v>34</v>
      </c>
      <c r="AE407" s="1" t="s">
        <v>35</v>
      </c>
      <c r="AF407" s="5">
        <f t="shared" si="36"/>
        <v>45558</v>
      </c>
      <c r="AG407" s="5">
        <f t="shared" si="37"/>
        <v>45559</v>
      </c>
      <c r="AH407" s="5" t="b">
        <f t="shared" si="38"/>
        <v>1</v>
      </c>
      <c r="AI407" s="5" t="b">
        <f t="shared" si="39"/>
        <v>1</v>
      </c>
      <c r="AJ407" t="str">
        <f t="shared" si="40"/>
        <v>OK</v>
      </c>
      <c r="AK407">
        <f t="shared" si="41"/>
        <v>1</v>
      </c>
    </row>
    <row r="408" spans="1:37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  <c r="V408" s="1" t="s">
        <v>366</v>
      </c>
      <c r="W408" s="1" t="s">
        <v>41</v>
      </c>
      <c r="X408" s="1" t="s">
        <v>73</v>
      </c>
      <c r="Y408" s="1" t="s">
        <v>249</v>
      </c>
      <c r="Z408" s="1" t="s">
        <v>250</v>
      </c>
      <c r="AA408" s="1" t="s">
        <v>45</v>
      </c>
      <c r="AB408" s="1" t="s">
        <v>65</v>
      </c>
      <c r="AC408" s="1" t="s">
        <v>67</v>
      </c>
      <c r="AD408" s="1" t="s">
        <v>137</v>
      </c>
      <c r="AE408" s="1" t="s">
        <v>125</v>
      </c>
      <c r="AF408" s="5">
        <f t="shared" si="36"/>
        <v>45713</v>
      </c>
      <c r="AG408" s="5">
        <f t="shared" si="37"/>
        <v>45713</v>
      </c>
      <c r="AH408" s="5" t="b">
        <f t="shared" si="38"/>
        <v>1</v>
      </c>
      <c r="AI408" s="5" t="b">
        <f t="shared" si="39"/>
        <v>1</v>
      </c>
      <c r="AJ408" t="str">
        <f t="shared" si="40"/>
        <v>OK</v>
      </c>
      <c r="AK408">
        <f t="shared" si="41"/>
        <v>0</v>
      </c>
    </row>
    <row r="409" spans="1:37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  <c r="V409" s="1" t="s">
        <v>148</v>
      </c>
      <c r="W409" s="1" t="s">
        <v>108</v>
      </c>
      <c r="X409" s="1" t="s">
        <v>73</v>
      </c>
      <c r="Y409" s="1" t="s">
        <v>249</v>
      </c>
      <c r="Z409" s="1" t="s">
        <v>250</v>
      </c>
      <c r="AA409" s="1" t="s">
        <v>30</v>
      </c>
      <c r="AB409" s="1" t="s">
        <v>109</v>
      </c>
      <c r="AC409" s="1" t="s">
        <v>33</v>
      </c>
      <c r="AD409" s="1" t="s">
        <v>34</v>
      </c>
      <c r="AE409" s="1" t="s">
        <v>35</v>
      </c>
      <c r="AF409" s="5">
        <f t="shared" si="36"/>
        <v>45424</v>
      </c>
      <c r="AG409" s="5">
        <f t="shared" si="37"/>
        <v>45425</v>
      </c>
      <c r="AH409" s="5" t="b">
        <f t="shared" si="38"/>
        <v>1</v>
      </c>
      <c r="AI409" s="5" t="b">
        <f t="shared" si="39"/>
        <v>1</v>
      </c>
      <c r="AJ409" t="str">
        <f t="shared" si="40"/>
        <v>OK</v>
      </c>
      <c r="AK409">
        <f t="shared" si="41"/>
        <v>1</v>
      </c>
    </row>
    <row r="410" spans="1:37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  <c r="V410" s="1" t="s">
        <v>168</v>
      </c>
      <c r="W410" s="1" t="s">
        <v>26</v>
      </c>
      <c r="X410" s="1" t="s">
        <v>73</v>
      </c>
      <c r="Y410" s="1" t="s">
        <v>74</v>
      </c>
      <c r="Z410" s="1" t="s">
        <v>75</v>
      </c>
      <c r="AA410" s="1" t="s">
        <v>45</v>
      </c>
      <c r="AB410" s="1" t="s">
        <v>76</v>
      </c>
      <c r="AC410" s="1" t="s">
        <v>56</v>
      </c>
      <c r="AD410" s="1" t="s">
        <v>200</v>
      </c>
      <c r="AE410" s="1" t="s">
        <v>125</v>
      </c>
      <c r="AF410" s="5">
        <f t="shared" si="36"/>
        <v>45870</v>
      </c>
      <c r="AG410" s="5">
        <f t="shared" si="37"/>
        <v>45872</v>
      </c>
      <c r="AH410" s="5" t="b">
        <f t="shared" si="38"/>
        <v>1</v>
      </c>
      <c r="AI410" s="5" t="b">
        <f t="shared" si="39"/>
        <v>1</v>
      </c>
      <c r="AJ410" t="str">
        <f t="shared" si="40"/>
        <v>OK</v>
      </c>
      <c r="AK410">
        <f t="shared" si="41"/>
        <v>2</v>
      </c>
    </row>
    <row r="411" spans="1:37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  <c r="V411" s="1" t="s">
        <v>25</v>
      </c>
      <c r="W411" s="1" t="s">
        <v>26</v>
      </c>
      <c r="X411" s="1" t="s">
        <v>42</v>
      </c>
      <c r="Y411" s="1" t="s">
        <v>216</v>
      </c>
      <c r="Z411" s="1" t="s">
        <v>217</v>
      </c>
      <c r="AA411" s="1" t="s">
        <v>86</v>
      </c>
      <c r="AB411" s="1" t="s">
        <v>87</v>
      </c>
      <c r="AC411" s="1" t="s">
        <v>48</v>
      </c>
      <c r="AD411" s="1" t="s">
        <v>124</v>
      </c>
      <c r="AE411" s="1" t="s">
        <v>125</v>
      </c>
      <c r="AF411" s="5" t="e">
        <f t="shared" si="36"/>
        <v>#N/A</v>
      </c>
      <c r="AG411" s="5" t="e">
        <f t="shared" si="37"/>
        <v>#N/A</v>
      </c>
      <c r="AH411" s="5" t="b">
        <f t="shared" si="38"/>
        <v>0</v>
      </c>
      <c r="AI411" s="5" t="b">
        <f t="shared" si="39"/>
        <v>0</v>
      </c>
      <c r="AJ411" t="e">
        <f t="shared" si="40"/>
        <v>#N/A</v>
      </c>
      <c r="AK411" t="e">
        <f t="shared" si="41"/>
        <v>#N/A</v>
      </c>
    </row>
    <row r="412" spans="1:37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  <c r="V412" s="1" t="s">
        <v>210</v>
      </c>
      <c r="W412" s="1" t="s">
        <v>26</v>
      </c>
      <c r="X412" s="1" t="s">
        <v>73</v>
      </c>
      <c r="Y412" s="1" t="s">
        <v>249</v>
      </c>
      <c r="Z412" s="1" t="s">
        <v>250</v>
      </c>
      <c r="AA412" s="1" t="s">
        <v>45</v>
      </c>
      <c r="AB412" s="1" t="s">
        <v>46</v>
      </c>
      <c r="AC412" s="1" t="s">
        <v>56</v>
      </c>
      <c r="AD412" s="1" t="s">
        <v>34</v>
      </c>
      <c r="AE412" s="1" t="s">
        <v>35</v>
      </c>
      <c r="AF412" s="5">
        <f t="shared" si="36"/>
        <v>45394</v>
      </c>
      <c r="AG412" s="5">
        <f t="shared" si="37"/>
        <v>45402</v>
      </c>
      <c r="AH412" s="5" t="b">
        <f t="shared" si="38"/>
        <v>1</v>
      </c>
      <c r="AI412" s="5" t="b">
        <f t="shared" si="39"/>
        <v>1</v>
      </c>
      <c r="AJ412" t="str">
        <f t="shared" si="40"/>
        <v>OK</v>
      </c>
      <c r="AK412">
        <f t="shared" si="41"/>
        <v>8</v>
      </c>
    </row>
    <row r="413" spans="1:37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  <c r="V413" s="1" t="s">
        <v>61</v>
      </c>
      <c r="W413" s="1" t="s">
        <v>115</v>
      </c>
      <c r="X413" s="1" t="s">
        <v>73</v>
      </c>
      <c r="Y413" s="1" t="s">
        <v>28</v>
      </c>
      <c r="Z413" s="1" t="s">
        <v>135</v>
      </c>
      <c r="AA413" s="1" t="s">
        <v>45</v>
      </c>
      <c r="AB413" s="1" t="s">
        <v>46</v>
      </c>
      <c r="AC413" s="1" t="s">
        <v>56</v>
      </c>
      <c r="AD413" s="1" t="s">
        <v>200</v>
      </c>
      <c r="AE413" s="1" t="s">
        <v>125</v>
      </c>
      <c r="AF413" s="5">
        <f t="shared" si="36"/>
        <v>45892</v>
      </c>
      <c r="AG413" s="5">
        <f t="shared" si="37"/>
        <v>45897</v>
      </c>
      <c r="AH413" s="5" t="b">
        <f t="shared" si="38"/>
        <v>1</v>
      </c>
      <c r="AI413" s="5" t="b">
        <f t="shared" si="39"/>
        <v>1</v>
      </c>
      <c r="AJ413" t="str">
        <f t="shared" si="40"/>
        <v>OK</v>
      </c>
      <c r="AK413">
        <f t="shared" si="41"/>
        <v>5</v>
      </c>
    </row>
    <row r="414" spans="1:37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  <c r="V414" s="1" t="s">
        <v>53</v>
      </c>
      <c r="W414" s="1" t="s">
        <v>108</v>
      </c>
      <c r="X414" s="1" t="s">
        <v>62</v>
      </c>
      <c r="Y414" s="1" t="s">
        <v>229</v>
      </c>
      <c r="Z414" s="1" t="s">
        <v>230</v>
      </c>
      <c r="AA414" s="1" t="s">
        <v>45</v>
      </c>
      <c r="AB414" s="1" t="s">
        <v>76</v>
      </c>
      <c r="AC414" s="1" t="s">
        <v>48</v>
      </c>
      <c r="AD414" s="1" t="s">
        <v>34</v>
      </c>
      <c r="AE414" s="1" t="s">
        <v>35</v>
      </c>
      <c r="AF414" s="5">
        <f t="shared" si="36"/>
        <v>45313</v>
      </c>
      <c r="AG414" s="5" t="e">
        <f t="shared" si="37"/>
        <v>#N/A</v>
      </c>
      <c r="AH414" s="5" t="b">
        <f t="shared" si="38"/>
        <v>1</v>
      </c>
      <c r="AI414" s="5" t="b">
        <f t="shared" si="39"/>
        <v>0</v>
      </c>
      <c r="AJ414" t="e">
        <f t="shared" si="40"/>
        <v>#N/A</v>
      </c>
      <c r="AK414" t="e">
        <f t="shared" si="41"/>
        <v>#N/A</v>
      </c>
    </row>
    <row r="415" spans="1:37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  <c r="V415" s="1" t="s">
        <v>93</v>
      </c>
      <c r="W415" s="1" t="s">
        <v>115</v>
      </c>
      <c r="X415" s="1" t="s">
        <v>73</v>
      </c>
      <c r="Y415" s="1" t="s">
        <v>84</v>
      </c>
      <c r="Z415" s="1" t="s">
        <v>85</v>
      </c>
      <c r="AA415" s="1" t="s">
        <v>86</v>
      </c>
      <c r="AB415" s="1" t="s">
        <v>87</v>
      </c>
      <c r="AC415" s="1" t="s">
        <v>33</v>
      </c>
      <c r="AD415" s="1" t="s">
        <v>137</v>
      </c>
      <c r="AE415" s="1" t="s">
        <v>78</v>
      </c>
      <c r="AF415" s="5" t="e">
        <f t="shared" si="36"/>
        <v>#N/A</v>
      </c>
      <c r="AG415" s="5" t="e">
        <f t="shared" si="37"/>
        <v>#N/A</v>
      </c>
      <c r="AH415" s="5" t="b">
        <f t="shared" si="38"/>
        <v>0</v>
      </c>
      <c r="AI415" s="5" t="b">
        <f t="shared" si="39"/>
        <v>0</v>
      </c>
      <c r="AJ415" t="e">
        <f t="shared" si="40"/>
        <v>#N/A</v>
      </c>
      <c r="AK415" t="e">
        <f t="shared" si="41"/>
        <v>#N/A</v>
      </c>
    </row>
    <row r="416" spans="1:37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  <c r="V416" s="1" t="s">
        <v>61</v>
      </c>
      <c r="W416" s="1" t="s">
        <v>115</v>
      </c>
      <c r="X416" s="1" t="s">
        <v>42</v>
      </c>
      <c r="Y416" s="1" t="s">
        <v>216</v>
      </c>
      <c r="Z416" s="1" t="s">
        <v>217</v>
      </c>
      <c r="AA416" s="1" t="s">
        <v>30</v>
      </c>
      <c r="AB416" s="1" t="s">
        <v>156</v>
      </c>
      <c r="AC416" s="1" t="s">
        <v>56</v>
      </c>
      <c r="AD416" s="1" t="s">
        <v>34</v>
      </c>
      <c r="AE416" s="1" t="s">
        <v>35</v>
      </c>
      <c r="AF416" s="5">
        <f t="shared" si="36"/>
        <v>45533</v>
      </c>
      <c r="AG416" s="5">
        <f t="shared" si="37"/>
        <v>45534</v>
      </c>
      <c r="AH416" s="5" t="b">
        <f t="shared" si="38"/>
        <v>1</v>
      </c>
      <c r="AI416" s="5" t="b">
        <f t="shared" si="39"/>
        <v>1</v>
      </c>
      <c r="AJ416" t="str">
        <f t="shared" si="40"/>
        <v>OK</v>
      </c>
      <c r="AK416">
        <f t="shared" si="41"/>
        <v>1</v>
      </c>
    </row>
    <row r="417" spans="1:37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  <c r="V417" s="1" t="s">
        <v>162</v>
      </c>
      <c r="W417" s="1" t="s">
        <v>108</v>
      </c>
      <c r="X417" s="1" t="s">
        <v>62</v>
      </c>
      <c r="Y417" s="1" t="s">
        <v>229</v>
      </c>
      <c r="Z417" s="1" t="s">
        <v>230</v>
      </c>
      <c r="AA417" s="1" t="s">
        <v>30</v>
      </c>
      <c r="AB417" s="1" t="s">
        <v>156</v>
      </c>
      <c r="AC417" s="1" t="s">
        <v>48</v>
      </c>
      <c r="AD417" s="1" t="s">
        <v>34</v>
      </c>
      <c r="AE417" s="1" t="s">
        <v>125</v>
      </c>
      <c r="AF417" s="5">
        <f t="shared" si="36"/>
        <v>45316</v>
      </c>
      <c r="AG417" s="5">
        <f t="shared" si="37"/>
        <v>45318</v>
      </c>
      <c r="AH417" s="5" t="b">
        <f t="shared" si="38"/>
        <v>1</v>
      </c>
      <c r="AI417" s="5" t="b">
        <f t="shared" si="39"/>
        <v>1</v>
      </c>
      <c r="AJ417" t="str">
        <f t="shared" si="40"/>
        <v>OK</v>
      </c>
      <c r="AK417">
        <f t="shared" si="41"/>
        <v>2</v>
      </c>
    </row>
    <row r="418" spans="1:37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  <c r="V418" s="1" t="s">
        <v>93</v>
      </c>
      <c r="W418" s="1" t="s">
        <v>26</v>
      </c>
      <c r="X418" s="1" t="s">
        <v>62</v>
      </c>
      <c r="Y418" s="1" t="s">
        <v>63</v>
      </c>
      <c r="Z418" s="1" t="s">
        <v>64</v>
      </c>
      <c r="AA418" s="1" t="s">
        <v>45</v>
      </c>
      <c r="AB418" s="1" t="s">
        <v>65</v>
      </c>
      <c r="AC418" s="1" t="s">
        <v>56</v>
      </c>
      <c r="AD418" s="1" t="s">
        <v>34</v>
      </c>
      <c r="AE418" s="1" t="s">
        <v>35</v>
      </c>
      <c r="AF418" s="5">
        <f t="shared" si="36"/>
        <v>45665</v>
      </c>
      <c r="AG418" s="5" t="e">
        <f t="shared" si="37"/>
        <v>#N/A</v>
      </c>
      <c r="AH418" s="5" t="b">
        <f t="shared" si="38"/>
        <v>1</v>
      </c>
      <c r="AI418" s="5" t="b">
        <f t="shared" si="39"/>
        <v>0</v>
      </c>
      <c r="AJ418" t="e">
        <f t="shared" si="40"/>
        <v>#N/A</v>
      </c>
      <c r="AK418" t="e">
        <f t="shared" si="41"/>
        <v>#N/A</v>
      </c>
    </row>
    <row r="419" spans="1:37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  <c r="V419" s="1" t="s">
        <v>40</v>
      </c>
      <c r="W419" s="1" t="s">
        <v>26</v>
      </c>
      <c r="X419" s="1" t="s">
        <v>73</v>
      </c>
      <c r="Y419" s="1" t="s">
        <v>235</v>
      </c>
      <c r="Z419" s="1" t="s">
        <v>236</v>
      </c>
      <c r="AA419" s="1" t="s">
        <v>30</v>
      </c>
      <c r="AB419" s="1" t="s">
        <v>54</v>
      </c>
      <c r="AC419" s="1" t="s">
        <v>56</v>
      </c>
      <c r="AD419" s="1" t="s">
        <v>34</v>
      </c>
      <c r="AE419" s="1" t="s">
        <v>35</v>
      </c>
      <c r="AF419" s="5">
        <f t="shared" si="36"/>
        <v>45686</v>
      </c>
      <c r="AG419" s="5">
        <f t="shared" si="37"/>
        <v>45693</v>
      </c>
      <c r="AH419" s="5" t="b">
        <f t="shared" si="38"/>
        <v>1</v>
      </c>
      <c r="AI419" s="5" t="b">
        <f t="shared" si="39"/>
        <v>1</v>
      </c>
      <c r="AJ419" t="str">
        <f t="shared" si="40"/>
        <v>OK</v>
      </c>
      <c r="AK419">
        <f t="shared" si="41"/>
        <v>7</v>
      </c>
    </row>
    <row r="420" spans="1:37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  <c r="V420" s="1" t="s">
        <v>168</v>
      </c>
      <c r="W420" s="1" t="s">
        <v>108</v>
      </c>
      <c r="X420" s="1" t="s">
        <v>42</v>
      </c>
      <c r="Y420" s="1" t="s">
        <v>43</v>
      </c>
      <c r="Z420" s="1" t="s">
        <v>44</v>
      </c>
      <c r="AA420" s="1" t="s">
        <v>86</v>
      </c>
      <c r="AB420" s="1" t="s">
        <v>94</v>
      </c>
      <c r="AC420" s="1" t="s">
        <v>67</v>
      </c>
      <c r="AD420" s="1" t="s">
        <v>200</v>
      </c>
      <c r="AE420" s="1" t="s">
        <v>78</v>
      </c>
      <c r="AF420" s="5">
        <f t="shared" si="36"/>
        <v>45605</v>
      </c>
      <c r="AG420" s="5">
        <f t="shared" si="37"/>
        <v>45613</v>
      </c>
      <c r="AH420" s="5" t="b">
        <f t="shared" si="38"/>
        <v>1</v>
      </c>
      <c r="AI420" s="5" t="b">
        <f t="shared" si="39"/>
        <v>1</v>
      </c>
      <c r="AJ420" t="str">
        <f t="shared" si="40"/>
        <v>OK</v>
      </c>
      <c r="AK420">
        <f t="shared" si="41"/>
        <v>8</v>
      </c>
    </row>
    <row r="421" spans="1:37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  <c r="V421" s="1" t="s">
        <v>168</v>
      </c>
      <c r="W421" s="1" t="s">
        <v>115</v>
      </c>
      <c r="X421" s="1" t="s">
        <v>27</v>
      </c>
      <c r="Y421" s="1" t="s">
        <v>323</v>
      </c>
      <c r="Z421" s="1" t="s">
        <v>324</v>
      </c>
      <c r="AA421" s="1" t="s">
        <v>86</v>
      </c>
      <c r="AB421" s="1" t="s">
        <v>223</v>
      </c>
      <c r="AC421" s="1" t="s">
        <v>48</v>
      </c>
      <c r="AD421" s="1" t="s">
        <v>34</v>
      </c>
      <c r="AE421" s="1" t="s">
        <v>35</v>
      </c>
      <c r="AF421" s="5" t="e">
        <f t="shared" si="36"/>
        <v>#N/A</v>
      </c>
      <c r="AG421" s="5">
        <f t="shared" si="37"/>
        <v>45930</v>
      </c>
      <c r="AH421" s="5" t="b">
        <f t="shared" si="38"/>
        <v>0</v>
      </c>
      <c r="AI421" s="5" t="b">
        <f t="shared" si="39"/>
        <v>1</v>
      </c>
      <c r="AJ421" t="e">
        <f t="shared" si="40"/>
        <v>#N/A</v>
      </c>
      <c r="AK421" t="e">
        <f t="shared" si="41"/>
        <v>#N/A</v>
      </c>
    </row>
    <row r="422" spans="1:37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  <c r="V422" s="1" t="s">
        <v>53</v>
      </c>
      <c r="W422" s="1" t="s">
        <v>108</v>
      </c>
      <c r="X422" s="1" t="s">
        <v>62</v>
      </c>
      <c r="Y422" s="1" t="s">
        <v>339</v>
      </c>
      <c r="Z422" s="1" t="s">
        <v>340</v>
      </c>
      <c r="AA422" s="1" t="s">
        <v>86</v>
      </c>
      <c r="AB422" s="1" t="s">
        <v>382</v>
      </c>
      <c r="AC422" s="1" t="s">
        <v>67</v>
      </c>
      <c r="AD422" s="1" t="s">
        <v>137</v>
      </c>
      <c r="AE422" s="1" t="s">
        <v>78</v>
      </c>
      <c r="AF422" s="5" t="e">
        <f t="shared" si="36"/>
        <v>#N/A</v>
      </c>
      <c r="AG422" s="5">
        <f t="shared" si="37"/>
        <v>45735</v>
      </c>
      <c r="AH422" s="5" t="b">
        <f t="shared" si="38"/>
        <v>0</v>
      </c>
      <c r="AI422" s="5" t="b">
        <f t="shared" si="39"/>
        <v>1</v>
      </c>
      <c r="AJ422" t="e">
        <f t="shared" si="40"/>
        <v>#N/A</v>
      </c>
      <c r="AK422" t="e">
        <f t="shared" si="41"/>
        <v>#N/A</v>
      </c>
    </row>
    <row r="423" spans="1:37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  <c r="V423" s="1" t="s">
        <v>180</v>
      </c>
      <c r="W423" s="1" t="s">
        <v>41</v>
      </c>
      <c r="X423" s="1" t="s">
        <v>27</v>
      </c>
      <c r="Y423" s="1" t="s">
        <v>506</v>
      </c>
      <c r="Z423" s="1" t="s">
        <v>507</v>
      </c>
      <c r="AA423" s="1" t="s">
        <v>30</v>
      </c>
      <c r="AB423" s="1" t="s">
        <v>198</v>
      </c>
      <c r="AC423" s="1" t="s">
        <v>48</v>
      </c>
      <c r="AD423" s="1" t="s">
        <v>137</v>
      </c>
      <c r="AE423" s="1" t="s">
        <v>125</v>
      </c>
      <c r="AF423" s="5">
        <f t="shared" si="36"/>
        <v>45822</v>
      </c>
      <c r="AG423" s="5">
        <f t="shared" si="37"/>
        <v>45827</v>
      </c>
      <c r="AH423" s="5" t="b">
        <f t="shared" si="38"/>
        <v>1</v>
      </c>
      <c r="AI423" s="5" t="b">
        <f t="shared" si="39"/>
        <v>1</v>
      </c>
      <c r="AJ423" t="str">
        <f t="shared" si="40"/>
        <v>OK</v>
      </c>
      <c r="AK423">
        <f t="shared" si="41"/>
        <v>5</v>
      </c>
    </row>
    <row r="424" spans="1:37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  <c r="V424" s="1" t="s">
        <v>366</v>
      </c>
      <c r="W424" s="1" t="s">
        <v>26</v>
      </c>
      <c r="X424" s="1" t="s">
        <v>73</v>
      </c>
      <c r="Y424" s="1" t="s">
        <v>84</v>
      </c>
      <c r="Z424" s="1" t="s">
        <v>85</v>
      </c>
      <c r="AA424" s="1" t="s">
        <v>86</v>
      </c>
      <c r="AB424" s="1" t="s">
        <v>94</v>
      </c>
      <c r="AC424" s="1" t="s">
        <v>48</v>
      </c>
      <c r="AD424" s="1" t="s">
        <v>34</v>
      </c>
      <c r="AE424" s="1" t="s">
        <v>35</v>
      </c>
      <c r="AF424" s="5">
        <f t="shared" si="36"/>
        <v>45903</v>
      </c>
      <c r="AG424" s="5">
        <f t="shared" si="37"/>
        <v>45906</v>
      </c>
      <c r="AH424" s="5" t="b">
        <f t="shared" si="38"/>
        <v>1</v>
      </c>
      <c r="AI424" s="5" t="b">
        <f t="shared" si="39"/>
        <v>1</v>
      </c>
      <c r="AJ424" t="str">
        <f t="shared" si="40"/>
        <v>OK</v>
      </c>
      <c r="AK424">
        <f t="shared" si="41"/>
        <v>3</v>
      </c>
    </row>
    <row r="425" spans="1:37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  <c r="V425" s="1" t="s">
        <v>210</v>
      </c>
      <c r="W425" s="1" t="s">
        <v>26</v>
      </c>
      <c r="X425" s="1" t="s">
        <v>62</v>
      </c>
      <c r="Y425" s="1" t="s">
        <v>242</v>
      </c>
      <c r="Z425" s="1" t="s">
        <v>243</v>
      </c>
      <c r="AA425" s="1" t="s">
        <v>86</v>
      </c>
      <c r="AB425" s="1" t="s">
        <v>87</v>
      </c>
      <c r="AC425" s="1" t="s">
        <v>56</v>
      </c>
      <c r="AD425" s="1" t="s">
        <v>34</v>
      </c>
      <c r="AE425" s="1" t="s">
        <v>35</v>
      </c>
      <c r="AF425" s="5">
        <f t="shared" si="36"/>
        <v>45342</v>
      </c>
      <c r="AG425" s="5" t="e">
        <f t="shared" si="37"/>
        <v>#N/A</v>
      </c>
      <c r="AH425" s="5" t="b">
        <f t="shared" si="38"/>
        <v>1</v>
      </c>
      <c r="AI425" s="5" t="b">
        <f t="shared" si="39"/>
        <v>0</v>
      </c>
      <c r="AJ425" t="e">
        <f t="shared" si="40"/>
        <v>#N/A</v>
      </c>
      <c r="AK425" t="e">
        <f t="shared" si="41"/>
        <v>#N/A</v>
      </c>
    </row>
    <row r="426" spans="1:37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  <c r="V426" s="1" t="s">
        <v>93</v>
      </c>
      <c r="W426" s="1" t="s">
        <v>108</v>
      </c>
      <c r="X426" s="1" t="s">
        <v>27</v>
      </c>
      <c r="Y426" s="1" t="s">
        <v>154</v>
      </c>
      <c r="Z426" s="1" t="s">
        <v>155</v>
      </c>
      <c r="AA426" s="1" t="s">
        <v>86</v>
      </c>
      <c r="AB426" s="1" t="s">
        <v>223</v>
      </c>
      <c r="AC426" s="1" t="s">
        <v>67</v>
      </c>
      <c r="AD426" s="1" t="s">
        <v>34</v>
      </c>
      <c r="AE426" s="1" t="s">
        <v>35</v>
      </c>
      <c r="AF426" s="5">
        <f t="shared" si="36"/>
        <v>45469</v>
      </c>
      <c r="AG426" s="5">
        <f t="shared" si="37"/>
        <v>45472</v>
      </c>
      <c r="AH426" s="5" t="b">
        <f t="shared" si="38"/>
        <v>1</v>
      </c>
      <c r="AI426" s="5" t="b">
        <f t="shared" si="39"/>
        <v>1</v>
      </c>
      <c r="AJ426" t="str">
        <f t="shared" si="40"/>
        <v>OK</v>
      </c>
      <c r="AK426">
        <f t="shared" si="41"/>
        <v>3</v>
      </c>
    </row>
    <row r="427" spans="1:37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  <c r="V427" s="1" t="s">
        <v>53</v>
      </c>
      <c r="W427" s="1" t="s">
        <v>115</v>
      </c>
      <c r="X427" s="1" t="s">
        <v>27</v>
      </c>
      <c r="Y427" s="1" t="s">
        <v>506</v>
      </c>
      <c r="Z427" s="1" t="s">
        <v>507</v>
      </c>
      <c r="AA427" s="1" t="s">
        <v>30</v>
      </c>
      <c r="AB427" s="1" t="s">
        <v>109</v>
      </c>
      <c r="AC427" s="1" t="s">
        <v>56</v>
      </c>
      <c r="AD427" s="1" t="s">
        <v>124</v>
      </c>
      <c r="AE427" s="1" t="s">
        <v>78</v>
      </c>
      <c r="AF427" s="5" t="e">
        <f t="shared" si="36"/>
        <v>#N/A</v>
      </c>
      <c r="AG427" s="5">
        <f t="shared" si="37"/>
        <v>45562</v>
      </c>
      <c r="AH427" s="5" t="b">
        <f t="shared" si="38"/>
        <v>0</v>
      </c>
      <c r="AI427" s="5" t="b">
        <f t="shared" si="39"/>
        <v>1</v>
      </c>
      <c r="AJ427" t="e">
        <f t="shared" si="40"/>
        <v>#N/A</v>
      </c>
      <c r="AK427" t="e">
        <f t="shared" si="41"/>
        <v>#N/A</v>
      </c>
    </row>
    <row r="428" spans="1:37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  <c r="V428" s="1" t="s">
        <v>107</v>
      </c>
      <c r="W428" s="1" t="s">
        <v>26</v>
      </c>
      <c r="X428" s="1" t="s">
        <v>27</v>
      </c>
      <c r="Y428" s="1" t="s">
        <v>323</v>
      </c>
      <c r="Z428" s="1" t="s">
        <v>324</v>
      </c>
      <c r="AA428" s="1" t="s">
        <v>86</v>
      </c>
      <c r="AB428" s="1" t="s">
        <v>94</v>
      </c>
      <c r="AC428" s="1" t="s">
        <v>48</v>
      </c>
      <c r="AD428" s="1" t="s">
        <v>34</v>
      </c>
      <c r="AE428" s="1" t="s">
        <v>35</v>
      </c>
      <c r="AF428" s="5" t="e">
        <f t="shared" si="36"/>
        <v>#N/A</v>
      </c>
      <c r="AG428" s="5">
        <f t="shared" si="37"/>
        <v>45298</v>
      </c>
      <c r="AH428" s="5" t="b">
        <f t="shared" si="38"/>
        <v>0</v>
      </c>
      <c r="AI428" s="5" t="b">
        <f t="shared" si="39"/>
        <v>1</v>
      </c>
      <c r="AJ428" t="e">
        <f t="shared" si="40"/>
        <v>#N/A</v>
      </c>
      <c r="AK428" t="e">
        <f t="shared" si="41"/>
        <v>#N/A</v>
      </c>
    </row>
    <row r="429" spans="1:37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  <c r="V429" s="1" t="s">
        <v>53</v>
      </c>
      <c r="W429" s="1" t="s">
        <v>108</v>
      </c>
      <c r="X429" s="1" t="s">
        <v>4119</v>
      </c>
      <c r="Y429" s="1" t="s">
        <v>311</v>
      </c>
      <c r="Z429" s="1" t="s">
        <v>312</v>
      </c>
      <c r="AA429" s="1" t="s">
        <v>86</v>
      </c>
      <c r="AB429" s="1" t="s">
        <v>87</v>
      </c>
      <c r="AC429" s="1" t="s">
        <v>67</v>
      </c>
      <c r="AD429" s="1" t="s">
        <v>34</v>
      </c>
      <c r="AE429" s="1" t="s">
        <v>35</v>
      </c>
      <c r="AF429" s="5">
        <f t="shared" si="36"/>
        <v>45769</v>
      </c>
      <c r="AG429" s="5" t="e">
        <f t="shared" si="37"/>
        <v>#N/A</v>
      </c>
      <c r="AH429" s="5" t="b">
        <f t="shared" si="38"/>
        <v>1</v>
      </c>
      <c r="AI429" s="5" t="b">
        <f t="shared" si="39"/>
        <v>0</v>
      </c>
      <c r="AJ429" t="e">
        <f t="shared" si="40"/>
        <v>#N/A</v>
      </c>
      <c r="AK429" t="e">
        <f t="shared" si="41"/>
        <v>#N/A</v>
      </c>
    </row>
    <row r="430" spans="1:37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  <c r="V430" s="1" t="s">
        <v>25</v>
      </c>
      <c r="W430" s="1" t="s">
        <v>41</v>
      </c>
      <c r="X430" s="1" t="s">
        <v>42</v>
      </c>
      <c r="Y430" s="1" t="s">
        <v>121</v>
      </c>
      <c r="Z430" s="1" t="s">
        <v>122</v>
      </c>
      <c r="AA430" s="1" t="s">
        <v>86</v>
      </c>
      <c r="AB430" s="1" t="s">
        <v>223</v>
      </c>
      <c r="AC430" s="1" t="s">
        <v>48</v>
      </c>
      <c r="AD430" s="1" t="s">
        <v>137</v>
      </c>
      <c r="AE430" s="1" t="s">
        <v>78</v>
      </c>
      <c r="AF430" s="5">
        <f t="shared" si="36"/>
        <v>45731</v>
      </c>
      <c r="AG430" s="5">
        <f t="shared" si="37"/>
        <v>45738</v>
      </c>
      <c r="AH430" s="5" t="b">
        <f t="shared" si="38"/>
        <v>1</v>
      </c>
      <c r="AI430" s="5" t="b">
        <f t="shared" si="39"/>
        <v>1</v>
      </c>
      <c r="AJ430" t="str">
        <f t="shared" si="40"/>
        <v>OK</v>
      </c>
      <c r="AK430">
        <f t="shared" si="41"/>
        <v>7</v>
      </c>
    </row>
    <row r="431" spans="1:37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  <c r="V431" s="1" t="s">
        <v>93</v>
      </c>
      <c r="W431" s="1" t="s">
        <v>115</v>
      </c>
      <c r="X431" s="1" t="s">
        <v>27</v>
      </c>
      <c r="Y431" s="1" t="s">
        <v>28</v>
      </c>
      <c r="Z431" s="1" t="s">
        <v>29</v>
      </c>
      <c r="AA431" s="1" t="s">
        <v>86</v>
      </c>
      <c r="AB431" s="1" t="s">
        <v>94</v>
      </c>
      <c r="AC431" s="1" t="s">
        <v>48</v>
      </c>
      <c r="AD431" s="1" t="s">
        <v>34</v>
      </c>
      <c r="AE431" s="1" t="s">
        <v>35</v>
      </c>
      <c r="AF431" s="5">
        <f t="shared" si="36"/>
        <v>45717</v>
      </c>
      <c r="AG431" s="5">
        <f t="shared" si="37"/>
        <v>45872</v>
      </c>
      <c r="AH431" s="5" t="b">
        <f t="shared" si="38"/>
        <v>1</v>
      </c>
      <c r="AI431" s="5" t="b">
        <f t="shared" si="39"/>
        <v>1</v>
      </c>
      <c r="AJ431" t="str">
        <f t="shared" si="40"/>
        <v>OK</v>
      </c>
      <c r="AK431">
        <f t="shared" si="41"/>
        <v>155</v>
      </c>
    </row>
    <row r="432" spans="1:37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  <c r="V432" s="1" t="s">
        <v>93</v>
      </c>
      <c r="W432" s="1" t="s">
        <v>41</v>
      </c>
      <c r="X432" s="1" t="s">
        <v>27</v>
      </c>
      <c r="Y432" s="1" t="s">
        <v>323</v>
      </c>
      <c r="Z432" s="1" t="s">
        <v>324</v>
      </c>
      <c r="AA432" s="1" t="s">
        <v>30</v>
      </c>
      <c r="AB432" s="1" t="s">
        <v>31</v>
      </c>
      <c r="AC432" s="1" t="s">
        <v>33</v>
      </c>
      <c r="AD432" s="1" t="s">
        <v>34</v>
      </c>
      <c r="AE432" s="1" t="s">
        <v>35</v>
      </c>
      <c r="AF432" s="5">
        <f t="shared" si="36"/>
        <v>45534</v>
      </c>
      <c r="AG432" s="5">
        <f t="shared" si="37"/>
        <v>45331</v>
      </c>
      <c r="AH432" s="5" t="b">
        <f t="shared" si="38"/>
        <v>1</v>
      </c>
      <c r="AI432" s="5" t="b">
        <f t="shared" si="39"/>
        <v>1</v>
      </c>
      <c r="AJ432" t="str">
        <f t="shared" si="40"/>
        <v>Invalid: Ship before Order</v>
      </c>
      <c r="AK432" t="e">
        <f t="shared" si="41"/>
        <v>#NUM!</v>
      </c>
    </row>
    <row r="433" spans="1:37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  <c r="V433" s="1" t="s">
        <v>25</v>
      </c>
      <c r="W433" s="1" t="s">
        <v>115</v>
      </c>
      <c r="X433" s="1" t="s">
        <v>73</v>
      </c>
      <c r="Y433" s="1" t="s">
        <v>249</v>
      </c>
      <c r="Z433" s="1" t="s">
        <v>250</v>
      </c>
      <c r="AA433" s="1" t="s">
        <v>86</v>
      </c>
      <c r="AB433" s="1" t="s">
        <v>382</v>
      </c>
      <c r="AC433" s="1" t="s">
        <v>48</v>
      </c>
      <c r="AD433" s="1" t="s">
        <v>34</v>
      </c>
      <c r="AE433" s="1" t="s">
        <v>35</v>
      </c>
      <c r="AF433" s="5">
        <f t="shared" si="36"/>
        <v>45332</v>
      </c>
      <c r="AG433" s="5">
        <f t="shared" si="37"/>
        <v>45335</v>
      </c>
      <c r="AH433" s="5" t="b">
        <f t="shared" si="38"/>
        <v>1</v>
      </c>
      <c r="AI433" s="5" t="b">
        <f t="shared" si="39"/>
        <v>1</v>
      </c>
      <c r="AJ433" t="str">
        <f t="shared" si="40"/>
        <v>OK</v>
      </c>
      <c r="AK433">
        <f t="shared" si="41"/>
        <v>3</v>
      </c>
    </row>
    <row r="434" spans="1:37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  <c r="V434" s="1" t="s">
        <v>142</v>
      </c>
      <c r="W434" s="1" t="s">
        <v>41</v>
      </c>
      <c r="X434" s="1" t="s">
        <v>73</v>
      </c>
      <c r="Y434" s="1" t="s">
        <v>74</v>
      </c>
      <c r="Z434" s="1" t="s">
        <v>75</v>
      </c>
      <c r="AA434" s="1" t="s">
        <v>45</v>
      </c>
      <c r="AB434" s="1" t="s">
        <v>204</v>
      </c>
      <c r="AC434" s="1" t="s">
        <v>67</v>
      </c>
      <c r="AD434" s="1" t="s">
        <v>34</v>
      </c>
      <c r="AE434" s="1" t="s">
        <v>35</v>
      </c>
      <c r="AF434" s="5">
        <f t="shared" si="36"/>
        <v>45533</v>
      </c>
      <c r="AG434" s="5">
        <f t="shared" si="37"/>
        <v>45331</v>
      </c>
      <c r="AH434" s="5" t="b">
        <f t="shared" si="38"/>
        <v>1</v>
      </c>
      <c r="AI434" s="5" t="b">
        <f t="shared" si="39"/>
        <v>1</v>
      </c>
      <c r="AJ434" t="str">
        <f t="shared" si="40"/>
        <v>Invalid: Ship before Order</v>
      </c>
      <c r="AK434" t="e">
        <f t="shared" si="41"/>
        <v>#NUM!</v>
      </c>
    </row>
    <row r="435" spans="1:37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  <c r="V435" s="1" t="s">
        <v>142</v>
      </c>
      <c r="W435" s="1" t="s">
        <v>108</v>
      </c>
      <c r="X435" s="1" t="s">
        <v>62</v>
      </c>
      <c r="Y435" s="1" t="s">
        <v>242</v>
      </c>
      <c r="Z435" s="1" t="s">
        <v>243</v>
      </c>
      <c r="AA435" s="1" t="s">
        <v>30</v>
      </c>
      <c r="AB435" s="1" t="s">
        <v>54</v>
      </c>
      <c r="AC435" s="1" t="s">
        <v>33</v>
      </c>
      <c r="AD435" s="1" t="s">
        <v>124</v>
      </c>
      <c r="AE435" s="1" t="s">
        <v>125</v>
      </c>
      <c r="AF435" s="5">
        <f t="shared" si="36"/>
        <v>45401</v>
      </c>
      <c r="AG435" s="5" t="e">
        <f t="shared" si="37"/>
        <v>#N/A</v>
      </c>
      <c r="AH435" s="5" t="b">
        <f t="shared" si="38"/>
        <v>1</v>
      </c>
      <c r="AI435" s="5" t="b">
        <f t="shared" si="39"/>
        <v>0</v>
      </c>
      <c r="AJ435" t="e">
        <f t="shared" si="40"/>
        <v>#N/A</v>
      </c>
      <c r="AK435" t="e">
        <f t="shared" si="41"/>
        <v>#N/A</v>
      </c>
    </row>
    <row r="436" spans="1:37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  <c r="V436" s="1" t="s">
        <v>40</v>
      </c>
      <c r="W436" s="1" t="s">
        <v>115</v>
      </c>
      <c r="X436" s="1" t="s">
        <v>27</v>
      </c>
      <c r="Y436" s="1" t="s">
        <v>174</v>
      </c>
      <c r="Z436" s="1" t="s">
        <v>175</v>
      </c>
      <c r="AA436" s="1" t="s">
        <v>86</v>
      </c>
      <c r="AB436" s="1" t="s">
        <v>87</v>
      </c>
      <c r="AC436" s="1" t="s">
        <v>33</v>
      </c>
      <c r="AD436" s="1" t="s">
        <v>34</v>
      </c>
      <c r="AE436" s="1" t="s">
        <v>35</v>
      </c>
      <c r="AF436" s="5">
        <f t="shared" si="36"/>
        <v>45758</v>
      </c>
      <c r="AG436" s="5">
        <f t="shared" si="37"/>
        <v>45762</v>
      </c>
      <c r="AH436" s="5" t="b">
        <f t="shared" si="38"/>
        <v>1</v>
      </c>
      <c r="AI436" s="5" t="b">
        <f t="shared" si="39"/>
        <v>1</v>
      </c>
      <c r="AJ436" t="str">
        <f t="shared" si="40"/>
        <v>OK</v>
      </c>
      <c r="AK436">
        <f t="shared" si="41"/>
        <v>4</v>
      </c>
    </row>
    <row r="437" spans="1:37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  <c r="V437" s="1" t="s">
        <v>366</v>
      </c>
      <c r="W437" s="1" t="s">
        <v>115</v>
      </c>
      <c r="X437" s="1" t="s">
        <v>27</v>
      </c>
      <c r="Y437" s="1" t="s">
        <v>506</v>
      </c>
      <c r="Z437" s="1" t="s">
        <v>507</v>
      </c>
      <c r="AA437" s="1" t="s">
        <v>86</v>
      </c>
      <c r="AB437" s="1" t="s">
        <v>382</v>
      </c>
      <c r="AC437" s="1" t="s">
        <v>67</v>
      </c>
      <c r="AD437" s="1" t="s">
        <v>34</v>
      </c>
      <c r="AE437" s="1" t="s">
        <v>78</v>
      </c>
      <c r="AF437" s="5">
        <f t="shared" si="36"/>
        <v>45759</v>
      </c>
      <c r="AG437" s="5" t="e">
        <f t="shared" si="37"/>
        <v>#N/A</v>
      </c>
      <c r="AH437" s="5" t="b">
        <f t="shared" si="38"/>
        <v>1</v>
      </c>
      <c r="AI437" s="5" t="b">
        <f t="shared" si="39"/>
        <v>0</v>
      </c>
      <c r="AJ437" t="e">
        <f t="shared" si="40"/>
        <v>#N/A</v>
      </c>
      <c r="AK437" t="e">
        <f t="shared" si="41"/>
        <v>#N/A</v>
      </c>
    </row>
    <row r="438" spans="1:37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  <c r="V438" s="1" t="s">
        <v>93</v>
      </c>
      <c r="W438" s="1" t="s">
        <v>26</v>
      </c>
      <c r="X438" s="1" t="s">
        <v>62</v>
      </c>
      <c r="Y438" s="1" t="s">
        <v>242</v>
      </c>
      <c r="Z438" s="1" t="s">
        <v>243</v>
      </c>
      <c r="AA438" s="1" t="s">
        <v>45</v>
      </c>
      <c r="AB438" s="1" t="s">
        <v>65</v>
      </c>
      <c r="AC438" s="1" t="s">
        <v>48</v>
      </c>
      <c r="AD438" s="1" t="s">
        <v>34</v>
      </c>
      <c r="AE438" s="1" t="s">
        <v>125</v>
      </c>
      <c r="AF438" s="5">
        <f t="shared" si="36"/>
        <v>45459</v>
      </c>
      <c r="AG438" s="5">
        <f t="shared" si="37"/>
        <v>45464</v>
      </c>
      <c r="AH438" s="5" t="b">
        <f t="shared" si="38"/>
        <v>1</v>
      </c>
      <c r="AI438" s="5" t="b">
        <f t="shared" si="39"/>
        <v>1</v>
      </c>
      <c r="AJ438" t="str">
        <f t="shared" si="40"/>
        <v>OK</v>
      </c>
      <c r="AK438">
        <f t="shared" si="41"/>
        <v>5</v>
      </c>
    </row>
    <row r="439" spans="1:37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  <c r="V439" s="1" t="s">
        <v>107</v>
      </c>
      <c r="W439" s="1" t="s">
        <v>41</v>
      </c>
      <c r="X439" s="1" t="s">
        <v>62</v>
      </c>
      <c r="Y439" s="1" t="s">
        <v>242</v>
      </c>
      <c r="Z439" s="1" t="s">
        <v>243</v>
      </c>
      <c r="AA439" s="1" t="s">
        <v>86</v>
      </c>
      <c r="AB439" s="1" t="s">
        <v>87</v>
      </c>
      <c r="AC439" s="1" t="s">
        <v>48</v>
      </c>
      <c r="AD439" s="1" t="s">
        <v>200</v>
      </c>
      <c r="AE439" s="1" t="s">
        <v>125</v>
      </c>
      <c r="AF439" s="5" t="e">
        <f t="shared" si="36"/>
        <v>#N/A</v>
      </c>
      <c r="AG439" s="5">
        <f t="shared" si="37"/>
        <v>45340</v>
      </c>
      <c r="AH439" s="5" t="b">
        <f t="shared" si="38"/>
        <v>0</v>
      </c>
      <c r="AI439" s="5" t="b">
        <f t="shared" si="39"/>
        <v>1</v>
      </c>
      <c r="AJ439" t="e">
        <f t="shared" si="40"/>
        <v>#N/A</v>
      </c>
      <c r="AK439" t="e">
        <f t="shared" si="41"/>
        <v>#N/A</v>
      </c>
    </row>
    <row r="440" spans="1:37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  <c r="V440" s="1" t="s">
        <v>93</v>
      </c>
      <c r="W440" s="1" t="s">
        <v>108</v>
      </c>
      <c r="X440" s="1" t="s">
        <v>42</v>
      </c>
      <c r="Y440" s="1" t="s">
        <v>311</v>
      </c>
      <c r="Z440" s="1" t="s">
        <v>312</v>
      </c>
      <c r="AA440" s="1" t="s">
        <v>86</v>
      </c>
      <c r="AB440" s="1" t="s">
        <v>223</v>
      </c>
      <c r="AC440" s="1" t="s">
        <v>67</v>
      </c>
      <c r="AD440" s="1" t="s">
        <v>34</v>
      </c>
      <c r="AE440" s="1" t="s">
        <v>35</v>
      </c>
      <c r="AF440" s="5">
        <f t="shared" si="36"/>
        <v>45784</v>
      </c>
      <c r="AG440" s="5">
        <f t="shared" si="37"/>
        <v>45782</v>
      </c>
      <c r="AH440" s="5" t="b">
        <f t="shared" si="38"/>
        <v>1</v>
      </c>
      <c r="AI440" s="5" t="b">
        <f t="shared" si="39"/>
        <v>1</v>
      </c>
      <c r="AJ440" t="str">
        <f t="shared" si="40"/>
        <v>Invalid: Ship before Order</v>
      </c>
      <c r="AK440" t="e">
        <f t="shared" si="41"/>
        <v>#NUM!</v>
      </c>
    </row>
    <row r="441" spans="1:37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  <c r="V441" s="1" t="s">
        <v>162</v>
      </c>
      <c r="W441" s="1" t="s">
        <v>115</v>
      </c>
      <c r="X441" s="1" t="s">
        <v>73</v>
      </c>
      <c r="Y441" s="1" t="s">
        <v>249</v>
      </c>
      <c r="Z441" s="1" t="s">
        <v>250</v>
      </c>
      <c r="AA441" s="1" t="s">
        <v>30</v>
      </c>
      <c r="AB441" s="1" t="s">
        <v>156</v>
      </c>
      <c r="AC441" s="1" t="s">
        <v>48</v>
      </c>
      <c r="AD441" s="1" t="s">
        <v>124</v>
      </c>
      <c r="AE441" s="1" t="s">
        <v>125</v>
      </c>
      <c r="AF441" s="5" t="e">
        <f t="shared" si="36"/>
        <v>#N/A</v>
      </c>
      <c r="AG441" s="5">
        <f t="shared" si="37"/>
        <v>45841</v>
      </c>
      <c r="AH441" s="5" t="b">
        <f t="shared" si="38"/>
        <v>0</v>
      </c>
      <c r="AI441" s="5" t="b">
        <f t="shared" si="39"/>
        <v>1</v>
      </c>
      <c r="AJ441" t="e">
        <f t="shared" si="40"/>
        <v>#N/A</v>
      </c>
      <c r="AK441" t="e">
        <f t="shared" si="41"/>
        <v>#N/A</v>
      </c>
    </row>
    <row r="442" spans="1:37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  <c r="V442" s="1" t="s">
        <v>83</v>
      </c>
      <c r="W442" s="1" t="s">
        <v>108</v>
      </c>
      <c r="X442" s="1" t="s">
        <v>42</v>
      </c>
      <c r="Y442" s="1" t="s">
        <v>43</v>
      </c>
      <c r="Z442" s="1" t="s">
        <v>44</v>
      </c>
      <c r="AA442" s="1" t="s">
        <v>86</v>
      </c>
      <c r="AB442" s="1" t="s">
        <v>382</v>
      </c>
      <c r="AC442" s="1" t="s">
        <v>33</v>
      </c>
      <c r="AD442" s="1" t="s">
        <v>34</v>
      </c>
      <c r="AE442" s="1" t="s">
        <v>35</v>
      </c>
      <c r="AF442" s="5">
        <f t="shared" si="36"/>
        <v>45384</v>
      </c>
      <c r="AG442" s="5">
        <f t="shared" si="37"/>
        <v>45390</v>
      </c>
      <c r="AH442" s="5" t="b">
        <f t="shared" si="38"/>
        <v>1</v>
      </c>
      <c r="AI442" s="5" t="b">
        <f t="shared" si="39"/>
        <v>1</v>
      </c>
      <c r="AJ442" t="str">
        <f t="shared" si="40"/>
        <v>OK</v>
      </c>
      <c r="AK442">
        <f t="shared" si="41"/>
        <v>6</v>
      </c>
    </row>
    <row r="443" spans="1:37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  <c r="V443" s="1" t="s">
        <v>25</v>
      </c>
      <c r="W443" s="1" t="s">
        <v>26</v>
      </c>
      <c r="X443" s="1" t="s">
        <v>42</v>
      </c>
      <c r="Y443" s="1" t="s">
        <v>186</v>
      </c>
      <c r="Z443" s="1" t="s">
        <v>187</v>
      </c>
      <c r="AA443" s="1" t="s">
        <v>45</v>
      </c>
      <c r="AB443" s="1" t="s">
        <v>204</v>
      </c>
      <c r="AC443" s="1" t="s">
        <v>67</v>
      </c>
      <c r="AD443" s="1" t="s">
        <v>34</v>
      </c>
      <c r="AE443" s="1" t="s">
        <v>78</v>
      </c>
      <c r="AF443" s="5">
        <f t="shared" si="36"/>
        <v>45361</v>
      </c>
      <c r="AG443" s="5">
        <f t="shared" si="37"/>
        <v>45568</v>
      </c>
      <c r="AH443" s="5" t="b">
        <f t="shared" si="38"/>
        <v>1</v>
      </c>
      <c r="AI443" s="5" t="b">
        <f t="shared" si="39"/>
        <v>1</v>
      </c>
      <c r="AJ443" t="str">
        <f t="shared" si="40"/>
        <v>OK</v>
      </c>
      <c r="AK443">
        <f t="shared" si="41"/>
        <v>207</v>
      </c>
    </row>
    <row r="444" spans="1:37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  <c r="V444" s="1" t="s">
        <v>162</v>
      </c>
      <c r="W444" s="1" t="s">
        <v>26</v>
      </c>
      <c r="X444" s="1" t="s">
        <v>42</v>
      </c>
      <c r="Y444" s="1" t="s">
        <v>311</v>
      </c>
      <c r="Z444" s="1" t="s">
        <v>312</v>
      </c>
      <c r="AA444" s="1" t="s">
        <v>45</v>
      </c>
      <c r="AB444" s="1" t="s">
        <v>46</v>
      </c>
      <c r="AC444" s="1" t="s">
        <v>56</v>
      </c>
      <c r="AD444" s="1" t="s">
        <v>34</v>
      </c>
      <c r="AE444" s="1" t="s">
        <v>35</v>
      </c>
      <c r="AF444" s="5">
        <f t="shared" si="36"/>
        <v>45669</v>
      </c>
      <c r="AG444" s="5">
        <f t="shared" si="37"/>
        <v>45676</v>
      </c>
      <c r="AH444" s="5" t="b">
        <f t="shared" si="38"/>
        <v>1</v>
      </c>
      <c r="AI444" s="5" t="b">
        <f t="shared" si="39"/>
        <v>1</v>
      </c>
      <c r="AJ444" t="str">
        <f t="shared" si="40"/>
        <v>OK</v>
      </c>
      <c r="AK444">
        <f t="shared" si="41"/>
        <v>7</v>
      </c>
    </row>
    <row r="445" spans="1:37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  <c r="V445" s="1" t="s">
        <v>180</v>
      </c>
      <c r="W445" s="1" t="s">
        <v>115</v>
      </c>
      <c r="X445" s="1" t="s">
        <v>42</v>
      </c>
      <c r="Y445" s="1" t="s">
        <v>43</v>
      </c>
      <c r="Z445" s="1" t="s">
        <v>44</v>
      </c>
      <c r="AA445" s="1" t="s">
        <v>45</v>
      </c>
      <c r="AB445" s="1" t="s">
        <v>65</v>
      </c>
      <c r="AC445" s="1" t="s">
        <v>56</v>
      </c>
      <c r="AD445" s="1" t="s">
        <v>34</v>
      </c>
      <c r="AE445" s="1" t="s">
        <v>35</v>
      </c>
      <c r="AF445" s="5">
        <f t="shared" si="36"/>
        <v>45386</v>
      </c>
      <c r="AG445" s="5">
        <f t="shared" si="37"/>
        <v>45389</v>
      </c>
      <c r="AH445" s="5" t="b">
        <f t="shared" si="38"/>
        <v>1</v>
      </c>
      <c r="AI445" s="5" t="b">
        <f t="shared" si="39"/>
        <v>1</v>
      </c>
      <c r="AJ445" t="str">
        <f t="shared" si="40"/>
        <v>OK</v>
      </c>
      <c r="AK445">
        <f t="shared" si="41"/>
        <v>3</v>
      </c>
    </row>
    <row r="446" spans="1:37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  <c r="V446" s="1" t="s">
        <v>72</v>
      </c>
      <c r="W446" s="1" t="s">
        <v>26</v>
      </c>
      <c r="X446" s="1" t="s">
        <v>42</v>
      </c>
      <c r="Y446" s="1" t="s">
        <v>216</v>
      </c>
      <c r="Z446" s="1" t="s">
        <v>217</v>
      </c>
      <c r="AA446" s="1" t="s">
        <v>86</v>
      </c>
      <c r="AB446" s="1" t="s">
        <v>87</v>
      </c>
      <c r="AC446" s="1" t="s">
        <v>48</v>
      </c>
      <c r="AD446" s="1" t="s">
        <v>34</v>
      </c>
      <c r="AE446" s="1" t="s">
        <v>35</v>
      </c>
      <c r="AF446" s="5">
        <f t="shared" si="36"/>
        <v>45881</v>
      </c>
      <c r="AG446" s="5">
        <f t="shared" si="37"/>
        <v>45885</v>
      </c>
      <c r="AH446" s="5" t="b">
        <f t="shared" si="38"/>
        <v>1</v>
      </c>
      <c r="AI446" s="5" t="b">
        <f t="shared" si="39"/>
        <v>1</v>
      </c>
      <c r="AJ446" t="str">
        <f t="shared" si="40"/>
        <v>OK</v>
      </c>
      <c r="AK446">
        <f t="shared" si="41"/>
        <v>4</v>
      </c>
    </row>
    <row r="447" spans="1:37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  <c r="V447" s="1" t="s">
        <v>61</v>
      </c>
      <c r="W447" s="1" t="s">
        <v>26</v>
      </c>
      <c r="X447" s="1" t="s">
        <v>42</v>
      </c>
      <c r="Y447" s="1" t="s">
        <v>216</v>
      </c>
      <c r="Z447" s="1" t="s">
        <v>217</v>
      </c>
      <c r="AA447" s="1" t="s">
        <v>45</v>
      </c>
      <c r="AB447" s="1" t="s">
        <v>204</v>
      </c>
      <c r="AC447" s="1" t="s">
        <v>48</v>
      </c>
      <c r="AD447" s="1" t="s">
        <v>34</v>
      </c>
      <c r="AE447" s="1" t="s">
        <v>35</v>
      </c>
      <c r="AF447" s="5">
        <f t="shared" si="36"/>
        <v>45421</v>
      </c>
      <c r="AG447" s="5">
        <f t="shared" si="37"/>
        <v>45417</v>
      </c>
      <c r="AH447" s="5" t="b">
        <f t="shared" si="38"/>
        <v>1</v>
      </c>
      <c r="AI447" s="5" t="b">
        <f t="shared" si="39"/>
        <v>1</v>
      </c>
      <c r="AJ447" t="str">
        <f t="shared" si="40"/>
        <v>Invalid: Ship before Order</v>
      </c>
      <c r="AK447" t="e">
        <f t="shared" si="41"/>
        <v>#NUM!</v>
      </c>
    </row>
    <row r="448" spans="1:37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  <c r="V448" s="1" t="s">
        <v>168</v>
      </c>
      <c r="W448" s="1" t="s">
        <v>115</v>
      </c>
      <c r="X448" s="1" t="s">
        <v>62</v>
      </c>
      <c r="Y448" s="1" t="s">
        <v>100</v>
      </c>
      <c r="Z448" s="1" t="s">
        <v>101</v>
      </c>
      <c r="AA448" s="1" t="s">
        <v>30</v>
      </c>
      <c r="AB448" s="1" t="s">
        <v>156</v>
      </c>
      <c r="AC448" s="1" t="s">
        <v>48</v>
      </c>
      <c r="AD448" s="1" t="s">
        <v>34</v>
      </c>
      <c r="AE448" s="1" t="s">
        <v>35</v>
      </c>
      <c r="AF448" s="5" t="e">
        <f t="shared" si="36"/>
        <v>#N/A</v>
      </c>
      <c r="AG448" s="5" t="e">
        <f t="shared" si="37"/>
        <v>#N/A</v>
      </c>
      <c r="AH448" s="5" t="b">
        <f t="shared" si="38"/>
        <v>0</v>
      </c>
      <c r="AI448" s="5" t="b">
        <f t="shared" si="39"/>
        <v>0</v>
      </c>
      <c r="AJ448" t="e">
        <f t="shared" si="40"/>
        <v>#N/A</v>
      </c>
      <c r="AK448" t="e">
        <f t="shared" si="41"/>
        <v>#N/A</v>
      </c>
    </row>
    <row r="449" spans="1:37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  <c r="V449" s="1" t="s">
        <v>180</v>
      </c>
      <c r="W449" s="1" t="s">
        <v>115</v>
      </c>
      <c r="X449" s="1" t="s">
        <v>62</v>
      </c>
      <c r="Y449" s="1" t="s">
        <v>63</v>
      </c>
      <c r="Z449" s="1" t="s">
        <v>64</v>
      </c>
      <c r="AA449" s="1" t="s">
        <v>45</v>
      </c>
      <c r="AB449" s="1" t="s">
        <v>204</v>
      </c>
      <c r="AC449" s="1" t="s">
        <v>67</v>
      </c>
      <c r="AD449" s="1" t="s">
        <v>137</v>
      </c>
      <c r="AE449" s="1" t="s">
        <v>125</v>
      </c>
      <c r="AF449" s="5">
        <f t="shared" si="36"/>
        <v>45938</v>
      </c>
      <c r="AG449" s="5">
        <f t="shared" si="37"/>
        <v>45879</v>
      </c>
      <c r="AH449" s="5" t="b">
        <f t="shared" si="38"/>
        <v>1</v>
      </c>
      <c r="AI449" s="5" t="b">
        <f t="shared" si="39"/>
        <v>1</v>
      </c>
      <c r="AJ449" t="str">
        <f t="shared" si="40"/>
        <v>Invalid: Ship before Order</v>
      </c>
      <c r="AK449" t="e">
        <f t="shared" si="41"/>
        <v>#NUM!</v>
      </c>
    </row>
    <row r="450" spans="1:37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  <c r="V450" s="1" t="s">
        <v>40</v>
      </c>
      <c r="W450" s="1" t="s">
        <v>41</v>
      </c>
      <c r="X450" s="1" t="s">
        <v>62</v>
      </c>
      <c r="Y450" s="1" t="s">
        <v>100</v>
      </c>
      <c r="Z450" s="1" t="s">
        <v>101</v>
      </c>
      <c r="AA450" s="1" t="s">
        <v>45</v>
      </c>
      <c r="AB450" s="1" t="s">
        <v>76</v>
      </c>
      <c r="AC450" s="1" t="s">
        <v>56</v>
      </c>
      <c r="AD450" s="1" t="s">
        <v>34</v>
      </c>
      <c r="AE450" s="1" t="s">
        <v>35</v>
      </c>
      <c r="AF450" s="5">
        <f t="shared" si="36"/>
        <v>45306</v>
      </c>
      <c r="AG450" s="5">
        <f t="shared" si="37"/>
        <v>45309</v>
      </c>
      <c r="AH450" s="5" t="b">
        <f t="shared" si="38"/>
        <v>1</v>
      </c>
      <c r="AI450" s="5" t="b">
        <f t="shared" si="39"/>
        <v>1</v>
      </c>
      <c r="AJ450" t="str">
        <f t="shared" si="40"/>
        <v>OK</v>
      </c>
      <c r="AK450">
        <f t="shared" si="41"/>
        <v>3</v>
      </c>
    </row>
    <row r="451" spans="1:37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  <c r="V451" s="1" t="s">
        <v>107</v>
      </c>
      <c r="W451" s="1" t="s">
        <v>108</v>
      </c>
      <c r="X451" s="1" t="s">
        <v>42</v>
      </c>
      <c r="Y451" s="1" t="s">
        <v>216</v>
      </c>
      <c r="Z451" s="1" t="s">
        <v>217</v>
      </c>
      <c r="AA451" s="1" t="s">
        <v>86</v>
      </c>
      <c r="AB451" s="1" t="s">
        <v>382</v>
      </c>
      <c r="AC451" s="1" t="s">
        <v>33</v>
      </c>
      <c r="AD451" s="1" t="s">
        <v>34</v>
      </c>
      <c r="AE451" s="1" t="s">
        <v>35</v>
      </c>
      <c r="AF451" s="5">
        <f t="shared" ref="AF451:AF514" si="42">IFERROR(DATEVALUE(B451),IFERROR(DATE(VALUE(RIGHT(B451,4)),VALUE(MID(SUBSTITUTE(B451,"-","/"),6,2)),VALUE(LEFT(B451,2))),NA()))</f>
        <v>45449</v>
      </c>
      <c r="AG451" s="5">
        <f t="shared" ref="AG451:AG514" si="43">IFERROR(DATEVALUE(C451),IFERROR(DATE(VALUE(RIGHT(C451,4)),VALUE(MID(SUBSTITUTE(C451,"-","/"),6,2)),VALUE(LEFT(C451,2))),NA()))</f>
        <v>45456</v>
      </c>
      <c r="AH451" s="5" t="b">
        <f t="shared" ref="AH451:AH514" si="44">ISNUMBER(AF451)</f>
        <v>1</v>
      </c>
      <c r="AI451" s="5" t="b">
        <f t="shared" ref="AI451:AI514" si="45">ISNUMBER(AG451)</f>
        <v>1</v>
      </c>
      <c r="AJ451" t="str">
        <f t="shared" ref="AJ451:AJ514" si="46">IF(AG451&lt;AF451,"Invalid: Ship before Order","OK")</f>
        <v>OK</v>
      </c>
      <c r="AK451">
        <f t="shared" ref="AK451:AK514" si="47">DATEDIF(AF451, AG451, "D")</f>
        <v>7</v>
      </c>
    </row>
    <row r="452" spans="1:37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  <c r="V452" s="1" t="s">
        <v>72</v>
      </c>
      <c r="W452" s="1" t="s">
        <v>108</v>
      </c>
      <c r="X452" s="1" t="s">
        <v>27</v>
      </c>
      <c r="Y452" s="1" t="s">
        <v>506</v>
      </c>
      <c r="Z452" s="1" t="s">
        <v>507</v>
      </c>
      <c r="AA452" s="1" t="s">
        <v>45</v>
      </c>
      <c r="AB452" s="1" t="s">
        <v>76</v>
      </c>
      <c r="AC452" s="1" t="s">
        <v>67</v>
      </c>
      <c r="AD452" s="1" t="s">
        <v>34</v>
      </c>
      <c r="AE452" s="1" t="s">
        <v>35</v>
      </c>
      <c r="AF452" s="5">
        <f t="shared" si="42"/>
        <v>45820</v>
      </c>
      <c r="AG452" s="5">
        <f t="shared" si="43"/>
        <v>45827</v>
      </c>
      <c r="AH452" s="5" t="b">
        <f t="shared" si="44"/>
        <v>1</v>
      </c>
      <c r="AI452" s="5" t="b">
        <f t="shared" si="45"/>
        <v>1</v>
      </c>
      <c r="AJ452" t="str">
        <f t="shared" si="46"/>
        <v>OK</v>
      </c>
      <c r="AK452">
        <f t="shared" si="47"/>
        <v>7</v>
      </c>
    </row>
    <row r="453" spans="1:37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  <c r="V453" s="1" t="s">
        <v>180</v>
      </c>
      <c r="W453" s="1" t="s">
        <v>41</v>
      </c>
      <c r="X453" s="1" t="s">
        <v>27</v>
      </c>
      <c r="Y453" s="1" t="s">
        <v>323</v>
      </c>
      <c r="Z453" s="1" t="s">
        <v>324</v>
      </c>
      <c r="AA453" s="1" t="s">
        <v>30</v>
      </c>
      <c r="AB453" s="1" t="s">
        <v>31</v>
      </c>
      <c r="AC453" s="1" t="s">
        <v>33</v>
      </c>
      <c r="AD453" s="1" t="s">
        <v>34</v>
      </c>
      <c r="AE453" s="1" t="s">
        <v>78</v>
      </c>
      <c r="AF453" s="5" t="e">
        <f t="shared" si="42"/>
        <v>#N/A</v>
      </c>
      <c r="AG453" s="5" t="e">
        <f t="shared" si="43"/>
        <v>#N/A</v>
      </c>
      <c r="AH453" s="5" t="b">
        <f t="shared" si="44"/>
        <v>0</v>
      </c>
      <c r="AI453" s="5" t="b">
        <f t="shared" si="45"/>
        <v>0</v>
      </c>
      <c r="AJ453" t="e">
        <f t="shared" si="46"/>
        <v>#N/A</v>
      </c>
      <c r="AK453" t="e">
        <f t="shared" si="47"/>
        <v>#N/A</v>
      </c>
    </row>
    <row r="454" spans="1:37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  <c r="V454" s="1" t="s">
        <v>210</v>
      </c>
      <c r="W454" s="1" t="s">
        <v>115</v>
      </c>
      <c r="X454" s="1" t="s">
        <v>42</v>
      </c>
      <c r="Y454" s="1" t="s">
        <v>311</v>
      </c>
      <c r="Z454" s="1" t="s">
        <v>312</v>
      </c>
      <c r="AA454" s="1" t="s">
        <v>86</v>
      </c>
      <c r="AB454" s="1" t="s">
        <v>87</v>
      </c>
      <c r="AC454" s="1" t="s">
        <v>33</v>
      </c>
      <c r="AD454" s="1" t="s">
        <v>34</v>
      </c>
      <c r="AE454" s="1" t="s">
        <v>35</v>
      </c>
      <c r="AF454" s="5">
        <f t="shared" si="42"/>
        <v>45570</v>
      </c>
      <c r="AG454" s="5" t="e">
        <f t="shared" si="43"/>
        <v>#N/A</v>
      </c>
      <c r="AH454" s="5" t="b">
        <f t="shared" si="44"/>
        <v>1</v>
      </c>
      <c r="AI454" s="5" t="b">
        <f t="shared" si="45"/>
        <v>0</v>
      </c>
      <c r="AJ454" t="e">
        <f t="shared" si="46"/>
        <v>#N/A</v>
      </c>
      <c r="AK454" t="e">
        <f t="shared" si="47"/>
        <v>#N/A</v>
      </c>
    </row>
    <row r="455" spans="1:37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  <c r="V455" s="1" t="s">
        <v>180</v>
      </c>
      <c r="W455" s="1" t="s">
        <v>41</v>
      </c>
      <c r="X455" s="1" t="s">
        <v>73</v>
      </c>
      <c r="Y455" s="1" t="s">
        <v>84</v>
      </c>
      <c r="Z455" s="1" t="s">
        <v>85</v>
      </c>
      <c r="AA455" s="1" t="s">
        <v>30</v>
      </c>
      <c r="AB455" s="1" t="s">
        <v>109</v>
      </c>
      <c r="AC455" s="1" t="s">
        <v>48</v>
      </c>
      <c r="AD455" s="1" t="s">
        <v>34</v>
      </c>
      <c r="AE455" s="1" t="s">
        <v>35</v>
      </c>
      <c r="AF455" s="5">
        <f t="shared" si="42"/>
        <v>45780</v>
      </c>
      <c r="AG455" s="5">
        <f t="shared" si="43"/>
        <v>45788</v>
      </c>
      <c r="AH455" s="5" t="b">
        <f t="shared" si="44"/>
        <v>1</v>
      </c>
      <c r="AI455" s="5" t="b">
        <f t="shared" si="45"/>
        <v>1</v>
      </c>
      <c r="AJ455" t="str">
        <f t="shared" si="46"/>
        <v>OK</v>
      </c>
      <c r="AK455">
        <f t="shared" si="47"/>
        <v>8</v>
      </c>
    </row>
    <row r="456" spans="1:37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  <c r="V456" s="1" t="s">
        <v>83</v>
      </c>
      <c r="W456" s="1" t="s">
        <v>41</v>
      </c>
      <c r="X456" s="1" t="s">
        <v>27</v>
      </c>
      <c r="Y456" s="1" t="s">
        <v>28</v>
      </c>
      <c r="Z456" s="1" t="s">
        <v>29</v>
      </c>
      <c r="AA456" s="1" t="s">
        <v>45</v>
      </c>
      <c r="AB456" s="1" t="s">
        <v>65</v>
      </c>
      <c r="AC456" s="1" t="s">
        <v>67</v>
      </c>
      <c r="AD456" s="1" t="s">
        <v>34</v>
      </c>
      <c r="AE456" s="1" t="s">
        <v>35</v>
      </c>
      <c r="AF456" s="5">
        <f t="shared" si="42"/>
        <v>45739</v>
      </c>
      <c r="AG456" s="5" t="e">
        <f t="shared" si="43"/>
        <v>#N/A</v>
      </c>
      <c r="AH456" s="5" t="b">
        <f t="shared" si="44"/>
        <v>1</v>
      </c>
      <c r="AI456" s="5" t="b">
        <f t="shared" si="45"/>
        <v>0</v>
      </c>
      <c r="AJ456" t="e">
        <f t="shared" si="46"/>
        <v>#N/A</v>
      </c>
      <c r="AK456" t="e">
        <f t="shared" si="47"/>
        <v>#N/A</v>
      </c>
    </row>
    <row r="457" spans="1:37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  <c r="V457" s="1" t="s">
        <v>93</v>
      </c>
      <c r="W457" s="1" t="s">
        <v>41</v>
      </c>
      <c r="X457" s="1" t="s">
        <v>62</v>
      </c>
      <c r="Y457" s="1" t="s">
        <v>63</v>
      </c>
      <c r="Z457" s="1" t="s">
        <v>64</v>
      </c>
      <c r="AA457" s="1" t="s">
        <v>30</v>
      </c>
      <c r="AB457" s="1" t="s">
        <v>54</v>
      </c>
      <c r="AC457" s="1" t="s">
        <v>67</v>
      </c>
      <c r="AD457" s="1" t="s">
        <v>34</v>
      </c>
      <c r="AE457" s="1" t="s">
        <v>35</v>
      </c>
      <c r="AF457" s="5">
        <f t="shared" si="42"/>
        <v>45491</v>
      </c>
      <c r="AG457" s="5" t="e">
        <f t="shared" si="43"/>
        <v>#N/A</v>
      </c>
      <c r="AH457" s="5" t="b">
        <f t="shared" si="44"/>
        <v>1</v>
      </c>
      <c r="AI457" s="5" t="b">
        <f t="shared" si="45"/>
        <v>0</v>
      </c>
      <c r="AJ457" t="e">
        <f t="shared" si="46"/>
        <v>#N/A</v>
      </c>
      <c r="AK457" t="e">
        <f t="shared" si="47"/>
        <v>#N/A</v>
      </c>
    </row>
    <row r="458" spans="1:37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  <c r="V458" s="1" t="s">
        <v>93</v>
      </c>
      <c r="W458" s="1" t="s">
        <v>108</v>
      </c>
      <c r="X458" s="1" t="s">
        <v>27</v>
      </c>
      <c r="Y458" s="1" t="s">
        <v>174</v>
      </c>
      <c r="Z458" s="1" t="s">
        <v>175</v>
      </c>
      <c r="AA458" s="1" t="s">
        <v>86</v>
      </c>
      <c r="AB458" s="1" t="s">
        <v>87</v>
      </c>
      <c r="AC458" s="1" t="s">
        <v>48</v>
      </c>
      <c r="AD458" s="1" t="s">
        <v>34</v>
      </c>
      <c r="AE458" s="1" t="s">
        <v>125</v>
      </c>
      <c r="AF458" s="5">
        <f t="shared" si="42"/>
        <v>45342</v>
      </c>
      <c r="AG458" s="5">
        <f t="shared" si="43"/>
        <v>45342</v>
      </c>
      <c r="AH458" s="5" t="b">
        <f t="shared" si="44"/>
        <v>1</v>
      </c>
      <c r="AI458" s="5" t="b">
        <f t="shared" si="45"/>
        <v>1</v>
      </c>
      <c r="AJ458" t="str">
        <f t="shared" si="46"/>
        <v>OK</v>
      </c>
      <c r="AK458">
        <f t="shared" si="47"/>
        <v>0</v>
      </c>
    </row>
    <row r="459" spans="1:37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  <c r="V459" s="1" t="s">
        <v>40</v>
      </c>
      <c r="W459" s="1" t="s">
        <v>41</v>
      </c>
      <c r="X459" s="1" t="s">
        <v>73</v>
      </c>
      <c r="Y459" s="1" t="s">
        <v>249</v>
      </c>
      <c r="Z459" s="1" t="s">
        <v>250</v>
      </c>
      <c r="AA459" s="1" t="s">
        <v>45</v>
      </c>
      <c r="AB459" s="1" t="s">
        <v>46</v>
      </c>
      <c r="AC459" s="1" t="s">
        <v>67</v>
      </c>
      <c r="AD459" s="1" t="s">
        <v>34</v>
      </c>
      <c r="AE459" s="1" t="s">
        <v>35</v>
      </c>
      <c r="AF459" s="5">
        <f t="shared" si="42"/>
        <v>45416</v>
      </c>
      <c r="AG459" s="5">
        <f t="shared" si="43"/>
        <v>45416</v>
      </c>
      <c r="AH459" s="5" t="b">
        <f t="shared" si="44"/>
        <v>1</v>
      </c>
      <c r="AI459" s="5" t="b">
        <f t="shared" si="45"/>
        <v>1</v>
      </c>
      <c r="AJ459" t="str">
        <f t="shared" si="46"/>
        <v>OK</v>
      </c>
      <c r="AK459">
        <f t="shared" si="47"/>
        <v>0</v>
      </c>
    </row>
    <row r="460" spans="1:37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  <c r="V460" s="1" t="s">
        <v>25</v>
      </c>
      <c r="W460" s="1" t="s">
        <v>108</v>
      </c>
      <c r="X460" s="1" t="s">
        <v>27</v>
      </c>
      <c r="Y460" s="1" t="s">
        <v>28</v>
      </c>
      <c r="Z460" s="1" t="s">
        <v>29</v>
      </c>
      <c r="AA460" s="1" t="s">
        <v>86</v>
      </c>
      <c r="AB460" s="1" t="s">
        <v>223</v>
      </c>
      <c r="AC460" s="1" t="s">
        <v>33</v>
      </c>
      <c r="AD460" s="1" t="s">
        <v>34</v>
      </c>
      <c r="AE460" s="1" t="s">
        <v>35</v>
      </c>
      <c r="AF460" s="5">
        <f t="shared" si="42"/>
        <v>45332</v>
      </c>
      <c r="AG460" s="5">
        <f t="shared" si="43"/>
        <v>45333</v>
      </c>
      <c r="AH460" s="5" t="b">
        <f t="shared" si="44"/>
        <v>1</v>
      </c>
      <c r="AI460" s="5" t="b">
        <f t="shared" si="45"/>
        <v>1</v>
      </c>
      <c r="AJ460" t="str">
        <f t="shared" si="46"/>
        <v>OK</v>
      </c>
      <c r="AK460">
        <f t="shared" si="47"/>
        <v>1</v>
      </c>
    </row>
    <row r="461" spans="1:37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  <c r="V461" s="1" t="s">
        <v>72</v>
      </c>
      <c r="W461" s="1" t="s">
        <v>115</v>
      </c>
      <c r="X461" s="1" t="s">
        <v>73</v>
      </c>
      <c r="Y461" s="1" t="s">
        <v>249</v>
      </c>
      <c r="Z461" s="1" t="s">
        <v>250</v>
      </c>
      <c r="AA461" s="1" t="s">
        <v>30</v>
      </c>
      <c r="AB461" s="1" t="s">
        <v>31</v>
      </c>
      <c r="AC461" s="1" t="s">
        <v>56</v>
      </c>
      <c r="AD461" s="1" t="s">
        <v>34</v>
      </c>
      <c r="AE461" s="1" t="s">
        <v>35</v>
      </c>
      <c r="AF461" s="5">
        <f t="shared" si="42"/>
        <v>45379</v>
      </c>
      <c r="AG461" s="5">
        <f t="shared" si="43"/>
        <v>45386</v>
      </c>
      <c r="AH461" s="5" t="b">
        <f t="shared" si="44"/>
        <v>1</v>
      </c>
      <c r="AI461" s="5" t="b">
        <f t="shared" si="45"/>
        <v>1</v>
      </c>
      <c r="AJ461" t="str">
        <f t="shared" si="46"/>
        <v>OK</v>
      </c>
      <c r="AK461">
        <f t="shared" si="47"/>
        <v>7</v>
      </c>
    </row>
    <row r="462" spans="1:37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  <c r="V462" s="1" t="s">
        <v>162</v>
      </c>
      <c r="W462" s="1" t="s">
        <v>108</v>
      </c>
      <c r="X462" s="1" t="s">
        <v>4119</v>
      </c>
      <c r="Y462" s="1" t="s">
        <v>28</v>
      </c>
      <c r="Z462" s="1" t="s">
        <v>29</v>
      </c>
      <c r="AA462" s="1" t="s">
        <v>86</v>
      </c>
      <c r="AB462" s="1" t="s">
        <v>94</v>
      </c>
      <c r="AC462" s="1" t="s">
        <v>33</v>
      </c>
      <c r="AD462" s="1" t="s">
        <v>34</v>
      </c>
      <c r="AE462" s="1" t="s">
        <v>35</v>
      </c>
      <c r="AF462" s="5">
        <f t="shared" si="42"/>
        <v>45930</v>
      </c>
      <c r="AG462" s="5">
        <f t="shared" si="43"/>
        <v>45936</v>
      </c>
      <c r="AH462" s="5" t="b">
        <f t="shared" si="44"/>
        <v>1</v>
      </c>
      <c r="AI462" s="5" t="b">
        <f t="shared" si="45"/>
        <v>1</v>
      </c>
      <c r="AJ462" t="str">
        <f t="shared" si="46"/>
        <v>OK</v>
      </c>
      <c r="AK462">
        <f t="shared" si="47"/>
        <v>6</v>
      </c>
    </row>
    <row r="463" spans="1:37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  <c r="V463" s="1" t="s">
        <v>93</v>
      </c>
      <c r="W463" s="1" t="s">
        <v>108</v>
      </c>
      <c r="X463" s="1" t="s">
        <v>62</v>
      </c>
      <c r="Y463" s="1" t="s">
        <v>100</v>
      </c>
      <c r="Z463" s="1" t="s">
        <v>101</v>
      </c>
      <c r="AA463" s="1" t="s">
        <v>30</v>
      </c>
      <c r="AB463" s="1" t="s">
        <v>31</v>
      </c>
      <c r="AC463" s="1" t="s">
        <v>67</v>
      </c>
      <c r="AD463" s="1" t="s">
        <v>34</v>
      </c>
      <c r="AE463" s="1" t="s">
        <v>35</v>
      </c>
      <c r="AF463" s="5">
        <f t="shared" si="42"/>
        <v>45802</v>
      </c>
      <c r="AG463" s="5">
        <f t="shared" si="43"/>
        <v>45803</v>
      </c>
      <c r="AH463" s="5" t="b">
        <f t="shared" si="44"/>
        <v>1</v>
      </c>
      <c r="AI463" s="5" t="b">
        <f t="shared" si="45"/>
        <v>1</v>
      </c>
      <c r="AJ463" t="str">
        <f t="shared" si="46"/>
        <v>OK</v>
      </c>
      <c r="AK463">
        <f t="shared" si="47"/>
        <v>1</v>
      </c>
    </row>
    <row r="464" spans="1:37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  <c r="V464" s="1" t="s">
        <v>162</v>
      </c>
      <c r="W464" s="1" t="s">
        <v>115</v>
      </c>
      <c r="X464" s="1" t="s">
        <v>27</v>
      </c>
      <c r="Y464" s="1" t="s">
        <v>506</v>
      </c>
      <c r="Z464" s="1" t="s">
        <v>507</v>
      </c>
      <c r="AA464" s="1" t="s">
        <v>30</v>
      </c>
      <c r="AB464" s="1" t="s">
        <v>198</v>
      </c>
      <c r="AC464" s="1" t="s">
        <v>56</v>
      </c>
      <c r="AD464" s="1" t="s">
        <v>34</v>
      </c>
      <c r="AE464" s="1" t="s">
        <v>35</v>
      </c>
      <c r="AF464" s="5">
        <f t="shared" si="42"/>
        <v>45558</v>
      </c>
      <c r="AG464" s="5" t="e">
        <f t="shared" si="43"/>
        <v>#N/A</v>
      </c>
      <c r="AH464" s="5" t="b">
        <f t="shared" si="44"/>
        <v>1</v>
      </c>
      <c r="AI464" s="5" t="b">
        <f t="shared" si="45"/>
        <v>0</v>
      </c>
      <c r="AJ464" t="e">
        <f t="shared" si="46"/>
        <v>#N/A</v>
      </c>
      <c r="AK464" t="e">
        <f t="shared" si="47"/>
        <v>#N/A</v>
      </c>
    </row>
    <row r="465" spans="1:37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  <c r="V465" s="1" t="s">
        <v>61</v>
      </c>
      <c r="W465" s="1" t="s">
        <v>108</v>
      </c>
      <c r="X465" s="1" t="s">
        <v>73</v>
      </c>
      <c r="Y465" s="1" t="s">
        <v>84</v>
      </c>
      <c r="Z465" s="1" t="s">
        <v>85</v>
      </c>
      <c r="AA465" s="1" t="s">
        <v>86</v>
      </c>
      <c r="AB465" s="1" t="s">
        <v>223</v>
      </c>
      <c r="AC465" s="1" t="s">
        <v>67</v>
      </c>
      <c r="AD465" s="1" t="s">
        <v>34</v>
      </c>
      <c r="AE465" s="1" t="s">
        <v>35</v>
      </c>
      <c r="AF465" s="5">
        <f t="shared" si="42"/>
        <v>45840</v>
      </c>
      <c r="AG465" s="5">
        <f t="shared" si="43"/>
        <v>45696</v>
      </c>
      <c r="AH465" s="5" t="b">
        <f t="shared" si="44"/>
        <v>1</v>
      </c>
      <c r="AI465" s="5" t="b">
        <f t="shared" si="45"/>
        <v>1</v>
      </c>
      <c r="AJ465" t="str">
        <f t="shared" si="46"/>
        <v>Invalid: Ship before Order</v>
      </c>
      <c r="AK465" t="e">
        <f t="shared" si="47"/>
        <v>#NUM!</v>
      </c>
    </row>
    <row r="466" spans="1:37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  <c r="V466" s="1" t="s">
        <v>61</v>
      </c>
      <c r="W466" s="1" t="s">
        <v>108</v>
      </c>
      <c r="X466" s="1" t="s">
        <v>42</v>
      </c>
      <c r="Y466" s="1" t="s">
        <v>186</v>
      </c>
      <c r="Z466" s="1" t="s">
        <v>187</v>
      </c>
      <c r="AA466" s="1" t="s">
        <v>30</v>
      </c>
      <c r="AB466" s="1" t="s">
        <v>31</v>
      </c>
      <c r="AC466" s="1" t="s">
        <v>48</v>
      </c>
      <c r="AD466" s="1" t="s">
        <v>137</v>
      </c>
      <c r="AE466" s="1" t="s">
        <v>78</v>
      </c>
      <c r="AF466" s="5">
        <f t="shared" si="42"/>
        <v>45964</v>
      </c>
      <c r="AG466" s="5">
        <f t="shared" si="43"/>
        <v>45731</v>
      </c>
      <c r="AH466" s="5" t="b">
        <f t="shared" si="44"/>
        <v>1</v>
      </c>
      <c r="AI466" s="5" t="b">
        <f t="shared" si="45"/>
        <v>1</v>
      </c>
      <c r="AJ466" t="str">
        <f t="shared" si="46"/>
        <v>Invalid: Ship before Order</v>
      </c>
      <c r="AK466" t="e">
        <f t="shared" si="47"/>
        <v>#NUM!</v>
      </c>
    </row>
    <row r="467" spans="1:37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  <c r="V467" s="1" t="s">
        <v>162</v>
      </c>
      <c r="W467" s="1" t="s">
        <v>41</v>
      </c>
      <c r="X467" s="1" t="s">
        <v>73</v>
      </c>
      <c r="Y467" s="1" t="s">
        <v>84</v>
      </c>
      <c r="Z467" s="1" t="s">
        <v>85</v>
      </c>
      <c r="AA467" s="1" t="s">
        <v>30</v>
      </c>
      <c r="AB467" s="1" t="s">
        <v>109</v>
      </c>
      <c r="AC467" s="1" t="s">
        <v>67</v>
      </c>
      <c r="AD467" s="1" t="s">
        <v>34</v>
      </c>
      <c r="AE467" s="1" t="s">
        <v>35</v>
      </c>
      <c r="AF467" s="5" t="e">
        <f t="shared" si="42"/>
        <v>#N/A</v>
      </c>
      <c r="AG467" s="5">
        <f t="shared" si="43"/>
        <v>45328</v>
      </c>
      <c r="AH467" s="5" t="b">
        <f t="shared" si="44"/>
        <v>0</v>
      </c>
      <c r="AI467" s="5" t="b">
        <f t="shared" si="45"/>
        <v>1</v>
      </c>
      <c r="AJ467" t="e">
        <f t="shared" si="46"/>
        <v>#N/A</v>
      </c>
      <c r="AK467" t="e">
        <f t="shared" si="47"/>
        <v>#N/A</v>
      </c>
    </row>
    <row r="468" spans="1:37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  <c r="V468" s="1" t="s">
        <v>40</v>
      </c>
      <c r="W468" s="1" t="s">
        <v>41</v>
      </c>
      <c r="X468" s="1" t="s">
        <v>42</v>
      </c>
      <c r="Y468" s="1" t="s">
        <v>186</v>
      </c>
      <c r="Z468" s="1" t="s">
        <v>187</v>
      </c>
      <c r="AA468" s="1" t="s">
        <v>86</v>
      </c>
      <c r="AB468" s="1" t="s">
        <v>87</v>
      </c>
      <c r="AC468" s="1" t="s">
        <v>48</v>
      </c>
      <c r="AD468" s="1" t="s">
        <v>34</v>
      </c>
      <c r="AE468" s="1" t="s">
        <v>35</v>
      </c>
      <c r="AF468" s="5">
        <f t="shared" si="42"/>
        <v>45383</v>
      </c>
      <c r="AG468" s="5">
        <f t="shared" si="43"/>
        <v>45299</v>
      </c>
      <c r="AH468" s="5" t="b">
        <f t="shared" si="44"/>
        <v>1</v>
      </c>
      <c r="AI468" s="5" t="b">
        <f t="shared" si="45"/>
        <v>1</v>
      </c>
      <c r="AJ468" t="str">
        <f t="shared" si="46"/>
        <v>Invalid: Ship before Order</v>
      </c>
      <c r="AK468" t="e">
        <f t="shared" si="47"/>
        <v>#NUM!</v>
      </c>
    </row>
    <row r="469" spans="1:37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  <c r="V469" s="1" t="s">
        <v>107</v>
      </c>
      <c r="W469" s="1" t="s">
        <v>108</v>
      </c>
      <c r="X469" s="1" t="s">
        <v>42</v>
      </c>
      <c r="Y469" s="1" t="s">
        <v>43</v>
      </c>
      <c r="Z469" s="1" t="s">
        <v>44</v>
      </c>
      <c r="AA469" s="1" t="s">
        <v>86</v>
      </c>
      <c r="AB469" s="1" t="s">
        <v>94</v>
      </c>
      <c r="AC469" s="1" t="s">
        <v>56</v>
      </c>
      <c r="AD469" s="1" t="s">
        <v>124</v>
      </c>
      <c r="AE469" s="1" t="s">
        <v>78</v>
      </c>
      <c r="AF469" s="5" t="e">
        <f t="shared" si="42"/>
        <v>#N/A</v>
      </c>
      <c r="AG469" s="5">
        <f t="shared" si="43"/>
        <v>45525</v>
      </c>
      <c r="AH469" s="5" t="b">
        <f t="shared" si="44"/>
        <v>0</v>
      </c>
      <c r="AI469" s="5" t="b">
        <f t="shared" si="45"/>
        <v>1</v>
      </c>
      <c r="AJ469" t="e">
        <f t="shared" si="46"/>
        <v>#N/A</v>
      </c>
      <c r="AK469" t="e">
        <f t="shared" si="47"/>
        <v>#N/A</v>
      </c>
    </row>
    <row r="470" spans="1:37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  <c r="V470" s="1" t="s">
        <v>162</v>
      </c>
      <c r="W470" s="1" t="s">
        <v>115</v>
      </c>
      <c r="X470" s="1" t="s">
        <v>42</v>
      </c>
      <c r="Y470" s="1" t="s">
        <v>121</v>
      </c>
      <c r="Z470" s="1" t="s">
        <v>122</v>
      </c>
      <c r="AA470" s="1" t="s">
        <v>30</v>
      </c>
      <c r="AB470" s="1" t="s">
        <v>198</v>
      </c>
      <c r="AC470" s="1" t="s">
        <v>33</v>
      </c>
      <c r="AD470" s="1" t="s">
        <v>34</v>
      </c>
      <c r="AE470" s="1" t="s">
        <v>35</v>
      </c>
      <c r="AF470" s="5">
        <f t="shared" si="42"/>
        <v>45666</v>
      </c>
      <c r="AG470" s="5">
        <f t="shared" si="43"/>
        <v>45664</v>
      </c>
      <c r="AH470" s="5" t="b">
        <f t="shared" si="44"/>
        <v>1</v>
      </c>
      <c r="AI470" s="5" t="b">
        <f t="shared" si="45"/>
        <v>1</v>
      </c>
      <c r="AJ470" t="str">
        <f t="shared" si="46"/>
        <v>Invalid: Ship before Order</v>
      </c>
      <c r="AK470" t="e">
        <f t="shared" si="47"/>
        <v>#NUM!</v>
      </c>
    </row>
    <row r="471" spans="1:37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  <c r="V471" s="1" t="s">
        <v>107</v>
      </c>
      <c r="W471" s="1" t="s">
        <v>108</v>
      </c>
      <c r="X471" s="1" t="s">
        <v>73</v>
      </c>
      <c r="Y471" s="1" t="s">
        <v>249</v>
      </c>
      <c r="Z471" s="1" t="s">
        <v>250</v>
      </c>
      <c r="AA471" s="1" t="s">
        <v>86</v>
      </c>
      <c r="AB471" s="1" t="s">
        <v>94</v>
      </c>
      <c r="AC471" s="1" t="s">
        <v>56</v>
      </c>
      <c r="AD471" s="1" t="s">
        <v>34</v>
      </c>
      <c r="AE471" s="1" t="s">
        <v>35</v>
      </c>
      <c r="AF471" s="5">
        <f t="shared" si="42"/>
        <v>45310</v>
      </c>
      <c r="AG471" s="5">
        <f t="shared" si="43"/>
        <v>45316</v>
      </c>
      <c r="AH471" s="5" t="b">
        <f t="shared" si="44"/>
        <v>1</v>
      </c>
      <c r="AI471" s="5" t="b">
        <f t="shared" si="45"/>
        <v>1</v>
      </c>
      <c r="AJ471" t="str">
        <f t="shared" si="46"/>
        <v>OK</v>
      </c>
      <c r="AK471">
        <f t="shared" si="47"/>
        <v>6</v>
      </c>
    </row>
    <row r="472" spans="1:37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  <c r="V472" s="1" t="s">
        <v>107</v>
      </c>
      <c r="W472" s="1" t="s">
        <v>26</v>
      </c>
      <c r="X472" s="1" t="s">
        <v>27</v>
      </c>
      <c r="Y472" s="1" t="s">
        <v>28</v>
      </c>
      <c r="Z472" s="1" t="s">
        <v>29</v>
      </c>
      <c r="AA472" s="1" t="s">
        <v>45</v>
      </c>
      <c r="AB472" s="1" t="s">
        <v>46</v>
      </c>
      <c r="AC472" s="1" t="s">
        <v>48</v>
      </c>
      <c r="AD472" s="1" t="s">
        <v>34</v>
      </c>
      <c r="AE472" s="1" t="s">
        <v>35</v>
      </c>
      <c r="AF472" s="5" t="e">
        <f t="shared" si="42"/>
        <v>#N/A</v>
      </c>
      <c r="AG472" s="5">
        <f t="shared" si="43"/>
        <v>45504</v>
      </c>
      <c r="AH472" s="5" t="b">
        <f t="shared" si="44"/>
        <v>0</v>
      </c>
      <c r="AI472" s="5" t="b">
        <f t="shared" si="45"/>
        <v>1</v>
      </c>
      <c r="AJ472" t="e">
        <f t="shared" si="46"/>
        <v>#N/A</v>
      </c>
      <c r="AK472" t="e">
        <f t="shared" si="47"/>
        <v>#N/A</v>
      </c>
    </row>
    <row r="473" spans="1:37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  <c r="V473" s="1" t="s">
        <v>366</v>
      </c>
      <c r="W473" s="1" t="s">
        <v>26</v>
      </c>
      <c r="X473" s="1" t="s">
        <v>62</v>
      </c>
      <c r="Y473" s="1" t="s">
        <v>63</v>
      </c>
      <c r="Z473" s="1" t="s">
        <v>64</v>
      </c>
      <c r="AA473" s="1" t="s">
        <v>30</v>
      </c>
      <c r="AB473" s="1" t="s">
        <v>198</v>
      </c>
      <c r="AC473" s="1" t="s">
        <v>67</v>
      </c>
      <c r="AD473" s="1" t="s">
        <v>34</v>
      </c>
      <c r="AE473" s="1" t="s">
        <v>35</v>
      </c>
      <c r="AF473" s="5">
        <f t="shared" si="42"/>
        <v>45598</v>
      </c>
      <c r="AG473" s="5">
        <f t="shared" si="43"/>
        <v>45337</v>
      </c>
      <c r="AH473" s="5" t="b">
        <f t="shared" si="44"/>
        <v>1</v>
      </c>
      <c r="AI473" s="5" t="b">
        <f t="shared" si="45"/>
        <v>1</v>
      </c>
      <c r="AJ473" t="str">
        <f t="shared" si="46"/>
        <v>Invalid: Ship before Order</v>
      </c>
      <c r="AK473" t="e">
        <f t="shared" si="47"/>
        <v>#NUM!</v>
      </c>
    </row>
    <row r="474" spans="1:37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  <c r="V474" s="1" t="s">
        <v>180</v>
      </c>
      <c r="W474" s="1" t="s">
        <v>108</v>
      </c>
      <c r="X474" s="1" t="s">
        <v>42</v>
      </c>
      <c r="Y474" s="1" t="s">
        <v>43</v>
      </c>
      <c r="Z474" s="1" t="s">
        <v>44</v>
      </c>
      <c r="AA474" s="1" t="s">
        <v>30</v>
      </c>
      <c r="AB474" s="1" t="s">
        <v>156</v>
      </c>
      <c r="AC474" s="1" t="s">
        <v>67</v>
      </c>
      <c r="AD474" s="1" t="s">
        <v>34</v>
      </c>
      <c r="AE474" s="1" t="s">
        <v>35</v>
      </c>
      <c r="AF474" s="5">
        <f t="shared" si="42"/>
        <v>45325</v>
      </c>
      <c r="AG474" s="5">
        <f t="shared" si="43"/>
        <v>45358</v>
      </c>
      <c r="AH474" s="5" t="b">
        <f t="shared" si="44"/>
        <v>1</v>
      </c>
      <c r="AI474" s="5" t="b">
        <f t="shared" si="45"/>
        <v>1</v>
      </c>
      <c r="AJ474" t="str">
        <f t="shared" si="46"/>
        <v>OK</v>
      </c>
      <c r="AK474">
        <f t="shared" si="47"/>
        <v>33</v>
      </c>
    </row>
    <row r="475" spans="1:37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  <c r="V475" s="1" t="s">
        <v>142</v>
      </c>
      <c r="W475" s="1" t="s">
        <v>26</v>
      </c>
      <c r="X475" s="1" t="s">
        <v>73</v>
      </c>
      <c r="Y475" s="1" t="s">
        <v>249</v>
      </c>
      <c r="Z475" s="1" t="s">
        <v>250</v>
      </c>
      <c r="AA475" s="1" t="s">
        <v>86</v>
      </c>
      <c r="AB475" s="1" t="s">
        <v>94</v>
      </c>
      <c r="AC475" s="1" t="s">
        <v>67</v>
      </c>
      <c r="AD475" s="1" t="s">
        <v>34</v>
      </c>
      <c r="AE475" s="1" t="s">
        <v>35</v>
      </c>
      <c r="AF475" s="5" t="e">
        <f t="shared" si="42"/>
        <v>#N/A</v>
      </c>
      <c r="AG475" s="5">
        <f t="shared" si="43"/>
        <v>45609</v>
      </c>
      <c r="AH475" s="5" t="b">
        <f t="shared" si="44"/>
        <v>0</v>
      </c>
      <c r="AI475" s="5" t="b">
        <f t="shared" si="45"/>
        <v>1</v>
      </c>
      <c r="AJ475" t="e">
        <f t="shared" si="46"/>
        <v>#N/A</v>
      </c>
      <c r="AK475" t="e">
        <f t="shared" si="47"/>
        <v>#N/A</v>
      </c>
    </row>
    <row r="476" spans="1:37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  <c r="V476" s="1" t="s">
        <v>210</v>
      </c>
      <c r="W476" s="1" t="s">
        <v>108</v>
      </c>
      <c r="X476" s="1" t="s">
        <v>27</v>
      </c>
      <c r="Y476" s="1" t="s">
        <v>154</v>
      </c>
      <c r="Z476" s="1" t="s">
        <v>155</v>
      </c>
      <c r="AA476" s="1" t="s">
        <v>45</v>
      </c>
      <c r="AB476" s="1" t="s">
        <v>65</v>
      </c>
      <c r="AC476" s="1" t="s">
        <v>67</v>
      </c>
      <c r="AD476" s="1" t="s">
        <v>34</v>
      </c>
      <c r="AE476" s="1" t="s">
        <v>35</v>
      </c>
      <c r="AF476" s="5">
        <f t="shared" si="42"/>
        <v>45357</v>
      </c>
      <c r="AG476" s="5">
        <f t="shared" si="43"/>
        <v>45453</v>
      </c>
      <c r="AH476" s="5" t="b">
        <f t="shared" si="44"/>
        <v>1</v>
      </c>
      <c r="AI476" s="5" t="b">
        <f t="shared" si="45"/>
        <v>1</v>
      </c>
      <c r="AJ476" t="str">
        <f t="shared" si="46"/>
        <v>OK</v>
      </c>
      <c r="AK476">
        <f t="shared" si="47"/>
        <v>96</v>
      </c>
    </row>
    <row r="477" spans="1:37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  <c r="V477" s="1" t="s">
        <v>83</v>
      </c>
      <c r="W477" s="1" t="s">
        <v>26</v>
      </c>
      <c r="X477" s="1" t="s">
        <v>42</v>
      </c>
      <c r="Y477" s="1" t="s">
        <v>121</v>
      </c>
      <c r="Z477" s="1" t="s">
        <v>122</v>
      </c>
      <c r="AA477" s="1" t="s">
        <v>45</v>
      </c>
      <c r="AB477" s="1" t="s">
        <v>76</v>
      </c>
      <c r="AC477" s="1" t="s">
        <v>48</v>
      </c>
      <c r="AD477" s="1" t="s">
        <v>137</v>
      </c>
      <c r="AE477" s="1" t="s">
        <v>125</v>
      </c>
      <c r="AF477" s="5">
        <f t="shared" si="42"/>
        <v>45717</v>
      </c>
      <c r="AG477" s="5">
        <f t="shared" si="43"/>
        <v>45724</v>
      </c>
      <c r="AH477" s="5" t="b">
        <f t="shared" si="44"/>
        <v>1</v>
      </c>
      <c r="AI477" s="5" t="b">
        <f t="shared" si="45"/>
        <v>1</v>
      </c>
      <c r="AJ477" t="str">
        <f t="shared" si="46"/>
        <v>OK</v>
      </c>
      <c r="AK477">
        <f t="shared" si="47"/>
        <v>7</v>
      </c>
    </row>
    <row r="478" spans="1:37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  <c r="V478" s="1" t="s">
        <v>168</v>
      </c>
      <c r="W478" s="1" t="s">
        <v>41</v>
      </c>
      <c r="X478" s="1" t="s">
        <v>27</v>
      </c>
      <c r="Y478" s="1" t="s">
        <v>28</v>
      </c>
      <c r="Z478" s="1" t="s">
        <v>29</v>
      </c>
      <c r="AA478" s="1" t="s">
        <v>30</v>
      </c>
      <c r="AB478" s="1" t="s">
        <v>156</v>
      </c>
      <c r="AC478" s="1" t="s">
        <v>56</v>
      </c>
      <c r="AD478" s="1" t="s">
        <v>34</v>
      </c>
      <c r="AE478" s="1" t="s">
        <v>35</v>
      </c>
      <c r="AF478" s="5">
        <f t="shared" si="42"/>
        <v>45419</v>
      </c>
      <c r="AG478" s="5">
        <f t="shared" si="43"/>
        <v>45426</v>
      </c>
      <c r="AH478" s="5" t="b">
        <f t="shared" si="44"/>
        <v>1</v>
      </c>
      <c r="AI478" s="5" t="b">
        <f t="shared" si="45"/>
        <v>1</v>
      </c>
      <c r="AJ478" t="str">
        <f t="shared" si="46"/>
        <v>OK</v>
      </c>
      <c r="AK478">
        <f t="shared" si="47"/>
        <v>7</v>
      </c>
    </row>
    <row r="479" spans="1:37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  <c r="V479" s="1" t="s">
        <v>83</v>
      </c>
      <c r="W479" s="1" t="s">
        <v>108</v>
      </c>
      <c r="X479" s="1" t="s">
        <v>73</v>
      </c>
      <c r="Y479" s="1" t="s">
        <v>235</v>
      </c>
      <c r="Z479" s="1" t="s">
        <v>236</v>
      </c>
      <c r="AA479" s="1" t="s">
        <v>45</v>
      </c>
      <c r="AB479" s="1" t="s">
        <v>76</v>
      </c>
      <c r="AC479" s="1" t="s">
        <v>67</v>
      </c>
      <c r="AD479" s="1" t="s">
        <v>34</v>
      </c>
      <c r="AE479" s="1" t="s">
        <v>78</v>
      </c>
      <c r="AF479" s="5">
        <f t="shared" si="42"/>
        <v>45892</v>
      </c>
      <c r="AG479" s="5" t="e">
        <f t="shared" si="43"/>
        <v>#N/A</v>
      </c>
      <c r="AH479" s="5" t="b">
        <f t="shared" si="44"/>
        <v>1</v>
      </c>
      <c r="AI479" s="5" t="b">
        <f t="shared" si="45"/>
        <v>0</v>
      </c>
      <c r="AJ479" t="e">
        <f t="shared" si="46"/>
        <v>#N/A</v>
      </c>
      <c r="AK479" t="e">
        <f t="shared" si="47"/>
        <v>#N/A</v>
      </c>
    </row>
    <row r="480" spans="1:37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  <c r="V480" s="1" t="s">
        <v>40</v>
      </c>
      <c r="W480" s="1" t="s">
        <v>115</v>
      </c>
      <c r="X480" s="1" t="s">
        <v>4119</v>
      </c>
      <c r="Y480" s="1" t="s">
        <v>174</v>
      </c>
      <c r="Z480" s="1" t="s">
        <v>175</v>
      </c>
      <c r="AA480" s="1" t="s">
        <v>86</v>
      </c>
      <c r="AB480" s="1" t="s">
        <v>382</v>
      </c>
      <c r="AC480" s="1" t="s">
        <v>48</v>
      </c>
      <c r="AD480" s="1" t="s">
        <v>124</v>
      </c>
      <c r="AE480" s="1" t="s">
        <v>125</v>
      </c>
      <c r="AF480" s="5">
        <f t="shared" si="42"/>
        <v>45452</v>
      </c>
      <c r="AG480" s="5">
        <f t="shared" si="43"/>
        <v>45456</v>
      </c>
      <c r="AH480" s="5" t="b">
        <f t="shared" si="44"/>
        <v>1</v>
      </c>
      <c r="AI480" s="5" t="b">
        <f t="shared" si="45"/>
        <v>1</v>
      </c>
      <c r="AJ480" t="str">
        <f t="shared" si="46"/>
        <v>OK</v>
      </c>
      <c r="AK480">
        <f t="shared" si="47"/>
        <v>4</v>
      </c>
    </row>
    <row r="481" spans="1:37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  <c r="V481" s="1" t="s">
        <v>61</v>
      </c>
      <c r="W481" s="1" t="s">
        <v>108</v>
      </c>
      <c r="X481" s="1" t="s">
        <v>42</v>
      </c>
      <c r="Y481" s="1" t="s">
        <v>43</v>
      </c>
      <c r="Z481" s="1" t="s">
        <v>44</v>
      </c>
      <c r="AA481" s="1" t="s">
        <v>45</v>
      </c>
      <c r="AB481" s="1" t="s">
        <v>76</v>
      </c>
      <c r="AC481" s="1" t="s">
        <v>33</v>
      </c>
      <c r="AD481" s="1" t="s">
        <v>34</v>
      </c>
      <c r="AE481" s="1" t="s">
        <v>35</v>
      </c>
      <c r="AF481" s="5">
        <f t="shared" si="42"/>
        <v>45345</v>
      </c>
      <c r="AG481" s="5">
        <f t="shared" si="43"/>
        <v>45342</v>
      </c>
      <c r="AH481" s="5" t="b">
        <f t="shared" si="44"/>
        <v>1</v>
      </c>
      <c r="AI481" s="5" t="b">
        <f t="shared" si="45"/>
        <v>1</v>
      </c>
      <c r="AJ481" t="str">
        <f t="shared" si="46"/>
        <v>Invalid: Ship before Order</v>
      </c>
      <c r="AK481" t="e">
        <f t="shared" si="47"/>
        <v>#NUM!</v>
      </c>
    </row>
    <row r="482" spans="1:37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  <c r="V482" s="1" t="s">
        <v>93</v>
      </c>
      <c r="W482" s="1" t="s">
        <v>41</v>
      </c>
      <c r="X482" s="1" t="s">
        <v>62</v>
      </c>
      <c r="Y482" s="1" t="s">
        <v>339</v>
      </c>
      <c r="Z482" s="1" t="s">
        <v>340</v>
      </c>
      <c r="AA482" s="1" t="s">
        <v>30</v>
      </c>
      <c r="AB482" s="1" t="s">
        <v>156</v>
      </c>
      <c r="AC482" s="1" t="s">
        <v>4119</v>
      </c>
      <c r="AD482" s="1" t="s">
        <v>34</v>
      </c>
      <c r="AE482" s="1" t="s">
        <v>35</v>
      </c>
      <c r="AF482" s="5">
        <f t="shared" si="42"/>
        <v>45662</v>
      </c>
      <c r="AG482" s="5">
        <f t="shared" si="43"/>
        <v>45666</v>
      </c>
      <c r="AH482" s="5" t="b">
        <f t="shared" si="44"/>
        <v>1</v>
      </c>
      <c r="AI482" s="5" t="b">
        <f t="shared" si="45"/>
        <v>1</v>
      </c>
      <c r="AJ482" t="str">
        <f t="shared" si="46"/>
        <v>OK</v>
      </c>
      <c r="AK482">
        <f t="shared" si="47"/>
        <v>4</v>
      </c>
    </row>
    <row r="483" spans="1:37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  <c r="V483" s="1" t="s">
        <v>53</v>
      </c>
      <c r="W483" s="1" t="s">
        <v>26</v>
      </c>
      <c r="X483" s="1" t="s">
        <v>27</v>
      </c>
      <c r="Y483" s="1" t="s">
        <v>174</v>
      </c>
      <c r="Z483" s="1" t="s">
        <v>175</v>
      </c>
      <c r="AA483" s="1" t="s">
        <v>86</v>
      </c>
      <c r="AB483" s="1" t="s">
        <v>382</v>
      </c>
      <c r="AC483" s="1" t="s">
        <v>48</v>
      </c>
      <c r="AD483" s="1" t="s">
        <v>34</v>
      </c>
      <c r="AE483" s="1" t="s">
        <v>35</v>
      </c>
      <c r="AF483" s="5">
        <f t="shared" si="42"/>
        <v>45813</v>
      </c>
      <c r="AG483" s="5">
        <f t="shared" si="43"/>
        <v>45821</v>
      </c>
      <c r="AH483" s="5" t="b">
        <f t="shared" si="44"/>
        <v>1</v>
      </c>
      <c r="AI483" s="5" t="b">
        <f t="shared" si="45"/>
        <v>1</v>
      </c>
      <c r="AJ483" t="str">
        <f t="shared" si="46"/>
        <v>OK</v>
      </c>
      <c r="AK483">
        <f t="shared" si="47"/>
        <v>8</v>
      </c>
    </row>
    <row r="484" spans="1:37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  <c r="V484" s="1" t="s">
        <v>142</v>
      </c>
      <c r="W484" s="1" t="s">
        <v>26</v>
      </c>
      <c r="X484" s="1" t="s">
        <v>62</v>
      </c>
      <c r="Y484" s="1" t="s">
        <v>229</v>
      </c>
      <c r="Z484" s="1" t="s">
        <v>230</v>
      </c>
      <c r="AA484" s="1" t="s">
        <v>86</v>
      </c>
      <c r="AB484" s="1" t="s">
        <v>87</v>
      </c>
      <c r="AC484" s="1" t="s">
        <v>33</v>
      </c>
      <c r="AD484" s="1" t="s">
        <v>34</v>
      </c>
      <c r="AE484" s="1" t="s">
        <v>35</v>
      </c>
      <c r="AF484" s="5">
        <f t="shared" si="42"/>
        <v>45495</v>
      </c>
      <c r="AG484" s="5">
        <f t="shared" si="43"/>
        <v>45495</v>
      </c>
      <c r="AH484" s="5" t="b">
        <f t="shared" si="44"/>
        <v>1</v>
      </c>
      <c r="AI484" s="5" t="b">
        <f t="shared" si="45"/>
        <v>1</v>
      </c>
      <c r="AJ484" t="str">
        <f t="shared" si="46"/>
        <v>OK</v>
      </c>
      <c r="AK484">
        <f t="shared" si="47"/>
        <v>0</v>
      </c>
    </row>
    <row r="485" spans="1:37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  <c r="V485" s="1" t="s">
        <v>40</v>
      </c>
      <c r="W485" s="1" t="s">
        <v>108</v>
      </c>
      <c r="X485" s="1" t="s">
        <v>42</v>
      </c>
      <c r="Y485" s="1" t="s">
        <v>186</v>
      </c>
      <c r="Z485" s="1" t="s">
        <v>187</v>
      </c>
      <c r="AA485" s="1" t="s">
        <v>86</v>
      </c>
      <c r="AB485" s="1" t="s">
        <v>94</v>
      </c>
      <c r="AC485" s="1" t="s">
        <v>67</v>
      </c>
      <c r="AD485" s="1" t="s">
        <v>34</v>
      </c>
      <c r="AE485" s="1" t="s">
        <v>35</v>
      </c>
      <c r="AF485" s="5">
        <f t="shared" si="42"/>
        <v>45651</v>
      </c>
      <c r="AG485" s="5" t="e">
        <f t="shared" si="43"/>
        <v>#N/A</v>
      </c>
      <c r="AH485" s="5" t="b">
        <f t="shared" si="44"/>
        <v>1</v>
      </c>
      <c r="AI485" s="5" t="b">
        <f t="shared" si="45"/>
        <v>0</v>
      </c>
      <c r="AJ485" t="e">
        <f t="shared" si="46"/>
        <v>#N/A</v>
      </c>
      <c r="AK485" t="e">
        <f t="shared" si="47"/>
        <v>#N/A</v>
      </c>
    </row>
    <row r="486" spans="1:37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  <c r="V486" s="1" t="s">
        <v>40</v>
      </c>
      <c r="W486" s="1" t="s">
        <v>41</v>
      </c>
      <c r="X486" s="1" t="s">
        <v>62</v>
      </c>
      <c r="Y486" s="1" t="s">
        <v>100</v>
      </c>
      <c r="Z486" s="1" t="s">
        <v>101</v>
      </c>
      <c r="AA486" s="1" t="s">
        <v>45</v>
      </c>
      <c r="AB486" s="1" t="s">
        <v>65</v>
      </c>
      <c r="AC486" s="1" t="s">
        <v>56</v>
      </c>
      <c r="AD486" s="1" t="s">
        <v>34</v>
      </c>
      <c r="AE486" s="1" t="s">
        <v>35</v>
      </c>
      <c r="AF486" s="5">
        <f t="shared" si="42"/>
        <v>45654</v>
      </c>
      <c r="AG486" s="5">
        <f t="shared" si="43"/>
        <v>45657</v>
      </c>
      <c r="AH486" s="5" t="b">
        <f t="shared" si="44"/>
        <v>1</v>
      </c>
      <c r="AI486" s="5" t="b">
        <f t="shared" si="45"/>
        <v>1</v>
      </c>
      <c r="AJ486" t="str">
        <f t="shared" si="46"/>
        <v>OK</v>
      </c>
      <c r="AK486">
        <f t="shared" si="47"/>
        <v>3</v>
      </c>
    </row>
    <row r="487" spans="1:37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  <c r="V487" s="1" t="s">
        <v>148</v>
      </c>
      <c r="W487" s="1" t="s">
        <v>108</v>
      </c>
      <c r="X487" s="1" t="s">
        <v>73</v>
      </c>
      <c r="Y487" s="1" t="s">
        <v>249</v>
      </c>
      <c r="Z487" s="1" t="s">
        <v>250</v>
      </c>
      <c r="AA487" s="1" t="s">
        <v>45</v>
      </c>
      <c r="AB487" s="1" t="s">
        <v>204</v>
      </c>
      <c r="AC487" s="1" t="s">
        <v>67</v>
      </c>
      <c r="AD487" s="1" t="s">
        <v>34</v>
      </c>
      <c r="AE487" s="1" t="s">
        <v>35</v>
      </c>
      <c r="AF487" s="5">
        <f t="shared" si="42"/>
        <v>45679</v>
      </c>
      <c r="AG487" s="5">
        <f t="shared" si="43"/>
        <v>45680</v>
      </c>
      <c r="AH487" s="5" t="b">
        <f t="shared" si="44"/>
        <v>1</v>
      </c>
      <c r="AI487" s="5" t="b">
        <f t="shared" si="45"/>
        <v>1</v>
      </c>
      <c r="AJ487" t="str">
        <f t="shared" si="46"/>
        <v>OK</v>
      </c>
      <c r="AK487">
        <f t="shared" si="47"/>
        <v>1</v>
      </c>
    </row>
    <row r="488" spans="1:37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  <c r="V488" s="1" t="s">
        <v>148</v>
      </c>
      <c r="W488" s="1" t="s">
        <v>108</v>
      </c>
      <c r="X488" s="1" t="s">
        <v>73</v>
      </c>
      <c r="Y488" s="1" t="s">
        <v>249</v>
      </c>
      <c r="Z488" s="1" t="s">
        <v>250</v>
      </c>
      <c r="AA488" s="1" t="s">
        <v>45</v>
      </c>
      <c r="AB488" s="1" t="s">
        <v>46</v>
      </c>
      <c r="AC488" s="1" t="s">
        <v>67</v>
      </c>
      <c r="AD488" s="1" t="s">
        <v>34</v>
      </c>
      <c r="AE488" s="1" t="s">
        <v>35</v>
      </c>
      <c r="AF488" s="5" t="e">
        <f t="shared" si="42"/>
        <v>#N/A</v>
      </c>
      <c r="AG488" s="5">
        <f t="shared" si="43"/>
        <v>45834</v>
      </c>
      <c r="AH488" s="5" t="b">
        <f t="shared" si="44"/>
        <v>0</v>
      </c>
      <c r="AI488" s="5" t="b">
        <f t="shared" si="45"/>
        <v>1</v>
      </c>
      <c r="AJ488" t="e">
        <f t="shared" si="46"/>
        <v>#N/A</v>
      </c>
      <c r="AK488" t="e">
        <f t="shared" si="47"/>
        <v>#N/A</v>
      </c>
    </row>
    <row r="489" spans="1:37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  <c r="V489" s="1" t="s">
        <v>148</v>
      </c>
      <c r="W489" s="1" t="s">
        <v>108</v>
      </c>
      <c r="X489" s="1" t="s">
        <v>62</v>
      </c>
      <c r="Y489" s="1" t="s">
        <v>63</v>
      </c>
      <c r="Z489" s="1" t="s">
        <v>64</v>
      </c>
      <c r="AA489" s="1" t="s">
        <v>45</v>
      </c>
      <c r="AB489" s="1" t="s">
        <v>65</v>
      </c>
      <c r="AC489" s="1" t="s">
        <v>67</v>
      </c>
      <c r="AD489" s="1" t="s">
        <v>124</v>
      </c>
      <c r="AE489" s="1" t="s">
        <v>125</v>
      </c>
      <c r="AF489" s="5">
        <f t="shared" si="42"/>
        <v>45818</v>
      </c>
      <c r="AG489" s="5">
        <f t="shared" si="43"/>
        <v>45825</v>
      </c>
      <c r="AH489" s="5" t="b">
        <f t="shared" si="44"/>
        <v>1</v>
      </c>
      <c r="AI489" s="5" t="b">
        <f t="shared" si="45"/>
        <v>1</v>
      </c>
      <c r="AJ489" t="str">
        <f t="shared" si="46"/>
        <v>OK</v>
      </c>
      <c r="AK489">
        <f t="shared" si="47"/>
        <v>7</v>
      </c>
    </row>
    <row r="490" spans="1:37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  <c r="V490" s="1" t="s">
        <v>107</v>
      </c>
      <c r="W490" s="1" t="s">
        <v>41</v>
      </c>
      <c r="X490" s="1" t="s">
        <v>27</v>
      </c>
      <c r="Y490" s="1" t="s">
        <v>28</v>
      </c>
      <c r="Z490" s="1" t="s">
        <v>29</v>
      </c>
      <c r="AA490" s="1" t="s">
        <v>45</v>
      </c>
      <c r="AB490" s="1" t="s">
        <v>46</v>
      </c>
      <c r="AC490" s="1" t="s">
        <v>48</v>
      </c>
      <c r="AD490" s="1" t="s">
        <v>34</v>
      </c>
      <c r="AE490" s="1" t="s">
        <v>35</v>
      </c>
      <c r="AF490" s="5">
        <f t="shared" si="42"/>
        <v>45579</v>
      </c>
      <c r="AG490" s="5">
        <f t="shared" si="43"/>
        <v>45585</v>
      </c>
      <c r="AH490" s="5" t="b">
        <f t="shared" si="44"/>
        <v>1</v>
      </c>
      <c r="AI490" s="5" t="b">
        <f t="shared" si="45"/>
        <v>1</v>
      </c>
      <c r="AJ490" t="str">
        <f t="shared" si="46"/>
        <v>OK</v>
      </c>
      <c r="AK490">
        <f t="shared" si="47"/>
        <v>6</v>
      </c>
    </row>
    <row r="491" spans="1:37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  <c r="V491" s="1" t="s">
        <v>61</v>
      </c>
      <c r="W491" s="1" t="s">
        <v>115</v>
      </c>
      <c r="X491" s="1" t="s">
        <v>42</v>
      </c>
      <c r="Y491" s="1" t="s">
        <v>121</v>
      </c>
      <c r="Z491" s="1" t="s">
        <v>122</v>
      </c>
      <c r="AA491" s="1" t="s">
        <v>86</v>
      </c>
      <c r="AB491" s="1" t="s">
        <v>87</v>
      </c>
      <c r="AC491" s="1" t="s">
        <v>33</v>
      </c>
      <c r="AD491" s="1" t="s">
        <v>34</v>
      </c>
      <c r="AE491" s="1" t="s">
        <v>35</v>
      </c>
      <c r="AF491" s="5">
        <f t="shared" si="42"/>
        <v>45329</v>
      </c>
      <c r="AG491" s="5">
        <f t="shared" si="43"/>
        <v>45334</v>
      </c>
      <c r="AH491" s="5" t="b">
        <f t="shared" si="44"/>
        <v>1</v>
      </c>
      <c r="AI491" s="5" t="b">
        <f t="shared" si="45"/>
        <v>1</v>
      </c>
      <c r="AJ491" t="str">
        <f t="shared" si="46"/>
        <v>OK</v>
      </c>
      <c r="AK491">
        <f t="shared" si="47"/>
        <v>5</v>
      </c>
    </row>
    <row r="492" spans="1:37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  <c r="V492" s="1" t="s">
        <v>107</v>
      </c>
      <c r="W492" s="1" t="s">
        <v>26</v>
      </c>
      <c r="X492" s="1" t="s">
        <v>73</v>
      </c>
      <c r="Y492" s="1" t="s">
        <v>28</v>
      </c>
      <c r="Z492" s="1" t="s">
        <v>135</v>
      </c>
      <c r="AA492" s="1" t="s">
        <v>30</v>
      </c>
      <c r="AB492" s="1" t="s">
        <v>198</v>
      </c>
      <c r="AC492" s="1" t="s">
        <v>56</v>
      </c>
      <c r="AD492" s="1" t="s">
        <v>34</v>
      </c>
      <c r="AE492" s="1" t="s">
        <v>35</v>
      </c>
      <c r="AF492" s="5">
        <f t="shared" si="42"/>
        <v>45551</v>
      </c>
      <c r="AG492" s="5">
        <f t="shared" si="43"/>
        <v>45554</v>
      </c>
      <c r="AH492" s="5" t="b">
        <f t="shared" si="44"/>
        <v>1</v>
      </c>
      <c r="AI492" s="5" t="b">
        <f t="shared" si="45"/>
        <v>1</v>
      </c>
      <c r="AJ492" t="str">
        <f t="shared" si="46"/>
        <v>OK</v>
      </c>
      <c r="AK492">
        <f t="shared" si="47"/>
        <v>3</v>
      </c>
    </row>
    <row r="493" spans="1:37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  <c r="V493" s="1" t="s">
        <v>40</v>
      </c>
      <c r="W493" s="1" t="s">
        <v>108</v>
      </c>
      <c r="X493" s="1" t="s">
        <v>62</v>
      </c>
      <c r="Y493" s="1" t="s">
        <v>242</v>
      </c>
      <c r="Z493" s="1" t="s">
        <v>243</v>
      </c>
      <c r="AA493" s="1" t="s">
        <v>86</v>
      </c>
      <c r="AB493" s="1" t="s">
        <v>87</v>
      </c>
      <c r="AC493" s="1" t="s">
        <v>67</v>
      </c>
      <c r="AD493" s="1" t="s">
        <v>34</v>
      </c>
      <c r="AE493" s="1" t="s">
        <v>35</v>
      </c>
      <c r="AF493" s="5">
        <f t="shared" si="42"/>
        <v>45776</v>
      </c>
      <c r="AG493" s="5" t="e">
        <f t="shared" si="43"/>
        <v>#N/A</v>
      </c>
      <c r="AH493" s="5" t="b">
        <f t="shared" si="44"/>
        <v>1</v>
      </c>
      <c r="AI493" s="5" t="b">
        <f t="shared" si="45"/>
        <v>0</v>
      </c>
      <c r="AJ493" t="e">
        <f t="shared" si="46"/>
        <v>#N/A</v>
      </c>
      <c r="AK493" t="e">
        <f t="shared" si="47"/>
        <v>#N/A</v>
      </c>
    </row>
    <row r="494" spans="1:37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  <c r="V494" s="1" t="s">
        <v>72</v>
      </c>
      <c r="W494" s="1" t="s">
        <v>108</v>
      </c>
      <c r="X494" s="1" t="s">
        <v>62</v>
      </c>
      <c r="Y494" s="1" t="s">
        <v>100</v>
      </c>
      <c r="Z494" s="1" t="s">
        <v>101</v>
      </c>
      <c r="AA494" s="1" t="s">
        <v>30</v>
      </c>
      <c r="AB494" s="1" t="s">
        <v>156</v>
      </c>
      <c r="AC494" s="1" t="s">
        <v>33</v>
      </c>
      <c r="AD494" s="1" t="s">
        <v>34</v>
      </c>
      <c r="AE494" s="1" t="s">
        <v>35</v>
      </c>
      <c r="AF494" s="5" t="e">
        <f t="shared" si="42"/>
        <v>#N/A</v>
      </c>
      <c r="AG494" s="5">
        <f t="shared" si="43"/>
        <v>45840</v>
      </c>
      <c r="AH494" s="5" t="b">
        <f t="shared" si="44"/>
        <v>0</v>
      </c>
      <c r="AI494" s="5" t="b">
        <f t="shared" si="45"/>
        <v>1</v>
      </c>
      <c r="AJ494" t="e">
        <f t="shared" si="46"/>
        <v>#N/A</v>
      </c>
      <c r="AK494" t="e">
        <f t="shared" si="47"/>
        <v>#N/A</v>
      </c>
    </row>
    <row r="495" spans="1:37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  <c r="V495" s="1" t="s">
        <v>366</v>
      </c>
      <c r="W495" s="1" t="s">
        <v>108</v>
      </c>
      <c r="X495" s="1" t="s">
        <v>42</v>
      </c>
      <c r="Y495" s="1" t="s">
        <v>43</v>
      </c>
      <c r="Z495" s="1" t="s">
        <v>44</v>
      </c>
      <c r="AA495" s="1" t="s">
        <v>30</v>
      </c>
      <c r="AB495" s="1" t="s">
        <v>31</v>
      </c>
      <c r="AC495" s="1" t="s">
        <v>33</v>
      </c>
      <c r="AD495" s="1" t="s">
        <v>34</v>
      </c>
      <c r="AE495" s="1" t="s">
        <v>35</v>
      </c>
      <c r="AF495" s="5">
        <f t="shared" si="42"/>
        <v>45701</v>
      </c>
      <c r="AG495" s="5">
        <f t="shared" si="43"/>
        <v>45701</v>
      </c>
      <c r="AH495" s="5" t="b">
        <f t="shared" si="44"/>
        <v>1</v>
      </c>
      <c r="AI495" s="5" t="b">
        <f t="shared" si="45"/>
        <v>1</v>
      </c>
      <c r="AJ495" t="str">
        <f t="shared" si="46"/>
        <v>OK</v>
      </c>
      <c r="AK495">
        <f t="shared" si="47"/>
        <v>0</v>
      </c>
    </row>
    <row r="496" spans="1:37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  <c r="V496" s="1" t="s">
        <v>53</v>
      </c>
      <c r="W496" s="1" t="s">
        <v>26</v>
      </c>
      <c r="X496" s="1" t="s">
        <v>73</v>
      </c>
      <c r="Y496" s="1" t="s">
        <v>84</v>
      </c>
      <c r="Z496" s="1" t="s">
        <v>85</v>
      </c>
      <c r="AA496" s="1" t="s">
        <v>86</v>
      </c>
      <c r="AB496" s="1" t="s">
        <v>223</v>
      </c>
      <c r="AC496" s="1" t="s">
        <v>67</v>
      </c>
      <c r="AD496" s="1" t="s">
        <v>200</v>
      </c>
      <c r="AE496" s="1" t="s">
        <v>78</v>
      </c>
      <c r="AF496" s="5">
        <f t="shared" si="42"/>
        <v>45610</v>
      </c>
      <c r="AG496" s="5">
        <f t="shared" si="43"/>
        <v>45618</v>
      </c>
      <c r="AH496" s="5" t="b">
        <f t="shared" si="44"/>
        <v>1</v>
      </c>
      <c r="AI496" s="5" t="b">
        <f t="shared" si="45"/>
        <v>1</v>
      </c>
      <c r="AJ496" t="str">
        <f t="shared" si="46"/>
        <v>OK</v>
      </c>
      <c r="AK496">
        <f t="shared" si="47"/>
        <v>8</v>
      </c>
    </row>
    <row r="497" spans="1:37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  <c r="V497" s="1" t="s">
        <v>40</v>
      </c>
      <c r="W497" s="1" t="s">
        <v>41</v>
      </c>
      <c r="X497" s="1" t="s">
        <v>42</v>
      </c>
      <c r="Y497" s="1" t="s">
        <v>216</v>
      </c>
      <c r="Z497" s="1" t="s">
        <v>217</v>
      </c>
      <c r="AA497" s="1" t="s">
        <v>86</v>
      </c>
      <c r="AB497" s="1" t="s">
        <v>223</v>
      </c>
      <c r="AC497" s="1" t="s">
        <v>33</v>
      </c>
      <c r="AD497" s="1" t="s">
        <v>124</v>
      </c>
      <c r="AE497" s="1" t="s">
        <v>125</v>
      </c>
      <c r="AF497" s="5">
        <f t="shared" si="42"/>
        <v>45421</v>
      </c>
      <c r="AG497" s="5">
        <f t="shared" si="43"/>
        <v>45427</v>
      </c>
      <c r="AH497" s="5" t="b">
        <f t="shared" si="44"/>
        <v>1</v>
      </c>
      <c r="AI497" s="5" t="b">
        <f t="shared" si="45"/>
        <v>1</v>
      </c>
      <c r="AJ497" t="str">
        <f t="shared" si="46"/>
        <v>OK</v>
      </c>
      <c r="AK497">
        <f t="shared" si="47"/>
        <v>6</v>
      </c>
    </row>
    <row r="498" spans="1:37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  <c r="V498" s="1" t="s">
        <v>366</v>
      </c>
      <c r="W498" s="1" t="s">
        <v>41</v>
      </c>
      <c r="X498" s="1" t="s">
        <v>42</v>
      </c>
      <c r="Y498" s="1" t="s">
        <v>311</v>
      </c>
      <c r="Z498" s="1" t="s">
        <v>312</v>
      </c>
      <c r="AA498" s="1" t="s">
        <v>45</v>
      </c>
      <c r="AB498" s="1" t="s">
        <v>76</v>
      </c>
      <c r="AC498" s="1" t="s">
        <v>33</v>
      </c>
      <c r="AD498" s="1" t="s">
        <v>34</v>
      </c>
      <c r="AE498" s="1" t="s">
        <v>35</v>
      </c>
      <c r="AF498" s="5">
        <f t="shared" si="42"/>
        <v>45842</v>
      </c>
      <c r="AG498" s="5">
        <f t="shared" si="43"/>
        <v>45844</v>
      </c>
      <c r="AH498" s="5" t="b">
        <f t="shared" si="44"/>
        <v>1</v>
      </c>
      <c r="AI498" s="5" t="b">
        <f t="shared" si="45"/>
        <v>1</v>
      </c>
      <c r="AJ498" t="str">
        <f t="shared" si="46"/>
        <v>OK</v>
      </c>
      <c r="AK498">
        <f t="shared" si="47"/>
        <v>2</v>
      </c>
    </row>
    <row r="499" spans="1:37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  <c r="V499" s="1" t="s">
        <v>168</v>
      </c>
      <c r="W499" s="1" t="s">
        <v>41</v>
      </c>
      <c r="X499" s="1" t="s">
        <v>27</v>
      </c>
      <c r="Y499" s="1" t="s">
        <v>174</v>
      </c>
      <c r="Z499" s="1" t="s">
        <v>175</v>
      </c>
      <c r="AA499" s="1" t="s">
        <v>86</v>
      </c>
      <c r="AB499" s="1" t="s">
        <v>87</v>
      </c>
      <c r="AC499" s="1" t="s">
        <v>33</v>
      </c>
      <c r="AD499" s="1" t="s">
        <v>34</v>
      </c>
      <c r="AE499" s="1" t="s">
        <v>78</v>
      </c>
      <c r="AF499" s="5">
        <f t="shared" si="42"/>
        <v>45533</v>
      </c>
      <c r="AG499" s="5">
        <f t="shared" si="43"/>
        <v>45533</v>
      </c>
      <c r="AH499" s="5" t="b">
        <f t="shared" si="44"/>
        <v>1</v>
      </c>
      <c r="AI499" s="5" t="b">
        <f t="shared" si="45"/>
        <v>1</v>
      </c>
      <c r="AJ499" t="str">
        <f t="shared" si="46"/>
        <v>OK</v>
      </c>
      <c r="AK499">
        <f t="shared" si="47"/>
        <v>0</v>
      </c>
    </row>
    <row r="500" spans="1:37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  <c r="V500" s="1" t="s">
        <v>25</v>
      </c>
      <c r="W500" s="1" t="s">
        <v>26</v>
      </c>
      <c r="X500" s="1" t="s">
        <v>27</v>
      </c>
      <c r="Y500" s="1" t="s">
        <v>154</v>
      </c>
      <c r="Z500" s="1" t="s">
        <v>155</v>
      </c>
      <c r="AA500" s="1" t="s">
        <v>45</v>
      </c>
      <c r="AB500" s="1" t="s">
        <v>76</v>
      </c>
      <c r="AC500" s="1" t="s">
        <v>48</v>
      </c>
      <c r="AD500" s="1" t="s">
        <v>124</v>
      </c>
      <c r="AE500" s="1" t="s">
        <v>78</v>
      </c>
      <c r="AF500" s="5">
        <f t="shared" si="42"/>
        <v>45907</v>
      </c>
      <c r="AG500" s="5">
        <f t="shared" si="43"/>
        <v>45910</v>
      </c>
      <c r="AH500" s="5" t="b">
        <f t="shared" si="44"/>
        <v>1</v>
      </c>
      <c r="AI500" s="5" t="b">
        <f t="shared" si="45"/>
        <v>1</v>
      </c>
      <c r="AJ500" t="str">
        <f t="shared" si="46"/>
        <v>OK</v>
      </c>
      <c r="AK500">
        <f t="shared" si="47"/>
        <v>3</v>
      </c>
    </row>
    <row r="501" spans="1:37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  <c r="V501" s="1" t="s">
        <v>148</v>
      </c>
      <c r="W501" s="1" t="s">
        <v>115</v>
      </c>
      <c r="X501" s="1" t="s">
        <v>27</v>
      </c>
      <c r="Y501" s="1" t="s">
        <v>174</v>
      </c>
      <c r="Z501" s="1" t="s">
        <v>175</v>
      </c>
      <c r="AA501" s="1" t="s">
        <v>45</v>
      </c>
      <c r="AB501" s="1" t="s">
        <v>76</v>
      </c>
      <c r="AC501" s="1" t="s">
        <v>67</v>
      </c>
      <c r="AD501" s="1" t="s">
        <v>34</v>
      </c>
      <c r="AE501" s="1" t="s">
        <v>78</v>
      </c>
      <c r="AF501" s="5">
        <f t="shared" si="42"/>
        <v>45648</v>
      </c>
      <c r="AG501" s="5" t="e">
        <f t="shared" si="43"/>
        <v>#N/A</v>
      </c>
      <c r="AH501" s="5" t="b">
        <f t="shared" si="44"/>
        <v>1</v>
      </c>
      <c r="AI501" s="5" t="b">
        <f t="shared" si="45"/>
        <v>0</v>
      </c>
      <c r="AJ501" t="e">
        <f t="shared" si="46"/>
        <v>#N/A</v>
      </c>
      <c r="AK501" t="e">
        <f t="shared" si="47"/>
        <v>#N/A</v>
      </c>
    </row>
    <row r="502" spans="1:37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  <c r="V502" s="1" t="s">
        <v>168</v>
      </c>
      <c r="W502" s="1" t="s">
        <v>26</v>
      </c>
      <c r="X502" s="1" t="s">
        <v>62</v>
      </c>
      <c r="Y502" s="1" t="s">
        <v>242</v>
      </c>
      <c r="Z502" s="1" t="s">
        <v>243</v>
      </c>
      <c r="AA502" s="1" t="s">
        <v>86</v>
      </c>
      <c r="AB502" s="1" t="s">
        <v>223</v>
      </c>
      <c r="AC502" s="1" t="s">
        <v>48</v>
      </c>
      <c r="AD502" s="1" t="s">
        <v>34</v>
      </c>
      <c r="AE502" s="1" t="s">
        <v>35</v>
      </c>
      <c r="AF502" s="5">
        <f t="shared" si="42"/>
        <v>45429</v>
      </c>
      <c r="AG502" s="5">
        <f t="shared" si="43"/>
        <v>45434</v>
      </c>
      <c r="AH502" s="5" t="b">
        <f t="shared" si="44"/>
        <v>1</v>
      </c>
      <c r="AI502" s="5" t="b">
        <f t="shared" si="45"/>
        <v>1</v>
      </c>
      <c r="AJ502" t="str">
        <f t="shared" si="46"/>
        <v>OK</v>
      </c>
      <c r="AK502">
        <f t="shared" si="47"/>
        <v>5</v>
      </c>
    </row>
    <row r="503" spans="1:37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  <c r="V503" s="1" t="s">
        <v>93</v>
      </c>
      <c r="W503" s="1" t="s">
        <v>26</v>
      </c>
      <c r="X503" s="1" t="s">
        <v>42</v>
      </c>
      <c r="Y503" s="1" t="s">
        <v>311</v>
      </c>
      <c r="Z503" s="1" t="s">
        <v>312</v>
      </c>
      <c r="AA503" s="1" t="s">
        <v>30</v>
      </c>
      <c r="AB503" s="1" t="s">
        <v>54</v>
      </c>
      <c r="AC503" s="1" t="s">
        <v>33</v>
      </c>
      <c r="AD503" s="1" t="s">
        <v>34</v>
      </c>
      <c r="AE503" s="1" t="s">
        <v>35</v>
      </c>
      <c r="AF503" s="5">
        <f t="shared" si="42"/>
        <v>45515</v>
      </c>
      <c r="AG503" s="5">
        <f t="shared" si="43"/>
        <v>45521</v>
      </c>
      <c r="AH503" s="5" t="b">
        <f t="shared" si="44"/>
        <v>1</v>
      </c>
      <c r="AI503" s="5" t="b">
        <f t="shared" si="45"/>
        <v>1</v>
      </c>
      <c r="AJ503" t="str">
        <f t="shared" si="46"/>
        <v>OK</v>
      </c>
      <c r="AK503">
        <f t="shared" si="47"/>
        <v>6</v>
      </c>
    </row>
    <row r="504" spans="1:37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  <c r="V504" s="1" t="s">
        <v>142</v>
      </c>
      <c r="W504" s="1" t="s">
        <v>41</v>
      </c>
      <c r="X504" s="1" t="s">
        <v>42</v>
      </c>
      <c r="Y504" s="1" t="s">
        <v>43</v>
      </c>
      <c r="Z504" s="1" t="s">
        <v>44</v>
      </c>
      <c r="AA504" s="1" t="s">
        <v>86</v>
      </c>
      <c r="AB504" s="1" t="s">
        <v>94</v>
      </c>
      <c r="AC504" s="1" t="s">
        <v>33</v>
      </c>
      <c r="AD504" s="1" t="s">
        <v>34</v>
      </c>
      <c r="AE504" s="1" t="s">
        <v>35</v>
      </c>
      <c r="AF504" s="5">
        <f t="shared" si="42"/>
        <v>45383</v>
      </c>
      <c r="AG504" s="5">
        <f t="shared" si="43"/>
        <v>45391</v>
      </c>
      <c r="AH504" s="5" t="b">
        <f t="shared" si="44"/>
        <v>1</v>
      </c>
      <c r="AI504" s="5" t="b">
        <f t="shared" si="45"/>
        <v>1</v>
      </c>
      <c r="AJ504" t="str">
        <f t="shared" si="46"/>
        <v>OK</v>
      </c>
      <c r="AK504">
        <f t="shared" si="47"/>
        <v>8</v>
      </c>
    </row>
    <row r="505" spans="1:37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  <c r="V505" s="1" t="s">
        <v>162</v>
      </c>
      <c r="W505" s="1" t="s">
        <v>26</v>
      </c>
      <c r="X505" s="1" t="s">
        <v>62</v>
      </c>
      <c r="Y505" s="1" t="s">
        <v>339</v>
      </c>
      <c r="Z505" s="1" t="s">
        <v>340</v>
      </c>
      <c r="AA505" s="1" t="s">
        <v>86</v>
      </c>
      <c r="AB505" s="1" t="s">
        <v>223</v>
      </c>
      <c r="AC505" s="1" t="s">
        <v>67</v>
      </c>
      <c r="AD505" s="1" t="s">
        <v>34</v>
      </c>
      <c r="AE505" s="1" t="s">
        <v>35</v>
      </c>
      <c r="AF505" s="5">
        <f t="shared" si="42"/>
        <v>45563</v>
      </c>
      <c r="AG505" s="5">
        <f t="shared" si="43"/>
        <v>45570</v>
      </c>
      <c r="AH505" s="5" t="b">
        <f t="shared" si="44"/>
        <v>1</v>
      </c>
      <c r="AI505" s="5" t="b">
        <f t="shared" si="45"/>
        <v>1</v>
      </c>
      <c r="AJ505" t="str">
        <f t="shared" si="46"/>
        <v>OK</v>
      </c>
      <c r="AK505">
        <f t="shared" si="47"/>
        <v>7</v>
      </c>
    </row>
    <row r="506" spans="1:37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  <c r="V506" s="1" t="s">
        <v>61</v>
      </c>
      <c r="W506" s="1" t="s">
        <v>108</v>
      </c>
      <c r="X506" s="1" t="s">
        <v>73</v>
      </c>
      <c r="Y506" s="1" t="s">
        <v>235</v>
      </c>
      <c r="Z506" s="1" t="s">
        <v>236</v>
      </c>
      <c r="AA506" s="1" t="s">
        <v>30</v>
      </c>
      <c r="AB506" s="1" t="s">
        <v>54</v>
      </c>
      <c r="AC506" s="1" t="s">
        <v>67</v>
      </c>
      <c r="AD506" s="1" t="s">
        <v>34</v>
      </c>
      <c r="AE506" s="1" t="s">
        <v>35</v>
      </c>
      <c r="AF506" s="5">
        <f t="shared" si="42"/>
        <v>45700</v>
      </c>
      <c r="AG506" s="5">
        <f t="shared" si="43"/>
        <v>45705</v>
      </c>
      <c r="AH506" s="5" t="b">
        <f t="shared" si="44"/>
        <v>1</v>
      </c>
      <c r="AI506" s="5" t="b">
        <f t="shared" si="45"/>
        <v>1</v>
      </c>
      <c r="AJ506" t="str">
        <f t="shared" si="46"/>
        <v>OK</v>
      </c>
      <c r="AK506">
        <f t="shared" si="47"/>
        <v>5</v>
      </c>
    </row>
    <row r="507" spans="1:37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  <c r="V507" s="1" t="s">
        <v>93</v>
      </c>
      <c r="W507" s="1" t="s">
        <v>108</v>
      </c>
      <c r="X507" s="1" t="s">
        <v>73</v>
      </c>
      <c r="Y507" s="1" t="s">
        <v>84</v>
      </c>
      <c r="Z507" s="1" t="s">
        <v>85</v>
      </c>
      <c r="AA507" s="1" t="s">
        <v>30</v>
      </c>
      <c r="AB507" s="1" t="s">
        <v>54</v>
      </c>
      <c r="AC507" s="1" t="s">
        <v>56</v>
      </c>
      <c r="AD507" s="1" t="s">
        <v>34</v>
      </c>
      <c r="AE507" s="1" t="s">
        <v>78</v>
      </c>
      <c r="AF507" s="5">
        <f t="shared" si="42"/>
        <v>45605</v>
      </c>
      <c r="AG507" s="5">
        <f t="shared" si="43"/>
        <v>45610</v>
      </c>
      <c r="AH507" s="5" t="b">
        <f t="shared" si="44"/>
        <v>1</v>
      </c>
      <c r="AI507" s="5" t="b">
        <f t="shared" si="45"/>
        <v>1</v>
      </c>
      <c r="AJ507" t="str">
        <f t="shared" si="46"/>
        <v>OK</v>
      </c>
      <c r="AK507">
        <f t="shared" si="47"/>
        <v>5</v>
      </c>
    </row>
    <row r="508" spans="1:37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  <c r="V508" s="1" t="s">
        <v>162</v>
      </c>
      <c r="W508" s="1" t="s">
        <v>41</v>
      </c>
      <c r="X508" s="1" t="s">
        <v>27</v>
      </c>
      <c r="Y508" s="1" t="s">
        <v>154</v>
      </c>
      <c r="Z508" s="1" t="s">
        <v>155</v>
      </c>
      <c r="AA508" s="1" t="s">
        <v>45</v>
      </c>
      <c r="AB508" s="1" t="s">
        <v>65</v>
      </c>
      <c r="AC508" s="1" t="s">
        <v>56</v>
      </c>
      <c r="AD508" s="1" t="s">
        <v>124</v>
      </c>
      <c r="AE508" s="1" t="s">
        <v>125</v>
      </c>
      <c r="AF508" s="5" t="e">
        <f t="shared" si="42"/>
        <v>#N/A</v>
      </c>
      <c r="AG508" s="5">
        <f t="shared" si="43"/>
        <v>45641</v>
      </c>
      <c r="AH508" s="5" t="b">
        <f t="shared" si="44"/>
        <v>0</v>
      </c>
      <c r="AI508" s="5" t="b">
        <f t="shared" si="45"/>
        <v>1</v>
      </c>
      <c r="AJ508" t="e">
        <f t="shared" si="46"/>
        <v>#N/A</v>
      </c>
      <c r="AK508" t="e">
        <f t="shared" si="47"/>
        <v>#N/A</v>
      </c>
    </row>
    <row r="509" spans="1:37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  <c r="V509" s="1" t="s">
        <v>53</v>
      </c>
      <c r="W509" s="1" t="s">
        <v>41</v>
      </c>
      <c r="X509" s="1" t="s">
        <v>27</v>
      </c>
      <c r="Y509" s="1" t="s">
        <v>323</v>
      </c>
      <c r="Z509" s="1" t="s">
        <v>324</v>
      </c>
      <c r="AA509" s="1" t="s">
        <v>30</v>
      </c>
      <c r="AB509" s="1" t="s">
        <v>198</v>
      </c>
      <c r="AC509" s="1" t="s">
        <v>48</v>
      </c>
      <c r="AD509" s="1" t="s">
        <v>34</v>
      </c>
      <c r="AE509" s="1" t="s">
        <v>35</v>
      </c>
      <c r="AF509" s="5">
        <f t="shared" si="42"/>
        <v>45762</v>
      </c>
      <c r="AG509" s="5">
        <f t="shared" si="43"/>
        <v>45769</v>
      </c>
      <c r="AH509" s="5" t="b">
        <f t="shared" si="44"/>
        <v>1</v>
      </c>
      <c r="AI509" s="5" t="b">
        <f t="shared" si="45"/>
        <v>1</v>
      </c>
      <c r="AJ509" t="str">
        <f t="shared" si="46"/>
        <v>OK</v>
      </c>
      <c r="AK509">
        <f t="shared" si="47"/>
        <v>7</v>
      </c>
    </row>
    <row r="510" spans="1:37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  <c r="V510" s="1" t="s">
        <v>53</v>
      </c>
      <c r="W510" s="1" t="s">
        <v>41</v>
      </c>
      <c r="X510" s="1" t="s">
        <v>27</v>
      </c>
      <c r="Y510" s="1" t="s">
        <v>323</v>
      </c>
      <c r="Z510" s="1" t="s">
        <v>324</v>
      </c>
      <c r="AA510" s="1" t="s">
        <v>86</v>
      </c>
      <c r="AB510" s="1" t="s">
        <v>382</v>
      </c>
      <c r="AC510" s="1" t="s">
        <v>33</v>
      </c>
      <c r="AD510" s="1" t="s">
        <v>34</v>
      </c>
      <c r="AE510" s="1" t="s">
        <v>35</v>
      </c>
      <c r="AF510" s="5">
        <f t="shared" si="42"/>
        <v>45382</v>
      </c>
      <c r="AG510" s="5">
        <f t="shared" si="43"/>
        <v>45477</v>
      </c>
      <c r="AH510" s="5" t="b">
        <f t="shared" si="44"/>
        <v>1</v>
      </c>
      <c r="AI510" s="5" t="b">
        <f t="shared" si="45"/>
        <v>1</v>
      </c>
      <c r="AJ510" t="str">
        <f t="shared" si="46"/>
        <v>OK</v>
      </c>
      <c r="AK510">
        <f t="shared" si="47"/>
        <v>95</v>
      </c>
    </row>
    <row r="511" spans="1:37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  <c r="V511" s="1" t="s">
        <v>93</v>
      </c>
      <c r="W511" s="1" t="s">
        <v>26</v>
      </c>
      <c r="X511" s="1" t="s">
        <v>73</v>
      </c>
      <c r="Y511" s="1" t="s">
        <v>235</v>
      </c>
      <c r="Z511" s="1" t="s">
        <v>236</v>
      </c>
      <c r="AA511" s="1" t="s">
        <v>86</v>
      </c>
      <c r="AB511" s="1" t="s">
        <v>382</v>
      </c>
      <c r="AC511" s="1" t="s">
        <v>48</v>
      </c>
      <c r="AD511" s="1" t="s">
        <v>34</v>
      </c>
      <c r="AE511" s="1" t="s">
        <v>35</v>
      </c>
      <c r="AF511" s="5">
        <f t="shared" si="42"/>
        <v>45789</v>
      </c>
      <c r="AG511" s="5">
        <f t="shared" si="43"/>
        <v>45791</v>
      </c>
      <c r="AH511" s="5" t="b">
        <f t="shared" si="44"/>
        <v>1</v>
      </c>
      <c r="AI511" s="5" t="b">
        <f t="shared" si="45"/>
        <v>1</v>
      </c>
      <c r="AJ511" t="str">
        <f t="shared" si="46"/>
        <v>OK</v>
      </c>
      <c r="AK511">
        <f t="shared" si="47"/>
        <v>2</v>
      </c>
    </row>
    <row r="512" spans="1:37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  <c r="V512" s="1" t="s">
        <v>162</v>
      </c>
      <c r="W512" s="1" t="s">
        <v>26</v>
      </c>
      <c r="X512" s="1" t="s">
        <v>62</v>
      </c>
      <c r="Y512" s="1" t="s">
        <v>229</v>
      </c>
      <c r="Z512" s="1" t="s">
        <v>230</v>
      </c>
      <c r="AA512" s="1" t="s">
        <v>30</v>
      </c>
      <c r="AB512" s="1" t="s">
        <v>156</v>
      </c>
      <c r="AC512" s="1" t="s">
        <v>33</v>
      </c>
      <c r="AD512" s="1" t="s">
        <v>34</v>
      </c>
      <c r="AE512" s="1" t="s">
        <v>35</v>
      </c>
      <c r="AF512" s="5">
        <f t="shared" si="42"/>
        <v>45583</v>
      </c>
      <c r="AG512" s="5" t="e">
        <f t="shared" si="43"/>
        <v>#N/A</v>
      </c>
      <c r="AH512" s="5" t="b">
        <f t="shared" si="44"/>
        <v>1</v>
      </c>
      <c r="AI512" s="5" t="b">
        <f t="shared" si="45"/>
        <v>0</v>
      </c>
      <c r="AJ512" t="e">
        <f t="shared" si="46"/>
        <v>#N/A</v>
      </c>
      <c r="AK512" t="e">
        <f t="shared" si="47"/>
        <v>#N/A</v>
      </c>
    </row>
    <row r="513" spans="1:37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  <c r="V513" s="1" t="s">
        <v>168</v>
      </c>
      <c r="W513" s="1" t="s">
        <v>26</v>
      </c>
      <c r="X513" s="1" t="s">
        <v>73</v>
      </c>
      <c r="Y513" s="1" t="s">
        <v>84</v>
      </c>
      <c r="Z513" s="1" t="s">
        <v>85</v>
      </c>
      <c r="AA513" s="1" t="s">
        <v>45</v>
      </c>
      <c r="AB513" s="1" t="s">
        <v>204</v>
      </c>
      <c r="AC513" s="1" t="s">
        <v>67</v>
      </c>
      <c r="AD513" s="1" t="s">
        <v>34</v>
      </c>
      <c r="AE513" s="1" t="s">
        <v>35</v>
      </c>
      <c r="AF513" s="5">
        <f t="shared" si="42"/>
        <v>45588</v>
      </c>
      <c r="AG513" s="5">
        <f t="shared" si="43"/>
        <v>45591</v>
      </c>
      <c r="AH513" s="5" t="b">
        <f t="shared" si="44"/>
        <v>1</v>
      </c>
      <c r="AI513" s="5" t="b">
        <f t="shared" si="45"/>
        <v>1</v>
      </c>
      <c r="AJ513" t="str">
        <f t="shared" si="46"/>
        <v>OK</v>
      </c>
      <c r="AK513">
        <f t="shared" si="47"/>
        <v>3</v>
      </c>
    </row>
    <row r="514" spans="1:37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  <c r="V514" s="1" t="s">
        <v>53</v>
      </c>
      <c r="W514" s="1" t="s">
        <v>108</v>
      </c>
      <c r="X514" s="1" t="s">
        <v>62</v>
      </c>
      <c r="Y514" s="1" t="s">
        <v>242</v>
      </c>
      <c r="Z514" s="1" t="s">
        <v>243</v>
      </c>
      <c r="AA514" s="1" t="s">
        <v>30</v>
      </c>
      <c r="AB514" s="1" t="s">
        <v>109</v>
      </c>
      <c r="AC514" s="1" t="s">
        <v>33</v>
      </c>
      <c r="AD514" s="1" t="s">
        <v>34</v>
      </c>
      <c r="AE514" s="1" t="s">
        <v>35</v>
      </c>
      <c r="AF514" s="5">
        <f t="shared" si="42"/>
        <v>45718</v>
      </c>
      <c r="AG514" s="5">
        <f t="shared" si="43"/>
        <v>45719</v>
      </c>
      <c r="AH514" s="5" t="b">
        <f t="shared" si="44"/>
        <v>1</v>
      </c>
      <c r="AI514" s="5" t="b">
        <f t="shared" si="45"/>
        <v>1</v>
      </c>
      <c r="AJ514" t="str">
        <f t="shared" si="46"/>
        <v>OK</v>
      </c>
      <c r="AK514">
        <f t="shared" si="47"/>
        <v>1</v>
      </c>
    </row>
    <row r="515" spans="1:37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  <c r="V515" s="1" t="s">
        <v>162</v>
      </c>
      <c r="W515" s="1" t="s">
        <v>108</v>
      </c>
      <c r="X515" s="1" t="s">
        <v>62</v>
      </c>
      <c r="Y515" s="1" t="s">
        <v>242</v>
      </c>
      <c r="Z515" s="1" t="s">
        <v>243</v>
      </c>
      <c r="AA515" s="1" t="s">
        <v>86</v>
      </c>
      <c r="AB515" s="1" t="s">
        <v>87</v>
      </c>
      <c r="AC515" s="1" t="s">
        <v>56</v>
      </c>
      <c r="AD515" s="1" t="s">
        <v>34</v>
      </c>
      <c r="AE515" s="1" t="s">
        <v>35</v>
      </c>
      <c r="AF515" s="5" t="e">
        <f t="shared" ref="AF515:AF578" si="48">IFERROR(DATEVALUE(B515),IFERROR(DATE(VALUE(RIGHT(B515,4)),VALUE(MID(SUBSTITUTE(B515,"-","/"),6,2)),VALUE(LEFT(B515,2))),NA()))</f>
        <v>#N/A</v>
      </c>
      <c r="AG515" s="5">
        <f t="shared" ref="AG515:AG578" si="49">IFERROR(DATEVALUE(C515),IFERROR(DATE(VALUE(RIGHT(C515,4)),VALUE(MID(SUBSTITUTE(C515,"-","/"),6,2)),VALUE(LEFT(C515,2))),NA()))</f>
        <v>45840</v>
      </c>
      <c r="AH515" s="5" t="b">
        <f t="shared" ref="AH515:AH578" si="50">ISNUMBER(AF515)</f>
        <v>0</v>
      </c>
      <c r="AI515" s="5" t="b">
        <f t="shared" ref="AI515:AI578" si="51">ISNUMBER(AG515)</f>
        <v>1</v>
      </c>
      <c r="AJ515" t="e">
        <f t="shared" ref="AJ515:AJ578" si="52">IF(AG515&lt;AF515,"Invalid: Ship before Order","OK")</f>
        <v>#N/A</v>
      </c>
      <c r="AK515" t="e">
        <f t="shared" ref="AK515:AK578" si="53">DATEDIF(AF515, AG515, "D")</f>
        <v>#N/A</v>
      </c>
    </row>
    <row r="516" spans="1:37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  <c r="V516" s="1" t="s">
        <v>25</v>
      </c>
      <c r="W516" s="1" t="s">
        <v>115</v>
      </c>
      <c r="X516" s="1" t="s">
        <v>62</v>
      </c>
      <c r="Y516" s="1" t="s">
        <v>242</v>
      </c>
      <c r="Z516" s="1" t="s">
        <v>243</v>
      </c>
      <c r="AA516" s="1" t="s">
        <v>86</v>
      </c>
      <c r="AB516" s="1" t="s">
        <v>87</v>
      </c>
      <c r="AC516" s="1" t="s">
        <v>67</v>
      </c>
      <c r="AD516" s="1" t="s">
        <v>34</v>
      </c>
      <c r="AE516" s="1" t="s">
        <v>35</v>
      </c>
      <c r="AF516" s="5">
        <f t="shared" si="48"/>
        <v>45614</v>
      </c>
      <c r="AG516" s="5">
        <f t="shared" si="49"/>
        <v>45618</v>
      </c>
      <c r="AH516" s="5" t="b">
        <f t="shared" si="50"/>
        <v>1</v>
      </c>
      <c r="AI516" s="5" t="b">
        <f t="shared" si="51"/>
        <v>1</v>
      </c>
      <c r="AJ516" t="str">
        <f t="shared" si="52"/>
        <v>OK</v>
      </c>
      <c r="AK516">
        <f t="shared" si="53"/>
        <v>4</v>
      </c>
    </row>
    <row r="517" spans="1:37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  <c r="V517" s="1" t="s">
        <v>148</v>
      </c>
      <c r="W517" s="1" t="s">
        <v>108</v>
      </c>
      <c r="X517" s="1" t="s">
        <v>27</v>
      </c>
      <c r="Y517" s="1" t="s">
        <v>506</v>
      </c>
      <c r="Z517" s="1" t="s">
        <v>507</v>
      </c>
      <c r="AA517" s="1" t="s">
        <v>30</v>
      </c>
      <c r="AB517" s="1" t="s">
        <v>31</v>
      </c>
      <c r="AC517" s="1" t="s">
        <v>67</v>
      </c>
      <c r="AD517" s="1" t="s">
        <v>34</v>
      </c>
      <c r="AE517" s="1" t="s">
        <v>35</v>
      </c>
      <c r="AF517" s="5">
        <f t="shared" si="48"/>
        <v>45758</v>
      </c>
      <c r="AG517" s="5">
        <f t="shared" si="49"/>
        <v>45758</v>
      </c>
      <c r="AH517" s="5" t="b">
        <f t="shared" si="50"/>
        <v>1</v>
      </c>
      <c r="AI517" s="5" t="b">
        <f t="shared" si="51"/>
        <v>1</v>
      </c>
      <c r="AJ517" t="str">
        <f t="shared" si="52"/>
        <v>OK</v>
      </c>
      <c r="AK517">
        <f t="shared" si="53"/>
        <v>0</v>
      </c>
    </row>
    <row r="518" spans="1:37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  <c r="V518" s="1" t="s">
        <v>366</v>
      </c>
      <c r="W518" s="1" t="s">
        <v>115</v>
      </c>
      <c r="X518" s="1" t="s">
        <v>27</v>
      </c>
      <c r="Y518" s="1" t="s">
        <v>506</v>
      </c>
      <c r="Z518" s="1" t="s">
        <v>507</v>
      </c>
      <c r="AA518" s="1" t="s">
        <v>86</v>
      </c>
      <c r="AB518" s="1" t="s">
        <v>94</v>
      </c>
      <c r="AC518" s="1" t="s">
        <v>67</v>
      </c>
      <c r="AD518" s="1" t="s">
        <v>200</v>
      </c>
      <c r="AE518" s="1" t="s">
        <v>125</v>
      </c>
      <c r="AF518" s="5">
        <f t="shared" si="48"/>
        <v>45563</v>
      </c>
      <c r="AG518" s="5">
        <f t="shared" si="49"/>
        <v>45569</v>
      </c>
      <c r="AH518" s="5" t="b">
        <f t="shared" si="50"/>
        <v>1</v>
      </c>
      <c r="AI518" s="5" t="b">
        <f t="shared" si="51"/>
        <v>1</v>
      </c>
      <c r="AJ518" t="str">
        <f t="shared" si="52"/>
        <v>OK</v>
      </c>
      <c r="AK518">
        <f t="shared" si="53"/>
        <v>6</v>
      </c>
    </row>
    <row r="519" spans="1:37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  <c r="V519" s="1" t="s">
        <v>148</v>
      </c>
      <c r="W519" s="1" t="s">
        <v>26</v>
      </c>
      <c r="X519" s="1" t="s">
        <v>42</v>
      </c>
      <c r="Y519" s="1" t="s">
        <v>43</v>
      </c>
      <c r="Z519" s="1" t="s">
        <v>44</v>
      </c>
      <c r="AA519" s="1" t="s">
        <v>45</v>
      </c>
      <c r="AB519" s="1" t="s">
        <v>65</v>
      </c>
      <c r="AC519" s="1" t="s">
        <v>33</v>
      </c>
      <c r="AD519" s="1" t="s">
        <v>124</v>
      </c>
      <c r="AE519" s="1" t="s">
        <v>125</v>
      </c>
      <c r="AF519" s="5">
        <f t="shared" si="48"/>
        <v>45802</v>
      </c>
      <c r="AG519" s="5">
        <f t="shared" si="49"/>
        <v>45804</v>
      </c>
      <c r="AH519" s="5" t="b">
        <f t="shared" si="50"/>
        <v>1</v>
      </c>
      <c r="AI519" s="5" t="b">
        <f t="shared" si="51"/>
        <v>1</v>
      </c>
      <c r="AJ519" t="str">
        <f t="shared" si="52"/>
        <v>OK</v>
      </c>
      <c r="AK519">
        <f t="shared" si="53"/>
        <v>2</v>
      </c>
    </row>
    <row r="520" spans="1:37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  <c r="V520" s="1" t="s">
        <v>210</v>
      </c>
      <c r="W520" s="1" t="s">
        <v>108</v>
      </c>
      <c r="X520" s="1" t="s">
        <v>42</v>
      </c>
      <c r="Y520" s="1" t="s">
        <v>43</v>
      </c>
      <c r="Z520" s="1" t="s">
        <v>44</v>
      </c>
      <c r="AA520" s="1" t="s">
        <v>45</v>
      </c>
      <c r="AB520" s="1" t="s">
        <v>46</v>
      </c>
      <c r="AC520" s="1" t="s">
        <v>56</v>
      </c>
      <c r="AD520" s="1" t="s">
        <v>34</v>
      </c>
      <c r="AE520" s="1" t="s">
        <v>78</v>
      </c>
      <c r="AF520" s="5" t="e">
        <f t="shared" si="48"/>
        <v>#N/A</v>
      </c>
      <c r="AG520" s="5">
        <f t="shared" si="49"/>
        <v>45773</v>
      </c>
      <c r="AH520" s="5" t="b">
        <f t="shared" si="50"/>
        <v>0</v>
      </c>
      <c r="AI520" s="5" t="b">
        <f t="shared" si="51"/>
        <v>1</v>
      </c>
      <c r="AJ520" t="e">
        <f t="shared" si="52"/>
        <v>#N/A</v>
      </c>
      <c r="AK520" t="e">
        <f t="shared" si="53"/>
        <v>#N/A</v>
      </c>
    </row>
    <row r="521" spans="1:37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  <c r="V521" s="1" t="s">
        <v>142</v>
      </c>
      <c r="W521" s="1" t="s">
        <v>26</v>
      </c>
      <c r="X521" s="1" t="s">
        <v>27</v>
      </c>
      <c r="Y521" s="1" t="s">
        <v>174</v>
      </c>
      <c r="Z521" s="1" t="s">
        <v>175</v>
      </c>
      <c r="AA521" s="1" t="s">
        <v>45</v>
      </c>
      <c r="AB521" s="1" t="s">
        <v>46</v>
      </c>
      <c r="AC521" s="1" t="s">
        <v>67</v>
      </c>
      <c r="AD521" s="1" t="s">
        <v>137</v>
      </c>
      <c r="AE521" s="1" t="s">
        <v>78</v>
      </c>
      <c r="AF521" s="5">
        <f t="shared" si="48"/>
        <v>45723</v>
      </c>
      <c r="AG521" s="5">
        <f t="shared" si="49"/>
        <v>45845</v>
      </c>
      <c r="AH521" s="5" t="b">
        <f t="shared" si="50"/>
        <v>1</v>
      </c>
      <c r="AI521" s="5" t="b">
        <f t="shared" si="51"/>
        <v>1</v>
      </c>
      <c r="AJ521" t="str">
        <f t="shared" si="52"/>
        <v>OK</v>
      </c>
      <c r="AK521">
        <f t="shared" si="53"/>
        <v>122</v>
      </c>
    </row>
    <row r="522" spans="1:37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  <c r="V522" s="1" t="s">
        <v>162</v>
      </c>
      <c r="W522" s="1" t="s">
        <v>115</v>
      </c>
      <c r="X522" s="1" t="s">
        <v>62</v>
      </c>
      <c r="Y522" s="1" t="s">
        <v>229</v>
      </c>
      <c r="Z522" s="1" t="s">
        <v>230</v>
      </c>
      <c r="AA522" s="1" t="s">
        <v>86</v>
      </c>
      <c r="AB522" s="1" t="s">
        <v>382</v>
      </c>
      <c r="AC522" s="1" t="s">
        <v>48</v>
      </c>
      <c r="AD522" s="1" t="s">
        <v>34</v>
      </c>
      <c r="AE522" s="1" t="s">
        <v>35</v>
      </c>
      <c r="AF522" s="5">
        <f t="shared" si="48"/>
        <v>45489</v>
      </c>
      <c r="AG522" s="5">
        <f t="shared" si="49"/>
        <v>45496</v>
      </c>
      <c r="AH522" s="5" t="b">
        <f t="shared" si="50"/>
        <v>1</v>
      </c>
      <c r="AI522" s="5" t="b">
        <f t="shared" si="51"/>
        <v>1</v>
      </c>
      <c r="AJ522" t="str">
        <f t="shared" si="52"/>
        <v>OK</v>
      </c>
      <c r="AK522">
        <f t="shared" si="53"/>
        <v>7</v>
      </c>
    </row>
    <row r="523" spans="1:37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  <c r="V523" s="1" t="s">
        <v>210</v>
      </c>
      <c r="W523" s="1" t="s">
        <v>26</v>
      </c>
      <c r="X523" s="1" t="s">
        <v>27</v>
      </c>
      <c r="Y523" s="1" t="s">
        <v>154</v>
      </c>
      <c r="Z523" s="1" t="s">
        <v>155</v>
      </c>
      <c r="AA523" s="1" t="s">
        <v>30</v>
      </c>
      <c r="AB523" s="1" t="s">
        <v>109</v>
      </c>
      <c r="AC523" s="1" t="s">
        <v>33</v>
      </c>
      <c r="AD523" s="1" t="s">
        <v>34</v>
      </c>
      <c r="AE523" s="1" t="s">
        <v>35</v>
      </c>
      <c r="AF523" s="5">
        <f t="shared" si="48"/>
        <v>45741</v>
      </c>
      <c r="AG523" s="5">
        <f t="shared" si="49"/>
        <v>45748</v>
      </c>
      <c r="AH523" s="5" t="b">
        <f t="shared" si="50"/>
        <v>1</v>
      </c>
      <c r="AI523" s="5" t="b">
        <f t="shared" si="51"/>
        <v>1</v>
      </c>
      <c r="AJ523" t="str">
        <f t="shared" si="52"/>
        <v>OK</v>
      </c>
      <c r="AK523">
        <f t="shared" si="53"/>
        <v>7</v>
      </c>
    </row>
    <row r="524" spans="1:37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  <c r="V524" s="1" t="s">
        <v>93</v>
      </c>
      <c r="W524" s="1" t="s">
        <v>41</v>
      </c>
      <c r="X524" s="1" t="s">
        <v>42</v>
      </c>
      <c r="Y524" s="1" t="s">
        <v>311</v>
      </c>
      <c r="Z524" s="1" t="s">
        <v>312</v>
      </c>
      <c r="AA524" s="1" t="s">
        <v>86</v>
      </c>
      <c r="AB524" s="1" t="s">
        <v>223</v>
      </c>
      <c r="AC524" s="1" t="s">
        <v>56</v>
      </c>
      <c r="AD524" s="1" t="s">
        <v>34</v>
      </c>
      <c r="AE524" s="1" t="s">
        <v>35</v>
      </c>
      <c r="AF524" s="5">
        <f t="shared" si="48"/>
        <v>45716</v>
      </c>
      <c r="AG524" s="5">
        <f t="shared" si="49"/>
        <v>45724</v>
      </c>
      <c r="AH524" s="5" t="b">
        <f t="shared" si="50"/>
        <v>1</v>
      </c>
      <c r="AI524" s="5" t="b">
        <f t="shared" si="51"/>
        <v>1</v>
      </c>
      <c r="AJ524" t="str">
        <f t="shared" si="52"/>
        <v>OK</v>
      </c>
      <c r="AK524">
        <f t="shared" si="53"/>
        <v>8</v>
      </c>
    </row>
    <row r="525" spans="1:37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  <c r="V525" s="1" t="s">
        <v>366</v>
      </c>
      <c r="W525" s="1" t="s">
        <v>115</v>
      </c>
      <c r="X525" s="1" t="s">
        <v>73</v>
      </c>
      <c r="Y525" s="1" t="s">
        <v>249</v>
      </c>
      <c r="Z525" s="1" t="s">
        <v>250</v>
      </c>
      <c r="AA525" s="1" t="s">
        <v>30</v>
      </c>
      <c r="AB525" s="1" t="s">
        <v>31</v>
      </c>
      <c r="AC525" s="1" t="s">
        <v>33</v>
      </c>
      <c r="AD525" s="1" t="s">
        <v>34</v>
      </c>
      <c r="AE525" s="1" t="s">
        <v>125</v>
      </c>
      <c r="AF525" s="5">
        <f t="shared" si="48"/>
        <v>45326</v>
      </c>
      <c r="AG525" s="5">
        <f t="shared" si="49"/>
        <v>45385</v>
      </c>
      <c r="AH525" s="5" t="b">
        <f t="shared" si="50"/>
        <v>1</v>
      </c>
      <c r="AI525" s="5" t="b">
        <f t="shared" si="51"/>
        <v>1</v>
      </c>
      <c r="AJ525" t="str">
        <f t="shared" si="52"/>
        <v>OK</v>
      </c>
      <c r="AK525">
        <f t="shared" si="53"/>
        <v>59</v>
      </c>
    </row>
    <row r="526" spans="1:37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  <c r="V526" s="1" t="s">
        <v>72</v>
      </c>
      <c r="W526" s="1" t="s">
        <v>108</v>
      </c>
      <c r="X526" s="1" t="s">
        <v>73</v>
      </c>
      <c r="Y526" s="1" t="s">
        <v>235</v>
      </c>
      <c r="Z526" s="1" t="s">
        <v>236</v>
      </c>
      <c r="AA526" s="1" t="s">
        <v>45</v>
      </c>
      <c r="AB526" s="1" t="s">
        <v>76</v>
      </c>
      <c r="AC526" s="1" t="s">
        <v>56</v>
      </c>
      <c r="AD526" s="1" t="s">
        <v>34</v>
      </c>
      <c r="AE526" s="1" t="s">
        <v>35</v>
      </c>
      <c r="AF526" s="5">
        <f t="shared" si="48"/>
        <v>45626</v>
      </c>
      <c r="AG526" s="5">
        <f t="shared" si="49"/>
        <v>45627</v>
      </c>
      <c r="AH526" s="5" t="b">
        <f t="shared" si="50"/>
        <v>1</v>
      </c>
      <c r="AI526" s="5" t="b">
        <f t="shared" si="51"/>
        <v>1</v>
      </c>
      <c r="AJ526" t="str">
        <f t="shared" si="52"/>
        <v>OK</v>
      </c>
      <c r="AK526">
        <f t="shared" si="53"/>
        <v>1</v>
      </c>
    </row>
    <row r="527" spans="1:37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  <c r="V527" s="1" t="s">
        <v>142</v>
      </c>
      <c r="W527" s="1" t="s">
        <v>115</v>
      </c>
      <c r="X527" s="1" t="s">
        <v>42</v>
      </c>
      <c r="Y527" s="1" t="s">
        <v>121</v>
      </c>
      <c r="Z527" s="1" t="s">
        <v>122</v>
      </c>
      <c r="AA527" s="1" t="s">
        <v>45</v>
      </c>
      <c r="AB527" s="1" t="s">
        <v>76</v>
      </c>
      <c r="AC527" s="1" t="s">
        <v>67</v>
      </c>
      <c r="AD527" s="1" t="s">
        <v>34</v>
      </c>
      <c r="AE527" s="1" t="s">
        <v>35</v>
      </c>
      <c r="AF527" s="5">
        <f t="shared" si="48"/>
        <v>45582</v>
      </c>
      <c r="AG527" s="5">
        <f t="shared" si="49"/>
        <v>45582</v>
      </c>
      <c r="AH527" s="5" t="b">
        <f t="shared" si="50"/>
        <v>1</v>
      </c>
      <c r="AI527" s="5" t="b">
        <f t="shared" si="51"/>
        <v>1</v>
      </c>
      <c r="AJ527" t="str">
        <f t="shared" si="52"/>
        <v>OK</v>
      </c>
      <c r="AK527">
        <f t="shared" si="53"/>
        <v>0</v>
      </c>
    </row>
    <row r="528" spans="1:37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  <c r="V528" s="1" t="s">
        <v>142</v>
      </c>
      <c r="W528" s="1" t="s">
        <v>26</v>
      </c>
      <c r="X528" s="1" t="s">
        <v>42</v>
      </c>
      <c r="Y528" s="1" t="s">
        <v>43</v>
      </c>
      <c r="Z528" s="1" t="s">
        <v>44</v>
      </c>
      <c r="AA528" s="1" t="s">
        <v>45</v>
      </c>
      <c r="AB528" s="1" t="s">
        <v>46</v>
      </c>
      <c r="AC528" s="1" t="s">
        <v>33</v>
      </c>
      <c r="AD528" s="1" t="s">
        <v>34</v>
      </c>
      <c r="AE528" s="1" t="s">
        <v>35</v>
      </c>
      <c r="AF528" s="5">
        <f t="shared" si="48"/>
        <v>45856</v>
      </c>
      <c r="AG528" s="5">
        <f t="shared" si="49"/>
        <v>45859</v>
      </c>
      <c r="AH528" s="5" t="b">
        <f t="shared" si="50"/>
        <v>1</v>
      </c>
      <c r="AI528" s="5" t="b">
        <f t="shared" si="51"/>
        <v>1</v>
      </c>
      <c r="AJ528" t="str">
        <f t="shared" si="52"/>
        <v>OK</v>
      </c>
      <c r="AK528">
        <f t="shared" si="53"/>
        <v>3</v>
      </c>
    </row>
    <row r="529" spans="1:37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  <c r="V529" s="1" t="s">
        <v>107</v>
      </c>
      <c r="W529" s="1" t="s">
        <v>115</v>
      </c>
      <c r="X529" s="1" t="s">
        <v>27</v>
      </c>
      <c r="Y529" s="1" t="s">
        <v>323</v>
      </c>
      <c r="Z529" s="1" t="s">
        <v>324</v>
      </c>
      <c r="AA529" s="1" t="s">
        <v>30</v>
      </c>
      <c r="AB529" s="1" t="s">
        <v>31</v>
      </c>
      <c r="AC529" s="1" t="s">
        <v>56</v>
      </c>
      <c r="AD529" s="1" t="s">
        <v>34</v>
      </c>
      <c r="AE529" s="1" t="s">
        <v>35</v>
      </c>
      <c r="AF529" s="5">
        <f t="shared" si="48"/>
        <v>45667</v>
      </c>
      <c r="AG529" s="5">
        <f t="shared" si="49"/>
        <v>45935</v>
      </c>
      <c r="AH529" s="5" t="b">
        <f t="shared" si="50"/>
        <v>1</v>
      </c>
      <c r="AI529" s="5" t="b">
        <f t="shared" si="51"/>
        <v>1</v>
      </c>
      <c r="AJ529" t="str">
        <f t="shared" si="52"/>
        <v>OK</v>
      </c>
      <c r="AK529">
        <f t="shared" si="53"/>
        <v>268</v>
      </c>
    </row>
    <row r="530" spans="1:37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  <c r="V530" s="1" t="s">
        <v>210</v>
      </c>
      <c r="W530" s="1" t="s">
        <v>26</v>
      </c>
      <c r="X530" s="1" t="s">
        <v>62</v>
      </c>
      <c r="Y530" s="1" t="s">
        <v>339</v>
      </c>
      <c r="Z530" s="1" t="s">
        <v>340</v>
      </c>
      <c r="AA530" s="1" t="s">
        <v>30</v>
      </c>
      <c r="AB530" s="1" t="s">
        <v>198</v>
      </c>
      <c r="AC530" s="1" t="s">
        <v>67</v>
      </c>
      <c r="AD530" s="1" t="s">
        <v>137</v>
      </c>
      <c r="AE530" s="1" t="s">
        <v>125</v>
      </c>
      <c r="AF530" s="5">
        <f t="shared" si="48"/>
        <v>45572</v>
      </c>
      <c r="AG530" s="5">
        <f t="shared" si="49"/>
        <v>45545</v>
      </c>
      <c r="AH530" s="5" t="b">
        <f t="shared" si="50"/>
        <v>1</v>
      </c>
      <c r="AI530" s="5" t="b">
        <f t="shared" si="51"/>
        <v>1</v>
      </c>
      <c r="AJ530" t="str">
        <f t="shared" si="52"/>
        <v>Invalid: Ship before Order</v>
      </c>
      <c r="AK530" t="e">
        <f t="shared" si="53"/>
        <v>#NUM!</v>
      </c>
    </row>
    <row r="531" spans="1:37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  <c r="V531" s="1" t="s">
        <v>25</v>
      </c>
      <c r="W531" s="1" t="s">
        <v>26</v>
      </c>
      <c r="X531" s="1" t="s">
        <v>42</v>
      </c>
      <c r="Y531" s="1" t="s">
        <v>311</v>
      </c>
      <c r="Z531" s="1" t="s">
        <v>312</v>
      </c>
      <c r="AA531" s="1" t="s">
        <v>45</v>
      </c>
      <c r="AB531" s="1" t="s">
        <v>204</v>
      </c>
      <c r="AC531" s="1" t="s">
        <v>33</v>
      </c>
      <c r="AD531" s="1" t="s">
        <v>34</v>
      </c>
      <c r="AE531" s="1" t="s">
        <v>35</v>
      </c>
      <c r="AF531" s="5">
        <f t="shared" si="48"/>
        <v>45328</v>
      </c>
      <c r="AG531" s="5">
        <f t="shared" si="49"/>
        <v>45330</v>
      </c>
      <c r="AH531" s="5" t="b">
        <f t="shared" si="50"/>
        <v>1</v>
      </c>
      <c r="AI531" s="5" t="b">
        <f t="shared" si="51"/>
        <v>1</v>
      </c>
      <c r="AJ531" t="str">
        <f t="shared" si="52"/>
        <v>OK</v>
      </c>
      <c r="AK531">
        <f t="shared" si="53"/>
        <v>2</v>
      </c>
    </row>
    <row r="532" spans="1:37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  <c r="V532" s="1" t="s">
        <v>148</v>
      </c>
      <c r="W532" s="1" t="s">
        <v>115</v>
      </c>
      <c r="X532" s="1" t="s">
        <v>62</v>
      </c>
      <c r="Y532" s="1" t="s">
        <v>339</v>
      </c>
      <c r="Z532" s="1" t="s">
        <v>340</v>
      </c>
      <c r="AA532" s="1" t="s">
        <v>30</v>
      </c>
      <c r="AB532" s="1" t="s">
        <v>198</v>
      </c>
      <c r="AC532" s="1" t="s">
        <v>67</v>
      </c>
      <c r="AD532" s="1" t="s">
        <v>34</v>
      </c>
      <c r="AE532" s="1" t="s">
        <v>35</v>
      </c>
      <c r="AF532" s="5">
        <f t="shared" si="48"/>
        <v>45807</v>
      </c>
      <c r="AG532" s="5">
        <f t="shared" si="49"/>
        <v>45809</v>
      </c>
      <c r="AH532" s="5" t="b">
        <f t="shared" si="50"/>
        <v>1</v>
      </c>
      <c r="AI532" s="5" t="b">
        <f t="shared" si="51"/>
        <v>1</v>
      </c>
      <c r="AJ532" t="str">
        <f t="shared" si="52"/>
        <v>OK</v>
      </c>
      <c r="AK532">
        <f t="shared" si="53"/>
        <v>2</v>
      </c>
    </row>
    <row r="533" spans="1:37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  <c r="V533" s="1" t="s">
        <v>210</v>
      </c>
      <c r="W533" s="1" t="s">
        <v>41</v>
      </c>
      <c r="X533" s="1" t="s">
        <v>73</v>
      </c>
      <c r="Y533" s="1" t="s">
        <v>74</v>
      </c>
      <c r="Z533" s="1" t="s">
        <v>75</v>
      </c>
      <c r="AA533" s="1" t="s">
        <v>30</v>
      </c>
      <c r="AB533" s="1" t="s">
        <v>156</v>
      </c>
      <c r="AC533" s="1" t="s">
        <v>4119</v>
      </c>
      <c r="AD533" s="1" t="s">
        <v>34</v>
      </c>
      <c r="AE533" s="1" t="s">
        <v>35</v>
      </c>
      <c r="AF533" s="5">
        <f t="shared" si="48"/>
        <v>45505</v>
      </c>
      <c r="AG533" s="5">
        <f t="shared" si="49"/>
        <v>45512</v>
      </c>
      <c r="AH533" s="5" t="b">
        <f t="shared" si="50"/>
        <v>1</v>
      </c>
      <c r="AI533" s="5" t="b">
        <f t="shared" si="51"/>
        <v>1</v>
      </c>
      <c r="AJ533" t="str">
        <f t="shared" si="52"/>
        <v>OK</v>
      </c>
      <c r="AK533">
        <f t="shared" si="53"/>
        <v>7</v>
      </c>
    </row>
    <row r="534" spans="1:37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  <c r="V534" s="1" t="s">
        <v>142</v>
      </c>
      <c r="W534" s="1" t="s">
        <v>108</v>
      </c>
      <c r="X534" s="1" t="s">
        <v>42</v>
      </c>
      <c r="Y534" s="1" t="s">
        <v>216</v>
      </c>
      <c r="Z534" s="1" t="s">
        <v>217</v>
      </c>
      <c r="AA534" s="1" t="s">
        <v>45</v>
      </c>
      <c r="AB534" s="1" t="s">
        <v>46</v>
      </c>
      <c r="AC534" s="1" t="s">
        <v>33</v>
      </c>
      <c r="AD534" s="1" t="s">
        <v>200</v>
      </c>
      <c r="AE534" s="1" t="s">
        <v>78</v>
      </c>
      <c r="AF534" s="5">
        <f t="shared" si="48"/>
        <v>45935</v>
      </c>
      <c r="AG534" s="5">
        <f t="shared" si="49"/>
        <v>45940</v>
      </c>
      <c r="AH534" s="5" t="b">
        <f t="shared" si="50"/>
        <v>1</v>
      </c>
      <c r="AI534" s="5" t="b">
        <f t="shared" si="51"/>
        <v>1</v>
      </c>
      <c r="AJ534" t="str">
        <f t="shared" si="52"/>
        <v>OK</v>
      </c>
      <c r="AK534">
        <f t="shared" si="53"/>
        <v>5</v>
      </c>
    </row>
    <row r="535" spans="1:37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  <c r="V535" s="1" t="s">
        <v>53</v>
      </c>
      <c r="W535" s="1" t="s">
        <v>115</v>
      </c>
      <c r="X535" s="1" t="s">
        <v>27</v>
      </c>
      <c r="Y535" s="1" t="s">
        <v>28</v>
      </c>
      <c r="Z535" s="1" t="s">
        <v>29</v>
      </c>
      <c r="AA535" s="1" t="s">
        <v>45</v>
      </c>
      <c r="AB535" s="1" t="s">
        <v>46</v>
      </c>
      <c r="AC535" s="1" t="s">
        <v>48</v>
      </c>
      <c r="AD535" s="1" t="s">
        <v>34</v>
      </c>
      <c r="AE535" s="1" t="s">
        <v>35</v>
      </c>
      <c r="AF535" s="5">
        <f t="shared" si="48"/>
        <v>45529</v>
      </c>
      <c r="AG535" s="5">
        <f t="shared" si="49"/>
        <v>45536</v>
      </c>
      <c r="AH535" s="5" t="b">
        <f t="shared" si="50"/>
        <v>1</v>
      </c>
      <c r="AI535" s="5" t="b">
        <f t="shared" si="51"/>
        <v>1</v>
      </c>
      <c r="AJ535" t="str">
        <f t="shared" si="52"/>
        <v>OK</v>
      </c>
      <c r="AK535">
        <f t="shared" si="53"/>
        <v>7</v>
      </c>
    </row>
    <row r="536" spans="1:37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  <c r="V536" s="1" t="s">
        <v>180</v>
      </c>
      <c r="W536" s="1" t="s">
        <v>115</v>
      </c>
      <c r="X536" s="1" t="s">
        <v>42</v>
      </c>
      <c r="Y536" s="1" t="s">
        <v>186</v>
      </c>
      <c r="Z536" s="1" t="s">
        <v>187</v>
      </c>
      <c r="AA536" s="1" t="s">
        <v>86</v>
      </c>
      <c r="AB536" s="1" t="s">
        <v>87</v>
      </c>
      <c r="AC536" s="1" t="s">
        <v>33</v>
      </c>
      <c r="AD536" s="1" t="s">
        <v>137</v>
      </c>
      <c r="AE536" s="1" t="s">
        <v>125</v>
      </c>
      <c r="AF536" s="5">
        <f t="shared" si="48"/>
        <v>45774</v>
      </c>
      <c r="AG536" s="5">
        <f t="shared" si="49"/>
        <v>45782</v>
      </c>
      <c r="AH536" s="5" t="b">
        <f t="shared" si="50"/>
        <v>1</v>
      </c>
      <c r="AI536" s="5" t="b">
        <f t="shared" si="51"/>
        <v>1</v>
      </c>
      <c r="AJ536" t="str">
        <f t="shared" si="52"/>
        <v>OK</v>
      </c>
      <c r="AK536">
        <f t="shared" si="53"/>
        <v>8</v>
      </c>
    </row>
    <row r="537" spans="1:37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  <c r="V537" s="1" t="s">
        <v>210</v>
      </c>
      <c r="W537" s="1" t="s">
        <v>41</v>
      </c>
      <c r="X537" s="1" t="s">
        <v>73</v>
      </c>
      <c r="Y537" s="1" t="s">
        <v>74</v>
      </c>
      <c r="Z537" s="1" t="s">
        <v>75</v>
      </c>
      <c r="AA537" s="1" t="s">
        <v>86</v>
      </c>
      <c r="AB537" s="1" t="s">
        <v>94</v>
      </c>
      <c r="AC537" s="1" t="s">
        <v>56</v>
      </c>
      <c r="AD537" s="1" t="s">
        <v>34</v>
      </c>
      <c r="AE537" s="1" t="s">
        <v>35</v>
      </c>
      <c r="AF537" s="5" t="e">
        <f t="shared" si="48"/>
        <v>#N/A</v>
      </c>
      <c r="AG537" s="5">
        <f t="shared" si="49"/>
        <v>45433</v>
      </c>
      <c r="AH537" s="5" t="b">
        <f t="shared" si="50"/>
        <v>0</v>
      </c>
      <c r="AI537" s="5" t="b">
        <f t="shared" si="51"/>
        <v>1</v>
      </c>
      <c r="AJ537" t="e">
        <f t="shared" si="52"/>
        <v>#N/A</v>
      </c>
      <c r="AK537" t="e">
        <f t="shared" si="53"/>
        <v>#N/A</v>
      </c>
    </row>
    <row r="538" spans="1:37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  <c r="V538" s="1" t="s">
        <v>72</v>
      </c>
      <c r="W538" s="1" t="s">
        <v>41</v>
      </c>
      <c r="X538" s="1" t="s">
        <v>73</v>
      </c>
      <c r="Y538" s="1" t="s">
        <v>28</v>
      </c>
      <c r="Z538" s="1" t="s">
        <v>135</v>
      </c>
      <c r="AA538" s="1" t="s">
        <v>45</v>
      </c>
      <c r="AB538" s="1" t="s">
        <v>76</v>
      </c>
      <c r="AC538" s="1" t="s">
        <v>56</v>
      </c>
      <c r="AD538" s="1" t="s">
        <v>200</v>
      </c>
      <c r="AE538" s="1" t="s">
        <v>78</v>
      </c>
      <c r="AF538" s="5">
        <f t="shared" si="48"/>
        <v>45757</v>
      </c>
      <c r="AG538" s="5">
        <f t="shared" si="49"/>
        <v>45764</v>
      </c>
      <c r="AH538" s="5" t="b">
        <f t="shared" si="50"/>
        <v>1</v>
      </c>
      <c r="AI538" s="5" t="b">
        <f t="shared" si="51"/>
        <v>1</v>
      </c>
      <c r="AJ538" t="str">
        <f t="shared" si="52"/>
        <v>OK</v>
      </c>
      <c r="AK538">
        <f t="shared" si="53"/>
        <v>7</v>
      </c>
    </row>
    <row r="539" spans="1:37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  <c r="V539" s="1" t="s">
        <v>72</v>
      </c>
      <c r="W539" s="1" t="s">
        <v>41</v>
      </c>
      <c r="X539" s="1" t="s">
        <v>27</v>
      </c>
      <c r="Y539" s="1" t="s">
        <v>323</v>
      </c>
      <c r="Z539" s="1" t="s">
        <v>324</v>
      </c>
      <c r="AA539" s="1" t="s">
        <v>30</v>
      </c>
      <c r="AB539" s="1" t="s">
        <v>54</v>
      </c>
      <c r="AC539" s="1" t="s">
        <v>48</v>
      </c>
      <c r="AD539" s="1" t="s">
        <v>200</v>
      </c>
      <c r="AE539" s="1" t="s">
        <v>78</v>
      </c>
      <c r="AF539" s="5">
        <f t="shared" si="48"/>
        <v>45313</v>
      </c>
      <c r="AG539" s="5">
        <f t="shared" si="49"/>
        <v>45321</v>
      </c>
      <c r="AH539" s="5" t="b">
        <f t="shared" si="50"/>
        <v>1</v>
      </c>
      <c r="AI539" s="5" t="b">
        <f t="shared" si="51"/>
        <v>1</v>
      </c>
      <c r="AJ539" t="str">
        <f t="shared" si="52"/>
        <v>OK</v>
      </c>
      <c r="AK539">
        <f t="shared" si="53"/>
        <v>8</v>
      </c>
    </row>
    <row r="540" spans="1:37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  <c r="V540" s="1" t="s">
        <v>210</v>
      </c>
      <c r="W540" s="1" t="s">
        <v>41</v>
      </c>
      <c r="X540" s="1" t="s">
        <v>42</v>
      </c>
      <c r="Y540" s="1" t="s">
        <v>311</v>
      </c>
      <c r="Z540" s="1" t="s">
        <v>312</v>
      </c>
      <c r="AA540" s="1" t="s">
        <v>45</v>
      </c>
      <c r="AB540" s="1" t="s">
        <v>46</v>
      </c>
      <c r="AC540" s="1" t="s">
        <v>33</v>
      </c>
      <c r="AD540" s="1" t="s">
        <v>34</v>
      </c>
      <c r="AE540" s="1" t="s">
        <v>35</v>
      </c>
      <c r="AF540" s="5" t="e">
        <f t="shared" si="48"/>
        <v>#N/A</v>
      </c>
      <c r="AG540" s="5">
        <f t="shared" si="49"/>
        <v>45301</v>
      </c>
      <c r="AH540" s="5" t="b">
        <f t="shared" si="50"/>
        <v>0</v>
      </c>
      <c r="AI540" s="5" t="b">
        <f t="shared" si="51"/>
        <v>1</v>
      </c>
      <c r="AJ540" t="e">
        <f t="shared" si="52"/>
        <v>#N/A</v>
      </c>
      <c r="AK540" t="e">
        <f t="shared" si="53"/>
        <v>#N/A</v>
      </c>
    </row>
    <row r="541" spans="1:37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  <c r="V541" s="1" t="s">
        <v>40</v>
      </c>
      <c r="W541" s="1" t="s">
        <v>41</v>
      </c>
      <c r="X541" s="1" t="s">
        <v>62</v>
      </c>
      <c r="Y541" s="1" t="s">
        <v>339</v>
      </c>
      <c r="Z541" s="1" t="s">
        <v>340</v>
      </c>
      <c r="AA541" s="1" t="s">
        <v>45</v>
      </c>
      <c r="AB541" s="1" t="s">
        <v>76</v>
      </c>
      <c r="AC541" s="1" t="s">
        <v>67</v>
      </c>
      <c r="AD541" s="1" t="s">
        <v>34</v>
      </c>
      <c r="AE541" s="1" t="s">
        <v>78</v>
      </c>
      <c r="AF541" s="5">
        <f t="shared" si="48"/>
        <v>45842</v>
      </c>
      <c r="AG541" s="5">
        <f t="shared" si="49"/>
        <v>45842</v>
      </c>
      <c r="AH541" s="5" t="b">
        <f t="shared" si="50"/>
        <v>1</v>
      </c>
      <c r="AI541" s="5" t="b">
        <f t="shared" si="51"/>
        <v>1</v>
      </c>
      <c r="AJ541" t="str">
        <f t="shared" si="52"/>
        <v>OK</v>
      </c>
      <c r="AK541">
        <f t="shared" si="53"/>
        <v>0</v>
      </c>
    </row>
    <row r="542" spans="1:37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  <c r="V542" s="1" t="s">
        <v>366</v>
      </c>
      <c r="W542" s="1" t="s">
        <v>26</v>
      </c>
      <c r="X542" s="1" t="s">
        <v>73</v>
      </c>
      <c r="Y542" s="1" t="s">
        <v>235</v>
      </c>
      <c r="Z542" s="1" t="s">
        <v>236</v>
      </c>
      <c r="AA542" s="1" t="s">
        <v>45</v>
      </c>
      <c r="AB542" s="1" t="s">
        <v>65</v>
      </c>
      <c r="AC542" s="1" t="s">
        <v>67</v>
      </c>
      <c r="AD542" s="1" t="s">
        <v>34</v>
      </c>
      <c r="AE542" s="1" t="s">
        <v>35</v>
      </c>
      <c r="AF542" s="5" t="e">
        <f t="shared" si="48"/>
        <v>#N/A</v>
      </c>
      <c r="AG542" s="5">
        <f t="shared" si="49"/>
        <v>45345</v>
      </c>
      <c r="AH542" s="5" t="b">
        <f t="shared" si="50"/>
        <v>0</v>
      </c>
      <c r="AI542" s="5" t="b">
        <f t="shared" si="51"/>
        <v>1</v>
      </c>
      <c r="AJ542" t="e">
        <f t="shared" si="52"/>
        <v>#N/A</v>
      </c>
      <c r="AK542" t="e">
        <f t="shared" si="53"/>
        <v>#N/A</v>
      </c>
    </row>
    <row r="543" spans="1:37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  <c r="V543" s="1" t="s">
        <v>168</v>
      </c>
      <c r="W543" s="1" t="s">
        <v>26</v>
      </c>
      <c r="X543" s="1" t="s">
        <v>73</v>
      </c>
      <c r="Y543" s="1" t="s">
        <v>74</v>
      </c>
      <c r="Z543" s="1" t="s">
        <v>75</v>
      </c>
      <c r="AA543" s="1" t="s">
        <v>86</v>
      </c>
      <c r="AB543" s="1" t="s">
        <v>94</v>
      </c>
      <c r="AC543" s="1" t="s">
        <v>48</v>
      </c>
      <c r="AD543" s="1" t="s">
        <v>34</v>
      </c>
      <c r="AE543" s="1" t="s">
        <v>125</v>
      </c>
      <c r="AF543" s="5">
        <f t="shared" si="48"/>
        <v>45876</v>
      </c>
      <c r="AG543" s="5">
        <f t="shared" si="49"/>
        <v>45847</v>
      </c>
      <c r="AH543" s="5" t="b">
        <f t="shared" si="50"/>
        <v>1</v>
      </c>
      <c r="AI543" s="5" t="b">
        <f t="shared" si="51"/>
        <v>1</v>
      </c>
      <c r="AJ543" t="str">
        <f t="shared" si="52"/>
        <v>Invalid: Ship before Order</v>
      </c>
      <c r="AK543" t="e">
        <f t="shared" si="53"/>
        <v>#NUM!</v>
      </c>
    </row>
    <row r="544" spans="1:37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  <c r="V544" s="1" t="s">
        <v>148</v>
      </c>
      <c r="W544" s="1" t="s">
        <v>115</v>
      </c>
      <c r="X544" s="1" t="s">
        <v>62</v>
      </c>
      <c r="Y544" s="1" t="s">
        <v>242</v>
      </c>
      <c r="Z544" s="1" t="s">
        <v>243</v>
      </c>
      <c r="AA544" s="1" t="s">
        <v>45</v>
      </c>
      <c r="AB544" s="1" t="s">
        <v>204</v>
      </c>
      <c r="AC544" s="1" t="s">
        <v>33</v>
      </c>
      <c r="AD544" s="1" t="s">
        <v>34</v>
      </c>
      <c r="AE544" s="1" t="s">
        <v>78</v>
      </c>
      <c r="AF544" s="5">
        <f t="shared" si="48"/>
        <v>45552</v>
      </c>
      <c r="AG544" s="5">
        <f t="shared" si="49"/>
        <v>45558</v>
      </c>
      <c r="AH544" s="5" t="b">
        <f t="shared" si="50"/>
        <v>1</v>
      </c>
      <c r="AI544" s="5" t="b">
        <f t="shared" si="51"/>
        <v>1</v>
      </c>
      <c r="AJ544" t="str">
        <f t="shared" si="52"/>
        <v>OK</v>
      </c>
      <c r="AK544">
        <f t="shared" si="53"/>
        <v>6</v>
      </c>
    </row>
    <row r="545" spans="1:37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  <c r="V545" s="1" t="s">
        <v>40</v>
      </c>
      <c r="W545" s="1" t="s">
        <v>26</v>
      </c>
      <c r="X545" s="1" t="s">
        <v>42</v>
      </c>
      <c r="Y545" s="1" t="s">
        <v>186</v>
      </c>
      <c r="Z545" s="1" t="s">
        <v>187</v>
      </c>
      <c r="AA545" s="1" t="s">
        <v>86</v>
      </c>
      <c r="AB545" s="1" t="s">
        <v>94</v>
      </c>
      <c r="AC545" s="1" t="s">
        <v>48</v>
      </c>
      <c r="AD545" s="1" t="s">
        <v>34</v>
      </c>
      <c r="AE545" s="1" t="s">
        <v>35</v>
      </c>
      <c r="AF545" s="5">
        <f t="shared" si="48"/>
        <v>45487</v>
      </c>
      <c r="AG545" s="5" t="e">
        <f t="shared" si="49"/>
        <v>#N/A</v>
      </c>
      <c r="AH545" s="5" t="b">
        <f t="shared" si="50"/>
        <v>1</v>
      </c>
      <c r="AI545" s="5" t="b">
        <f t="shared" si="51"/>
        <v>0</v>
      </c>
      <c r="AJ545" t="e">
        <f t="shared" si="52"/>
        <v>#N/A</v>
      </c>
      <c r="AK545" t="e">
        <f t="shared" si="53"/>
        <v>#N/A</v>
      </c>
    </row>
    <row r="546" spans="1:37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  <c r="V546" s="1" t="s">
        <v>72</v>
      </c>
      <c r="W546" s="1" t="s">
        <v>26</v>
      </c>
      <c r="X546" s="1" t="s">
        <v>62</v>
      </c>
      <c r="Y546" s="1" t="s">
        <v>242</v>
      </c>
      <c r="Z546" s="1" t="s">
        <v>243</v>
      </c>
      <c r="AA546" s="1" t="s">
        <v>30</v>
      </c>
      <c r="AB546" s="1" t="s">
        <v>54</v>
      </c>
      <c r="AC546" s="1" t="s">
        <v>48</v>
      </c>
      <c r="AD546" s="1" t="s">
        <v>34</v>
      </c>
      <c r="AE546" s="1" t="s">
        <v>78</v>
      </c>
      <c r="AF546" s="5">
        <f t="shared" si="48"/>
        <v>45686</v>
      </c>
      <c r="AG546" s="5">
        <f t="shared" si="49"/>
        <v>45693</v>
      </c>
      <c r="AH546" s="5" t="b">
        <f t="shared" si="50"/>
        <v>1</v>
      </c>
      <c r="AI546" s="5" t="b">
        <f t="shared" si="51"/>
        <v>1</v>
      </c>
      <c r="AJ546" t="str">
        <f t="shared" si="52"/>
        <v>OK</v>
      </c>
      <c r="AK546">
        <f t="shared" si="53"/>
        <v>7</v>
      </c>
    </row>
    <row r="547" spans="1:37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  <c r="V547" s="1" t="s">
        <v>366</v>
      </c>
      <c r="W547" s="1" t="s">
        <v>41</v>
      </c>
      <c r="X547" s="1" t="s">
        <v>42</v>
      </c>
      <c r="Y547" s="1" t="s">
        <v>311</v>
      </c>
      <c r="Z547" s="1" t="s">
        <v>312</v>
      </c>
      <c r="AA547" s="1" t="s">
        <v>30</v>
      </c>
      <c r="AB547" s="1" t="s">
        <v>156</v>
      </c>
      <c r="AC547" s="1" t="s">
        <v>48</v>
      </c>
      <c r="AD547" s="1" t="s">
        <v>34</v>
      </c>
      <c r="AE547" s="1" t="s">
        <v>35</v>
      </c>
      <c r="AF547" s="5">
        <f t="shared" si="48"/>
        <v>45439</v>
      </c>
      <c r="AG547" s="5">
        <f t="shared" si="49"/>
        <v>45442</v>
      </c>
      <c r="AH547" s="5" t="b">
        <f t="shared" si="50"/>
        <v>1</v>
      </c>
      <c r="AI547" s="5" t="b">
        <f t="shared" si="51"/>
        <v>1</v>
      </c>
      <c r="AJ547" t="str">
        <f t="shared" si="52"/>
        <v>OK</v>
      </c>
      <c r="AK547">
        <f t="shared" si="53"/>
        <v>3</v>
      </c>
    </row>
    <row r="548" spans="1:37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  <c r="V548" s="1" t="s">
        <v>61</v>
      </c>
      <c r="W548" s="1" t="s">
        <v>108</v>
      </c>
      <c r="X548" s="1" t="s">
        <v>73</v>
      </c>
      <c r="Y548" s="1" t="s">
        <v>235</v>
      </c>
      <c r="Z548" s="1" t="s">
        <v>236</v>
      </c>
      <c r="AA548" s="1" t="s">
        <v>30</v>
      </c>
      <c r="AB548" s="1" t="s">
        <v>31</v>
      </c>
      <c r="AC548" s="1" t="s">
        <v>56</v>
      </c>
      <c r="AD548" s="1" t="s">
        <v>34</v>
      </c>
      <c r="AE548" s="1" t="s">
        <v>35</v>
      </c>
      <c r="AF548" s="5">
        <f t="shared" si="48"/>
        <v>45883</v>
      </c>
      <c r="AG548" s="5">
        <f t="shared" si="49"/>
        <v>45891</v>
      </c>
      <c r="AH548" s="5" t="b">
        <f t="shared" si="50"/>
        <v>1</v>
      </c>
      <c r="AI548" s="5" t="b">
        <f t="shared" si="51"/>
        <v>1</v>
      </c>
      <c r="AJ548" t="str">
        <f t="shared" si="52"/>
        <v>OK</v>
      </c>
      <c r="AK548">
        <f t="shared" si="53"/>
        <v>8</v>
      </c>
    </row>
    <row r="549" spans="1:37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  <c r="V549" s="1" t="s">
        <v>93</v>
      </c>
      <c r="W549" s="1" t="s">
        <v>41</v>
      </c>
      <c r="X549" s="1" t="s">
        <v>27</v>
      </c>
      <c r="Y549" s="1" t="s">
        <v>174</v>
      </c>
      <c r="Z549" s="1" t="s">
        <v>175</v>
      </c>
      <c r="AA549" s="1" t="s">
        <v>86</v>
      </c>
      <c r="AB549" s="1" t="s">
        <v>94</v>
      </c>
      <c r="AC549" s="1" t="s">
        <v>67</v>
      </c>
      <c r="AD549" s="1" t="s">
        <v>34</v>
      </c>
      <c r="AE549" s="1" t="s">
        <v>35</v>
      </c>
      <c r="AF549" s="5">
        <f t="shared" si="48"/>
        <v>45428</v>
      </c>
      <c r="AG549" s="5">
        <f t="shared" si="49"/>
        <v>45435</v>
      </c>
      <c r="AH549" s="5" t="b">
        <f t="shared" si="50"/>
        <v>1</v>
      </c>
      <c r="AI549" s="5" t="b">
        <f t="shared" si="51"/>
        <v>1</v>
      </c>
      <c r="AJ549" t="str">
        <f t="shared" si="52"/>
        <v>OK</v>
      </c>
      <c r="AK549">
        <f t="shared" si="53"/>
        <v>7</v>
      </c>
    </row>
    <row r="550" spans="1:37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  <c r="V550" s="1" t="s">
        <v>180</v>
      </c>
      <c r="W550" s="1" t="s">
        <v>108</v>
      </c>
      <c r="X550" s="1" t="s">
        <v>42</v>
      </c>
      <c r="Y550" s="1" t="s">
        <v>186</v>
      </c>
      <c r="Z550" s="1" t="s">
        <v>187</v>
      </c>
      <c r="AA550" s="1" t="s">
        <v>45</v>
      </c>
      <c r="AB550" s="1" t="s">
        <v>204</v>
      </c>
      <c r="AC550" s="1" t="s">
        <v>48</v>
      </c>
      <c r="AD550" s="1" t="s">
        <v>137</v>
      </c>
      <c r="AE550" s="1" t="s">
        <v>78</v>
      </c>
      <c r="AF550" s="5">
        <f t="shared" si="48"/>
        <v>45441</v>
      </c>
      <c r="AG550" s="5" t="e">
        <f t="shared" si="49"/>
        <v>#N/A</v>
      </c>
      <c r="AH550" s="5" t="b">
        <f t="shared" si="50"/>
        <v>1</v>
      </c>
      <c r="AI550" s="5" t="b">
        <f t="shared" si="51"/>
        <v>0</v>
      </c>
      <c r="AJ550" t="e">
        <f t="shared" si="52"/>
        <v>#N/A</v>
      </c>
      <c r="AK550" t="e">
        <f t="shared" si="53"/>
        <v>#N/A</v>
      </c>
    </row>
    <row r="551" spans="1:37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  <c r="V551" s="1" t="s">
        <v>40</v>
      </c>
      <c r="W551" s="1" t="s">
        <v>108</v>
      </c>
      <c r="X551" s="1" t="s">
        <v>62</v>
      </c>
      <c r="Y551" s="1" t="s">
        <v>63</v>
      </c>
      <c r="Z551" s="1" t="s">
        <v>64</v>
      </c>
      <c r="AA551" s="1" t="s">
        <v>30</v>
      </c>
      <c r="AB551" s="1" t="s">
        <v>54</v>
      </c>
      <c r="AC551" s="1" t="s">
        <v>33</v>
      </c>
      <c r="AD551" s="1" t="s">
        <v>34</v>
      </c>
      <c r="AE551" s="1" t="s">
        <v>35</v>
      </c>
      <c r="AF551" s="5">
        <f t="shared" si="48"/>
        <v>45941</v>
      </c>
      <c r="AG551" s="5">
        <f t="shared" si="49"/>
        <v>45943</v>
      </c>
      <c r="AH551" s="5" t="b">
        <f t="shared" si="50"/>
        <v>1</v>
      </c>
      <c r="AI551" s="5" t="b">
        <f t="shared" si="51"/>
        <v>1</v>
      </c>
      <c r="AJ551" t="str">
        <f t="shared" si="52"/>
        <v>OK</v>
      </c>
      <c r="AK551">
        <f t="shared" si="53"/>
        <v>2</v>
      </c>
    </row>
    <row r="552" spans="1:37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  <c r="V552" s="1" t="s">
        <v>40</v>
      </c>
      <c r="W552" s="1" t="s">
        <v>115</v>
      </c>
      <c r="X552" s="1" t="s">
        <v>42</v>
      </c>
      <c r="Y552" s="1" t="s">
        <v>43</v>
      </c>
      <c r="Z552" s="1" t="s">
        <v>44</v>
      </c>
      <c r="AA552" s="1" t="s">
        <v>86</v>
      </c>
      <c r="AB552" s="1" t="s">
        <v>87</v>
      </c>
      <c r="AC552" s="1" t="s">
        <v>67</v>
      </c>
      <c r="AD552" s="1" t="s">
        <v>34</v>
      </c>
      <c r="AE552" s="1" t="s">
        <v>35</v>
      </c>
      <c r="AF552" s="5">
        <f t="shared" si="48"/>
        <v>45330</v>
      </c>
      <c r="AG552" s="5">
        <f t="shared" si="49"/>
        <v>45514</v>
      </c>
      <c r="AH552" s="5" t="b">
        <f t="shared" si="50"/>
        <v>1</v>
      </c>
      <c r="AI552" s="5" t="b">
        <f t="shared" si="51"/>
        <v>1</v>
      </c>
      <c r="AJ552" t="str">
        <f t="shared" si="52"/>
        <v>OK</v>
      </c>
      <c r="AK552">
        <f t="shared" si="53"/>
        <v>184</v>
      </c>
    </row>
    <row r="553" spans="1:37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  <c r="V553" s="1" t="s">
        <v>168</v>
      </c>
      <c r="W553" s="1" t="s">
        <v>26</v>
      </c>
      <c r="X553" s="1" t="s">
        <v>42</v>
      </c>
      <c r="Y553" s="1" t="s">
        <v>311</v>
      </c>
      <c r="Z553" s="1" t="s">
        <v>312</v>
      </c>
      <c r="AA553" s="1" t="s">
        <v>45</v>
      </c>
      <c r="AB553" s="1" t="s">
        <v>76</v>
      </c>
      <c r="AC553" s="1" t="s">
        <v>33</v>
      </c>
      <c r="AD553" s="1" t="s">
        <v>34</v>
      </c>
      <c r="AE553" s="1" t="s">
        <v>35</v>
      </c>
      <c r="AF553" s="5" t="e">
        <f t="shared" si="48"/>
        <v>#N/A</v>
      </c>
      <c r="AG553" s="5">
        <f t="shared" si="49"/>
        <v>45349</v>
      </c>
      <c r="AH553" s="5" t="b">
        <f t="shared" si="50"/>
        <v>0</v>
      </c>
      <c r="AI553" s="5" t="b">
        <f t="shared" si="51"/>
        <v>1</v>
      </c>
      <c r="AJ553" t="e">
        <f t="shared" si="52"/>
        <v>#N/A</v>
      </c>
      <c r="AK553" t="e">
        <f t="shared" si="53"/>
        <v>#N/A</v>
      </c>
    </row>
    <row r="554" spans="1:37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  <c r="V554" s="1" t="s">
        <v>72</v>
      </c>
      <c r="W554" s="1" t="s">
        <v>108</v>
      </c>
      <c r="X554" s="1" t="s">
        <v>42</v>
      </c>
      <c r="Y554" s="1" t="s">
        <v>121</v>
      </c>
      <c r="Z554" s="1" t="s">
        <v>122</v>
      </c>
      <c r="AA554" s="1" t="s">
        <v>86</v>
      </c>
      <c r="AB554" s="1" t="s">
        <v>94</v>
      </c>
      <c r="AC554" s="1" t="s">
        <v>67</v>
      </c>
      <c r="AD554" s="1" t="s">
        <v>34</v>
      </c>
      <c r="AE554" s="1" t="s">
        <v>35</v>
      </c>
      <c r="AF554" s="5" t="e">
        <f t="shared" si="48"/>
        <v>#N/A</v>
      </c>
      <c r="AG554" s="5">
        <f t="shared" si="49"/>
        <v>45687</v>
      </c>
      <c r="AH554" s="5" t="b">
        <f t="shared" si="50"/>
        <v>0</v>
      </c>
      <c r="AI554" s="5" t="b">
        <f t="shared" si="51"/>
        <v>1</v>
      </c>
      <c r="AJ554" t="e">
        <f t="shared" si="52"/>
        <v>#N/A</v>
      </c>
      <c r="AK554" t="e">
        <f t="shared" si="53"/>
        <v>#N/A</v>
      </c>
    </row>
    <row r="555" spans="1:37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  <c r="V555" s="1" t="s">
        <v>162</v>
      </c>
      <c r="W555" s="1" t="s">
        <v>41</v>
      </c>
      <c r="X555" s="1" t="s">
        <v>73</v>
      </c>
      <c r="Y555" s="1" t="s">
        <v>235</v>
      </c>
      <c r="Z555" s="1" t="s">
        <v>236</v>
      </c>
      <c r="AA555" s="1" t="s">
        <v>30</v>
      </c>
      <c r="AB555" s="1" t="s">
        <v>156</v>
      </c>
      <c r="AC555" s="1" t="s">
        <v>56</v>
      </c>
      <c r="AD555" s="1" t="s">
        <v>34</v>
      </c>
      <c r="AE555" s="1" t="s">
        <v>35</v>
      </c>
      <c r="AF555" s="5">
        <f t="shared" si="48"/>
        <v>45772</v>
      </c>
      <c r="AG555" s="5">
        <f t="shared" si="49"/>
        <v>45775</v>
      </c>
      <c r="AH555" s="5" t="b">
        <f t="shared" si="50"/>
        <v>1</v>
      </c>
      <c r="AI555" s="5" t="b">
        <f t="shared" si="51"/>
        <v>1</v>
      </c>
      <c r="AJ555" t="str">
        <f t="shared" si="52"/>
        <v>OK</v>
      </c>
      <c r="AK555">
        <f t="shared" si="53"/>
        <v>3</v>
      </c>
    </row>
    <row r="556" spans="1:37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  <c r="V556" s="1" t="s">
        <v>61</v>
      </c>
      <c r="W556" s="1" t="s">
        <v>26</v>
      </c>
      <c r="X556" s="1" t="s">
        <v>4119</v>
      </c>
      <c r="Y556" s="1" t="s">
        <v>311</v>
      </c>
      <c r="Z556" s="1" t="s">
        <v>312</v>
      </c>
      <c r="AA556" s="1" t="s">
        <v>45</v>
      </c>
      <c r="AB556" s="1" t="s">
        <v>65</v>
      </c>
      <c r="AC556" s="1" t="s">
        <v>67</v>
      </c>
      <c r="AD556" s="1" t="s">
        <v>34</v>
      </c>
      <c r="AE556" s="1" t="s">
        <v>35</v>
      </c>
      <c r="AF556" s="5">
        <f t="shared" si="48"/>
        <v>45577</v>
      </c>
      <c r="AG556" s="5">
        <f t="shared" si="49"/>
        <v>45582</v>
      </c>
      <c r="AH556" s="5" t="b">
        <f t="shared" si="50"/>
        <v>1</v>
      </c>
      <c r="AI556" s="5" t="b">
        <f t="shared" si="51"/>
        <v>1</v>
      </c>
      <c r="AJ556" t="str">
        <f t="shared" si="52"/>
        <v>OK</v>
      </c>
      <c r="AK556">
        <f t="shared" si="53"/>
        <v>5</v>
      </c>
    </row>
    <row r="557" spans="1:37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  <c r="V557" s="1" t="s">
        <v>72</v>
      </c>
      <c r="W557" s="1" t="s">
        <v>41</v>
      </c>
      <c r="X557" s="1" t="s">
        <v>62</v>
      </c>
      <c r="Y557" s="1" t="s">
        <v>63</v>
      </c>
      <c r="Z557" s="1" t="s">
        <v>64</v>
      </c>
      <c r="AA557" s="1" t="s">
        <v>30</v>
      </c>
      <c r="AB557" s="1" t="s">
        <v>156</v>
      </c>
      <c r="AC557" s="1" t="s">
        <v>67</v>
      </c>
      <c r="AD557" s="1" t="s">
        <v>34</v>
      </c>
      <c r="AE557" s="1" t="s">
        <v>35</v>
      </c>
      <c r="AF557" s="5">
        <f t="shared" si="48"/>
        <v>45749</v>
      </c>
      <c r="AG557" s="5">
        <f t="shared" si="49"/>
        <v>45698</v>
      </c>
      <c r="AH557" s="5" t="b">
        <f t="shared" si="50"/>
        <v>1</v>
      </c>
      <c r="AI557" s="5" t="b">
        <f t="shared" si="51"/>
        <v>1</v>
      </c>
      <c r="AJ557" t="str">
        <f t="shared" si="52"/>
        <v>Invalid: Ship before Order</v>
      </c>
      <c r="AK557" t="e">
        <f t="shared" si="53"/>
        <v>#NUM!</v>
      </c>
    </row>
    <row r="558" spans="1:37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  <c r="V558" s="1" t="s">
        <v>93</v>
      </c>
      <c r="W558" s="1" t="s">
        <v>26</v>
      </c>
      <c r="X558" s="1" t="s">
        <v>27</v>
      </c>
      <c r="Y558" s="1" t="s">
        <v>323</v>
      </c>
      <c r="Z558" s="1" t="s">
        <v>324</v>
      </c>
      <c r="AA558" s="1" t="s">
        <v>45</v>
      </c>
      <c r="AB558" s="1" t="s">
        <v>46</v>
      </c>
      <c r="AC558" s="1" t="s">
        <v>56</v>
      </c>
      <c r="AD558" s="1" t="s">
        <v>34</v>
      </c>
      <c r="AE558" s="1" t="s">
        <v>125</v>
      </c>
      <c r="AF558" s="5">
        <f t="shared" si="48"/>
        <v>45466</v>
      </c>
      <c r="AG558" s="5">
        <f t="shared" si="49"/>
        <v>45472</v>
      </c>
      <c r="AH558" s="5" t="b">
        <f t="shared" si="50"/>
        <v>1</v>
      </c>
      <c r="AI558" s="5" t="b">
        <f t="shared" si="51"/>
        <v>1</v>
      </c>
      <c r="AJ558" t="str">
        <f t="shared" si="52"/>
        <v>OK</v>
      </c>
      <c r="AK558">
        <f t="shared" si="53"/>
        <v>6</v>
      </c>
    </row>
    <row r="559" spans="1:37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  <c r="V559" s="1" t="s">
        <v>83</v>
      </c>
      <c r="W559" s="1" t="s">
        <v>115</v>
      </c>
      <c r="X559" s="1" t="s">
        <v>27</v>
      </c>
      <c r="Y559" s="1" t="s">
        <v>323</v>
      </c>
      <c r="Z559" s="1" t="s">
        <v>324</v>
      </c>
      <c r="AA559" s="1" t="s">
        <v>86</v>
      </c>
      <c r="AB559" s="1" t="s">
        <v>223</v>
      </c>
      <c r="AC559" s="1" t="s">
        <v>56</v>
      </c>
      <c r="AD559" s="1" t="s">
        <v>34</v>
      </c>
      <c r="AE559" s="1" t="s">
        <v>78</v>
      </c>
      <c r="AF559" s="5">
        <f t="shared" si="48"/>
        <v>45420</v>
      </c>
      <c r="AG559" s="5" t="e">
        <f t="shared" si="49"/>
        <v>#N/A</v>
      </c>
      <c r="AH559" s="5" t="b">
        <f t="shared" si="50"/>
        <v>1</v>
      </c>
      <c r="AI559" s="5" t="b">
        <f t="shared" si="51"/>
        <v>0</v>
      </c>
      <c r="AJ559" t="e">
        <f t="shared" si="52"/>
        <v>#N/A</v>
      </c>
      <c r="AK559" t="e">
        <f t="shared" si="53"/>
        <v>#N/A</v>
      </c>
    </row>
    <row r="560" spans="1:37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  <c r="V560" s="1" t="s">
        <v>107</v>
      </c>
      <c r="W560" s="1" t="s">
        <v>108</v>
      </c>
      <c r="X560" s="1" t="s">
        <v>27</v>
      </c>
      <c r="Y560" s="1" t="s">
        <v>154</v>
      </c>
      <c r="Z560" s="1" t="s">
        <v>155</v>
      </c>
      <c r="AA560" s="1" t="s">
        <v>86</v>
      </c>
      <c r="AB560" s="1" t="s">
        <v>382</v>
      </c>
      <c r="AC560" s="1" t="s">
        <v>56</v>
      </c>
      <c r="AD560" s="1" t="s">
        <v>34</v>
      </c>
      <c r="AE560" s="1" t="s">
        <v>35</v>
      </c>
      <c r="AF560" s="5">
        <f t="shared" si="48"/>
        <v>45904</v>
      </c>
      <c r="AG560" s="5">
        <f t="shared" si="49"/>
        <v>45904</v>
      </c>
      <c r="AH560" s="5" t="b">
        <f t="shared" si="50"/>
        <v>1</v>
      </c>
      <c r="AI560" s="5" t="b">
        <f t="shared" si="51"/>
        <v>1</v>
      </c>
      <c r="AJ560" t="str">
        <f t="shared" si="52"/>
        <v>OK</v>
      </c>
      <c r="AK560">
        <f t="shared" si="53"/>
        <v>0</v>
      </c>
    </row>
    <row r="561" spans="1:37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  <c r="V561" s="1" t="s">
        <v>210</v>
      </c>
      <c r="W561" s="1" t="s">
        <v>108</v>
      </c>
      <c r="X561" s="1" t="s">
        <v>42</v>
      </c>
      <c r="Y561" s="1" t="s">
        <v>186</v>
      </c>
      <c r="Z561" s="1" t="s">
        <v>187</v>
      </c>
      <c r="AA561" s="1" t="s">
        <v>86</v>
      </c>
      <c r="AB561" s="1" t="s">
        <v>94</v>
      </c>
      <c r="AC561" s="1" t="s">
        <v>33</v>
      </c>
      <c r="AD561" s="1" t="s">
        <v>34</v>
      </c>
      <c r="AE561" s="1" t="s">
        <v>125</v>
      </c>
      <c r="AF561" s="5">
        <f t="shared" si="48"/>
        <v>45930</v>
      </c>
      <c r="AG561" s="5">
        <f t="shared" si="49"/>
        <v>45937</v>
      </c>
      <c r="AH561" s="5" t="b">
        <f t="shared" si="50"/>
        <v>1</v>
      </c>
      <c r="AI561" s="5" t="b">
        <f t="shared" si="51"/>
        <v>1</v>
      </c>
      <c r="AJ561" t="str">
        <f t="shared" si="52"/>
        <v>OK</v>
      </c>
      <c r="AK561">
        <f t="shared" si="53"/>
        <v>7</v>
      </c>
    </row>
    <row r="562" spans="1:37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  <c r="V562" s="1" t="s">
        <v>61</v>
      </c>
      <c r="W562" s="1" t="s">
        <v>26</v>
      </c>
      <c r="X562" s="1" t="s">
        <v>73</v>
      </c>
      <c r="Y562" s="1" t="s">
        <v>249</v>
      </c>
      <c r="Z562" s="1" t="s">
        <v>250</v>
      </c>
      <c r="AA562" s="1" t="s">
        <v>30</v>
      </c>
      <c r="AB562" s="1" t="s">
        <v>156</v>
      </c>
      <c r="AC562" s="1" t="s">
        <v>67</v>
      </c>
      <c r="AD562" s="1" t="s">
        <v>34</v>
      </c>
      <c r="AE562" s="1" t="s">
        <v>78</v>
      </c>
      <c r="AF562" s="5">
        <f t="shared" si="48"/>
        <v>45307</v>
      </c>
      <c r="AG562" s="5" t="e">
        <f t="shared" si="49"/>
        <v>#N/A</v>
      </c>
      <c r="AH562" s="5" t="b">
        <f t="shared" si="50"/>
        <v>1</v>
      </c>
      <c r="AI562" s="5" t="b">
        <f t="shared" si="51"/>
        <v>0</v>
      </c>
      <c r="AJ562" t="e">
        <f t="shared" si="52"/>
        <v>#N/A</v>
      </c>
      <c r="AK562" t="e">
        <f t="shared" si="53"/>
        <v>#N/A</v>
      </c>
    </row>
    <row r="563" spans="1:37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  <c r="V563" s="1" t="s">
        <v>107</v>
      </c>
      <c r="W563" s="1" t="s">
        <v>26</v>
      </c>
      <c r="X563" s="1" t="s">
        <v>27</v>
      </c>
      <c r="Y563" s="1" t="s">
        <v>154</v>
      </c>
      <c r="Z563" s="1" t="s">
        <v>155</v>
      </c>
      <c r="AA563" s="1" t="s">
        <v>86</v>
      </c>
      <c r="AB563" s="1" t="s">
        <v>94</v>
      </c>
      <c r="AC563" s="1" t="s">
        <v>56</v>
      </c>
      <c r="AD563" s="1" t="s">
        <v>137</v>
      </c>
      <c r="AE563" s="1" t="s">
        <v>125</v>
      </c>
      <c r="AF563" s="5">
        <f t="shared" si="48"/>
        <v>45852</v>
      </c>
      <c r="AG563" s="5">
        <f t="shared" si="49"/>
        <v>45856</v>
      </c>
      <c r="AH563" s="5" t="b">
        <f t="shared" si="50"/>
        <v>1</v>
      </c>
      <c r="AI563" s="5" t="b">
        <f t="shared" si="51"/>
        <v>1</v>
      </c>
      <c r="AJ563" t="str">
        <f t="shared" si="52"/>
        <v>OK</v>
      </c>
      <c r="AK563">
        <f t="shared" si="53"/>
        <v>4</v>
      </c>
    </row>
    <row r="564" spans="1:37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  <c r="V564" s="1" t="s">
        <v>25</v>
      </c>
      <c r="W564" s="1" t="s">
        <v>26</v>
      </c>
      <c r="X564" s="1" t="s">
        <v>27</v>
      </c>
      <c r="Y564" s="1" t="s">
        <v>154</v>
      </c>
      <c r="Z564" s="1" t="s">
        <v>155</v>
      </c>
      <c r="AA564" s="1" t="s">
        <v>30</v>
      </c>
      <c r="AB564" s="1" t="s">
        <v>198</v>
      </c>
      <c r="AC564" s="1" t="s">
        <v>48</v>
      </c>
      <c r="AD564" s="1" t="s">
        <v>200</v>
      </c>
      <c r="AE564" s="1" t="s">
        <v>125</v>
      </c>
      <c r="AF564" s="5">
        <f t="shared" si="48"/>
        <v>45422</v>
      </c>
      <c r="AG564" s="5">
        <f t="shared" si="49"/>
        <v>45428</v>
      </c>
      <c r="AH564" s="5" t="b">
        <f t="shared" si="50"/>
        <v>1</v>
      </c>
      <c r="AI564" s="5" t="b">
        <f t="shared" si="51"/>
        <v>1</v>
      </c>
      <c r="AJ564" t="str">
        <f t="shared" si="52"/>
        <v>OK</v>
      </c>
      <c r="AK564">
        <f t="shared" si="53"/>
        <v>6</v>
      </c>
    </row>
    <row r="565" spans="1:37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  <c r="V565" s="1" t="s">
        <v>61</v>
      </c>
      <c r="W565" s="1" t="s">
        <v>108</v>
      </c>
      <c r="X565" s="1" t="s">
        <v>73</v>
      </c>
      <c r="Y565" s="1" t="s">
        <v>249</v>
      </c>
      <c r="Z565" s="1" t="s">
        <v>250</v>
      </c>
      <c r="AA565" s="1" t="s">
        <v>45</v>
      </c>
      <c r="AB565" s="1" t="s">
        <v>46</v>
      </c>
      <c r="AC565" s="1" t="s">
        <v>67</v>
      </c>
      <c r="AD565" s="1" t="s">
        <v>137</v>
      </c>
      <c r="AE565" s="1" t="s">
        <v>78</v>
      </c>
      <c r="AF565" s="5">
        <f t="shared" si="48"/>
        <v>45418</v>
      </c>
      <c r="AG565" s="5">
        <f t="shared" si="49"/>
        <v>45631</v>
      </c>
      <c r="AH565" s="5" t="b">
        <f t="shared" si="50"/>
        <v>1</v>
      </c>
      <c r="AI565" s="5" t="b">
        <f t="shared" si="51"/>
        <v>1</v>
      </c>
      <c r="AJ565" t="str">
        <f t="shared" si="52"/>
        <v>OK</v>
      </c>
      <c r="AK565">
        <f t="shared" si="53"/>
        <v>213</v>
      </c>
    </row>
    <row r="566" spans="1:37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  <c r="V566" s="1" t="s">
        <v>168</v>
      </c>
      <c r="W566" s="1" t="s">
        <v>108</v>
      </c>
      <c r="X566" s="1" t="s">
        <v>62</v>
      </c>
      <c r="Y566" s="1" t="s">
        <v>100</v>
      </c>
      <c r="Z566" s="1" t="s">
        <v>101</v>
      </c>
      <c r="AA566" s="1" t="s">
        <v>45</v>
      </c>
      <c r="AB566" s="1" t="s">
        <v>46</v>
      </c>
      <c r="AC566" s="1" t="s">
        <v>56</v>
      </c>
      <c r="AD566" s="1" t="s">
        <v>34</v>
      </c>
      <c r="AE566" s="1" t="s">
        <v>35</v>
      </c>
      <c r="AF566" s="5">
        <f t="shared" si="48"/>
        <v>45606</v>
      </c>
      <c r="AG566" s="5" t="e">
        <f t="shared" si="49"/>
        <v>#N/A</v>
      </c>
      <c r="AH566" s="5" t="b">
        <f t="shared" si="50"/>
        <v>1</v>
      </c>
      <c r="AI566" s="5" t="b">
        <f t="shared" si="51"/>
        <v>0</v>
      </c>
      <c r="AJ566" t="e">
        <f t="shared" si="52"/>
        <v>#N/A</v>
      </c>
      <c r="AK566" t="e">
        <f t="shared" si="53"/>
        <v>#N/A</v>
      </c>
    </row>
    <row r="567" spans="1:37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  <c r="V567" s="1" t="s">
        <v>40</v>
      </c>
      <c r="W567" s="1" t="s">
        <v>108</v>
      </c>
      <c r="X567" s="1" t="s">
        <v>27</v>
      </c>
      <c r="Y567" s="1" t="s">
        <v>506</v>
      </c>
      <c r="Z567" s="1" t="s">
        <v>507</v>
      </c>
      <c r="AA567" s="1" t="s">
        <v>86</v>
      </c>
      <c r="AB567" s="1" t="s">
        <v>223</v>
      </c>
      <c r="AC567" s="1" t="s">
        <v>67</v>
      </c>
      <c r="AD567" s="1" t="s">
        <v>124</v>
      </c>
      <c r="AE567" s="1" t="s">
        <v>78</v>
      </c>
      <c r="AF567" s="5">
        <f t="shared" si="48"/>
        <v>45876</v>
      </c>
      <c r="AG567" s="5" t="e">
        <f t="shared" si="49"/>
        <v>#N/A</v>
      </c>
      <c r="AH567" s="5" t="b">
        <f t="shared" si="50"/>
        <v>1</v>
      </c>
      <c r="AI567" s="5" t="b">
        <f t="shared" si="51"/>
        <v>0</v>
      </c>
      <c r="AJ567" t="e">
        <f t="shared" si="52"/>
        <v>#N/A</v>
      </c>
      <c r="AK567" t="e">
        <f t="shared" si="53"/>
        <v>#N/A</v>
      </c>
    </row>
    <row r="568" spans="1:37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  <c r="V568" s="1" t="s">
        <v>168</v>
      </c>
      <c r="W568" s="1" t="s">
        <v>41</v>
      </c>
      <c r="X568" s="1" t="s">
        <v>73</v>
      </c>
      <c r="Y568" s="1" t="s">
        <v>74</v>
      </c>
      <c r="Z568" s="1" t="s">
        <v>75</v>
      </c>
      <c r="AA568" s="1" t="s">
        <v>30</v>
      </c>
      <c r="AB568" s="1" t="s">
        <v>31</v>
      </c>
      <c r="AC568" s="1" t="s">
        <v>48</v>
      </c>
      <c r="AD568" s="1" t="s">
        <v>200</v>
      </c>
      <c r="AE568" s="1" t="s">
        <v>125</v>
      </c>
      <c r="AF568" s="5">
        <f t="shared" si="48"/>
        <v>45515</v>
      </c>
      <c r="AG568" s="5">
        <f t="shared" si="49"/>
        <v>45523</v>
      </c>
      <c r="AH568" s="5" t="b">
        <f t="shared" si="50"/>
        <v>1</v>
      </c>
      <c r="AI568" s="5" t="b">
        <f t="shared" si="51"/>
        <v>1</v>
      </c>
      <c r="AJ568" t="str">
        <f t="shared" si="52"/>
        <v>OK</v>
      </c>
      <c r="AK568">
        <f t="shared" si="53"/>
        <v>8</v>
      </c>
    </row>
    <row r="569" spans="1:37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  <c r="V569" s="1" t="s">
        <v>61</v>
      </c>
      <c r="W569" s="1" t="s">
        <v>115</v>
      </c>
      <c r="X569" s="1" t="s">
        <v>27</v>
      </c>
      <c r="Y569" s="1" t="s">
        <v>174</v>
      </c>
      <c r="Z569" s="1" t="s">
        <v>175</v>
      </c>
      <c r="AA569" s="1" t="s">
        <v>45</v>
      </c>
      <c r="AB569" s="1" t="s">
        <v>65</v>
      </c>
      <c r="AC569" s="1" t="s">
        <v>48</v>
      </c>
      <c r="AD569" s="1" t="s">
        <v>34</v>
      </c>
      <c r="AE569" s="1" t="s">
        <v>35</v>
      </c>
      <c r="AF569" s="5">
        <f t="shared" si="48"/>
        <v>45328</v>
      </c>
      <c r="AG569" s="5">
        <f t="shared" si="49"/>
        <v>45567</v>
      </c>
      <c r="AH569" s="5" t="b">
        <f t="shared" si="50"/>
        <v>1</v>
      </c>
      <c r="AI569" s="5" t="b">
        <f t="shared" si="51"/>
        <v>1</v>
      </c>
      <c r="AJ569" t="str">
        <f t="shared" si="52"/>
        <v>OK</v>
      </c>
      <c r="AK569">
        <f t="shared" si="53"/>
        <v>239</v>
      </c>
    </row>
    <row r="570" spans="1:37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  <c r="V570" s="1" t="s">
        <v>366</v>
      </c>
      <c r="W570" s="1" t="s">
        <v>108</v>
      </c>
      <c r="X570" s="1" t="s">
        <v>27</v>
      </c>
      <c r="Y570" s="1" t="s">
        <v>154</v>
      </c>
      <c r="Z570" s="1" t="s">
        <v>155</v>
      </c>
      <c r="AA570" s="1" t="s">
        <v>86</v>
      </c>
      <c r="AB570" s="1" t="s">
        <v>382</v>
      </c>
      <c r="AC570" s="1" t="s">
        <v>48</v>
      </c>
      <c r="AD570" s="1" t="s">
        <v>34</v>
      </c>
      <c r="AE570" s="1" t="s">
        <v>35</v>
      </c>
      <c r="AF570" s="5">
        <f t="shared" si="48"/>
        <v>45312</v>
      </c>
      <c r="AG570" s="5">
        <f t="shared" si="49"/>
        <v>45315</v>
      </c>
      <c r="AH570" s="5" t="b">
        <f t="shared" si="50"/>
        <v>1</v>
      </c>
      <c r="AI570" s="5" t="b">
        <f t="shared" si="51"/>
        <v>1</v>
      </c>
      <c r="AJ570" t="str">
        <f t="shared" si="52"/>
        <v>OK</v>
      </c>
      <c r="AK570">
        <f t="shared" si="53"/>
        <v>3</v>
      </c>
    </row>
    <row r="571" spans="1:37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  <c r="V571" s="1" t="s">
        <v>148</v>
      </c>
      <c r="W571" s="1" t="s">
        <v>115</v>
      </c>
      <c r="X571" s="1" t="s">
        <v>73</v>
      </c>
      <c r="Y571" s="1" t="s">
        <v>74</v>
      </c>
      <c r="Z571" s="1" t="s">
        <v>75</v>
      </c>
      <c r="AA571" s="1" t="s">
        <v>45</v>
      </c>
      <c r="AB571" s="1" t="s">
        <v>65</v>
      </c>
      <c r="AC571" s="1" t="s">
        <v>67</v>
      </c>
      <c r="AD571" s="1" t="s">
        <v>124</v>
      </c>
      <c r="AE571" s="1" t="s">
        <v>125</v>
      </c>
      <c r="AF571" s="5">
        <f t="shared" si="48"/>
        <v>45908</v>
      </c>
      <c r="AG571" s="5">
        <f t="shared" si="49"/>
        <v>45910</v>
      </c>
      <c r="AH571" s="5" t="b">
        <f t="shared" si="50"/>
        <v>1</v>
      </c>
      <c r="AI571" s="5" t="b">
        <f t="shared" si="51"/>
        <v>1</v>
      </c>
      <c r="AJ571" t="str">
        <f t="shared" si="52"/>
        <v>OK</v>
      </c>
      <c r="AK571">
        <f t="shared" si="53"/>
        <v>2</v>
      </c>
    </row>
    <row r="572" spans="1:37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  <c r="V572" s="1" t="s">
        <v>61</v>
      </c>
      <c r="W572" s="1" t="s">
        <v>26</v>
      </c>
      <c r="X572" s="1" t="s">
        <v>42</v>
      </c>
      <c r="Y572" s="1" t="s">
        <v>311</v>
      </c>
      <c r="Z572" s="1" t="s">
        <v>312</v>
      </c>
      <c r="AA572" s="1" t="s">
        <v>45</v>
      </c>
      <c r="AB572" s="1" t="s">
        <v>65</v>
      </c>
      <c r="AC572" s="1" t="s">
        <v>33</v>
      </c>
      <c r="AD572" s="1" t="s">
        <v>200</v>
      </c>
      <c r="AE572" s="1" t="s">
        <v>125</v>
      </c>
      <c r="AF572" s="5">
        <f t="shared" si="48"/>
        <v>45887</v>
      </c>
      <c r="AG572" s="5">
        <f t="shared" si="49"/>
        <v>45891</v>
      </c>
      <c r="AH572" s="5" t="b">
        <f t="shared" si="50"/>
        <v>1</v>
      </c>
      <c r="AI572" s="5" t="b">
        <f t="shared" si="51"/>
        <v>1</v>
      </c>
      <c r="AJ572" t="str">
        <f t="shared" si="52"/>
        <v>OK</v>
      </c>
      <c r="AK572">
        <f t="shared" si="53"/>
        <v>4</v>
      </c>
    </row>
    <row r="573" spans="1:37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  <c r="V573" s="1" t="s">
        <v>142</v>
      </c>
      <c r="W573" s="1" t="s">
        <v>41</v>
      </c>
      <c r="X573" s="1" t="s">
        <v>27</v>
      </c>
      <c r="Y573" s="1" t="s">
        <v>174</v>
      </c>
      <c r="Z573" s="1" t="s">
        <v>175</v>
      </c>
      <c r="AA573" s="1" t="s">
        <v>86</v>
      </c>
      <c r="AB573" s="1" t="s">
        <v>223</v>
      </c>
      <c r="AC573" s="1" t="s">
        <v>4119</v>
      </c>
      <c r="AD573" s="1" t="s">
        <v>200</v>
      </c>
      <c r="AE573" s="1" t="s">
        <v>125</v>
      </c>
      <c r="AF573" s="5">
        <f t="shared" si="48"/>
        <v>45698</v>
      </c>
      <c r="AG573" s="5">
        <f t="shared" si="49"/>
        <v>45702</v>
      </c>
      <c r="AH573" s="5" t="b">
        <f t="shared" si="50"/>
        <v>1</v>
      </c>
      <c r="AI573" s="5" t="b">
        <f t="shared" si="51"/>
        <v>1</v>
      </c>
      <c r="AJ573" t="str">
        <f t="shared" si="52"/>
        <v>OK</v>
      </c>
      <c r="AK573">
        <f t="shared" si="53"/>
        <v>4</v>
      </c>
    </row>
    <row r="574" spans="1:37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  <c r="V574" s="1" t="s">
        <v>210</v>
      </c>
      <c r="W574" s="1" t="s">
        <v>108</v>
      </c>
      <c r="X574" s="1" t="s">
        <v>27</v>
      </c>
      <c r="Y574" s="1" t="s">
        <v>506</v>
      </c>
      <c r="Z574" s="1" t="s">
        <v>507</v>
      </c>
      <c r="AA574" s="1" t="s">
        <v>86</v>
      </c>
      <c r="AB574" s="1" t="s">
        <v>223</v>
      </c>
      <c r="AC574" s="1" t="s">
        <v>67</v>
      </c>
      <c r="AD574" s="1" t="s">
        <v>34</v>
      </c>
      <c r="AE574" s="1" t="s">
        <v>35</v>
      </c>
      <c r="AF574" s="5">
        <f t="shared" si="48"/>
        <v>45293</v>
      </c>
      <c r="AG574" s="5">
        <f t="shared" si="49"/>
        <v>45536</v>
      </c>
      <c r="AH574" s="5" t="b">
        <f t="shared" si="50"/>
        <v>1</v>
      </c>
      <c r="AI574" s="5" t="b">
        <f t="shared" si="51"/>
        <v>1</v>
      </c>
      <c r="AJ574" t="str">
        <f t="shared" si="52"/>
        <v>OK</v>
      </c>
      <c r="AK574">
        <f t="shared" si="53"/>
        <v>243</v>
      </c>
    </row>
    <row r="575" spans="1:37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  <c r="V575" s="1" t="s">
        <v>53</v>
      </c>
      <c r="W575" s="1" t="s">
        <v>26</v>
      </c>
      <c r="X575" s="1" t="s">
        <v>62</v>
      </c>
      <c r="Y575" s="1" t="s">
        <v>100</v>
      </c>
      <c r="Z575" s="1" t="s">
        <v>101</v>
      </c>
      <c r="AA575" s="1" t="s">
        <v>86</v>
      </c>
      <c r="AB575" s="1" t="s">
        <v>223</v>
      </c>
      <c r="AC575" s="1" t="s">
        <v>67</v>
      </c>
      <c r="AD575" s="1" t="s">
        <v>34</v>
      </c>
      <c r="AE575" s="1" t="s">
        <v>35</v>
      </c>
      <c r="AF575" s="5">
        <f t="shared" si="48"/>
        <v>45922</v>
      </c>
      <c r="AG575" s="5">
        <f t="shared" si="49"/>
        <v>45926</v>
      </c>
      <c r="AH575" s="5" t="b">
        <f t="shared" si="50"/>
        <v>1</v>
      </c>
      <c r="AI575" s="5" t="b">
        <f t="shared" si="51"/>
        <v>1</v>
      </c>
      <c r="AJ575" t="str">
        <f t="shared" si="52"/>
        <v>OK</v>
      </c>
      <c r="AK575">
        <f t="shared" si="53"/>
        <v>4</v>
      </c>
    </row>
    <row r="576" spans="1:37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  <c r="V576" s="1" t="s">
        <v>210</v>
      </c>
      <c r="W576" s="1" t="s">
        <v>115</v>
      </c>
      <c r="X576" s="1" t="s">
        <v>27</v>
      </c>
      <c r="Y576" s="1" t="s">
        <v>154</v>
      </c>
      <c r="Z576" s="1" t="s">
        <v>155</v>
      </c>
      <c r="AA576" s="1" t="s">
        <v>86</v>
      </c>
      <c r="AB576" s="1" t="s">
        <v>382</v>
      </c>
      <c r="AC576" s="1" t="s">
        <v>67</v>
      </c>
      <c r="AD576" s="1" t="s">
        <v>34</v>
      </c>
      <c r="AE576" s="1" t="s">
        <v>35</v>
      </c>
      <c r="AF576" s="5">
        <f t="shared" si="48"/>
        <v>45342</v>
      </c>
      <c r="AG576" s="5" t="e">
        <f t="shared" si="49"/>
        <v>#N/A</v>
      </c>
      <c r="AH576" s="5" t="b">
        <f t="shared" si="50"/>
        <v>1</v>
      </c>
      <c r="AI576" s="5" t="b">
        <f t="shared" si="51"/>
        <v>0</v>
      </c>
      <c r="AJ576" t="e">
        <f t="shared" si="52"/>
        <v>#N/A</v>
      </c>
      <c r="AK576" t="e">
        <f t="shared" si="53"/>
        <v>#N/A</v>
      </c>
    </row>
    <row r="577" spans="1:37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  <c r="V577" s="1" t="s">
        <v>168</v>
      </c>
      <c r="W577" s="1" t="s">
        <v>115</v>
      </c>
      <c r="X577" s="1" t="s">
        <v>62</v>
      </c>
      <c r="Y577" s="1" t="s">
        <v>242</v>
      </c>
      <c r="Z577" s="1" t="s">
        <v>243</v>
      </c>
      <c r="AA577" s="1" t="s">
        <v>45</v>
      </c>
      <c r="AB577" s="1" t="s">
        <v>65</v>
      </c>
      <c r="AC577" s="1" t="s">
        <v>48</v>
      </c>
      <c r="AD577" s="1" t="s">
        <v>200</v>
      </c>
      <c r="AE577" s="1" t="s">
        <v>125</v>
      </c>
      <c r="AF577" s="5">
        <f t="shared" si="48"/>
        <v>45727</v>
      </c>
      <c r="AG577" s="5">
        <f t="shared" si="49"/>
        <v>45730</v>
      </c>
      <c r="AH577" s="5" t="b">
        <f t="shared" si="50"/>
        <v>1</v>
      </c>
      <c r="AI577" s="5" t="b">
        <f t="shared" si="51"/>
        <v>1</v>
      </c>
      <c r="AJ577" t="str">
        <f t="shared" si="52"/>
        <v>OK</v>
      </c>
      <c r="AK577">
        <f t="shared" si="53"/>
        <v>3</v>
      </c>
    </row>
    <row r="578" spans="1:37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  <c r="V578" s="1" t="s">
        <v>180</v>
      </c>
      <c r="W578" s="1" t="s">
        <v>115</v>
      </c>
      <c r="X578" s="1" t="s">
        <v>4119</v>
      </c>
      <c r="Y578" s="1" t="s">
        <v>186</v>
      </c>
      <c r="Z578" s="1" t="s">
        <v>187</v>
      </c>
      <c r="AA578" s="1" t="s">
        <v>30</v>
      </c>
      <c r="AB578" s="1" t="s">
        <v>198</v>
      </c>
      <c r="AC578" s="1" t="s">
        <v>67</v>
      </c>
      <c r="AD578" s="1" t="s">
        <v>124</v>
      </c>
      <c r="AE578" s="1" t="s">
        <v>125</v>
      </c>
      <c r="AF578" s="5" t="e">
        <f t="shared" si="48"/>
        <v>#N/A</v>
      </c>
      <c r="AG578" s="5">
        <f t="shared" si="49"/>
        <v>45345</v>
      </c>
      <c r="AH578" s="5" t="b">
        <f t="shared" si="50"/>
        <v>0</v>
      </c>
      <c r="AI578" s="5" t="b">
        <f t="shared" si="51"/>
        <v>1</v>
      </c>
      <c r="AJ578" t="e">
        <f t="shared" si="52"/>
        <v>#N/A</v>
      </c>
      <c r="AK578" t="e">
        <f t="shared" si="53"/>
        <v>#N/A</v>
      </c>
    </row>
    <row r="579" spans="1:37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  <c r="V579" s="1" t="s">
        <v>142</v>
      </c>
      <c r="W579" s="1" t="s">
        <v>108</v>
      </c>
      <c r="X579" s="1" t="s">
        <v>73</v>
      </c>
      <c r="Y579" s="1" t="s">
        <v>84</v>
      </c>
      <c r="Z579" s="1" t="s">
        <v>85</v>
      </c>
      <c r="AA579" s="1" t="s">
        <v>45</v>
      </c>
      <c r="AB579" s="1" t="s">
        <v>65</v>
      </c>
      <c r="AC579" s="1" t="s">
        <v>67</v>
      </c>
      <c r="AD579" s="1" t="s">
        <v>34</v>
      </c>
      <c r="AE579" s="1" t="s">
        <v>35</v>
      </c>
      <c r="AF579" s="5">
        <f t="shared" ref="AF579:AF642" si="54">IFERROR(DATEVALUE(B579),IFERROR(DATE(VALUE(RIGHT(B579,4)),VALUE(MID(SUBSTITUTE(B579,"-","/"),6,2)),VALUE(LEFT(B579,2))),NA()))</f>
        <v>45897</v>
      </c>
      <c r="AG579" s="5">
        <f t="shared" ref="AG579:AG642" si="55">IFERROR(DATEVALUE(C579),IFERROR(DATE(VALUE(RIGHT(C579,4)),VALUE(MID(SUBSTITUTE(C579,"-","/"),6,2)),VALUE(LEFT(C579,2))),NA()))</f>
        <v>45903</v>
      </c>
      <c r="AH579" s="5" t="b">
        <f t="shared" ref="AH579:AH642" si="56">ISNUMBER(AF579)</f>
        <v>1</v>
      </c>
      <c r="AI579" s="5" t="b">
        <f t="shared" ref="AI579:AI642" si="57">ISNUMBER(AG579)</f>
        <v>1</v>
      </c>
      <c r="AJ579" t="str">
        <f t="shared" ref="AJ579:AJ642" si="58">IF(AG579&lt;AF579,"Invalid: Ship before Order","OK")</f>
        <v>OK</v>
      </c>
      <c r="AK579">
        <f t="shared" ref="AK579:AK642" si="59">DATEDIF(AF579, AG579, "D")</f>
        <v>6</v>
      </c>
    </row>
    <row r="580" spans="1:37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  <c r="V580" s="1" t="s">
        <v>93</v>
      </c>
      <c r="W580" s="1" t="s">
        <v>41</v>
      </c>
      <c r="X580" s="1" t="s">
        <v>73</v>
      </c>
      <c r="Y580" s="1" t="s">
        <v>235</v>
      </c>
      <c r="Z580" s="1" t="s">
        <v>236</v>
      </c>
      <c r="AA580" s="1" t="s">
        <v>86</v>
      </c>
      <c r="AB580" s="1" t="s">
        <v>94</v>
      </c>
      <c r="AC580" s="1" t="s">
        <v>56</v>
      </c>
      <c r="AD580" s="1" t="s">
        <v>34</v>
      </c>
      <c r="AE580" s="1" t="s">
        <v>35</v>
      </c>
      <c r="AF580" s="5">
        <f t="shared" si="54"/>
        <v>45343</v>
      </c>
      <c r="AG580" s="5" t="e">
        <f t="shared" si="55"/>
        <v>#N/A</v>
      </c>
      <c r="AH580" s="5" t="b">
        <f t="shared" si="56"/>
        <v>1</v>
      </c>
      <c r="AI580" s="5" t="b">
        <f t="shared" si="57"/>
        <v>0</v>
      </c>
      <c r="AJ580" t="e">
        <f t="shared" si="58"/>
        <v>#N/A</v>
      </c>
      <c r="AK580" t="e">
        <f t="shared" si="59"/>
        <v>#N/A</v>
      </c>
    </row>
    <row r="581" spans="1:37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  <c r="V581" s="1" t="s">
        <v>162</v>
      </c>
      <c r="W581" s="1" t="s">
        <v>41</v>
      </c>
      <c r="X581" s="1" t="s">
        <v>62</v>
      </c>
      <c r="Y581" s="1" t="s">
        <v>339</v>
      </c>
      <c r="Z581" s="1" t="s">
        <v>340</v>
      </c>
      <c r="AA581" s="1" t="s">
        <v>30</v>
      </c>
      <c r="AB581" s="1" t="s">
        <v>156</v>
      </c>
      <c r="AC581" s="1" t="s">
        <v>48</v>
      </c>
      <c r="AD581" s="1" t="s">
        <v>34</v>
      </c>
      <c r="AE581" s="1" t="s">
        <v>35</v>
      </c>
      <c r="AF581" s="5" t="e">
        <f t="shared" si="54"/>
        <v>#N/A</v>
      </c>
      <c r="AG581" s="5">
        <f t="shared" si="55"/>
        <v>45467</v>
      </c>
      <c r="AH581" s="5" t="b">
        <f t="shared" si="56"/>
        <v>0</v>
      </c>
      <c r="AI581" s="5" t="b">
        <f t="shared" si="57"/>
        <v>1</v>
      </c>
      <c r="AJ581" t="e">
        <f t="shared" si="58"/>
        <v>#N/A</v>
      </c>
      <c r="AK581" t="e">
        <f t="shared" si="59"/>
        <v>#N/A</v>
      </c>
    </row>
    <row r="582" spans="1:37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  <c r="V582" s="1" t="s">
        <v>366</v>
      </c>
      <c r="W582" s="1" t="s">
        <v>26</v>
      </c>
      <c r="X582" s="1" t="s">
        <v>62</v>
      </c>
      <c r="Y582" s="1" t="s">
        <v>242</v>
      </c>
      <c r="Z582" s="1" t="s">
        <v>243</v>
      </c>
      <c r="AA582" s="1" t="s">
        <v>45</v>
      </c>
      <c r="AB582" s="1" t="s">
        <v>76</v>
      </c>
      <c r="AC582" s="1" t="s">
        <v>67</v>
      </c>
      <c r="AD582" s="1" t="s">
        <v>200</v>
      </c>
      <c r="AE582" s="1" t="s">
        <v>125</v>
      </c>
      <c r="AF582" s="5">
        <f t="shared" si="54"/>
        <v>45811</v>
      </c>
      <c r="AG582" s="5">
        <f t="shared" si="55"/>
        <v>45729</v>
      </c>
      <c r="AH582" s="5" t="b">
        <f t="shared" si="56"/>
        <v>1</v>
      </c>
      <c r="AI582" s="5" t="b">
        <f t="shared" si="57"/>
        <v>1</v>
      </c>
      <c r="AJ582" t="str">
        <f t="shared" si="58"/>
        <v>Invalid: Ship before Order</v>
      </c>
      <c r="AK582" t="e">
        <f t="shared" si="59"/>
        <v>#NUM!</v>
      </c>
    </row>
    <row r="583" spans="1:37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  <c r="V583" s="1" t="s">
        <v>93</v>
      </c>
      <c r="W583" s="1" t="s">
        <v>26</v>
      </c>
      <c r="X583" s="1" t="s">
        <v>27</v>
      </c>
      <c r="Y583" s="1" t="s">
        <v>506</v>
      </c>
      <c r="Z583" s="1" t="s">
        <v>507</v>
      </c>
      <c r="AA583" s="1" t="s">
        <v>30</v>
      </c>
      <c r="AB583" s="1" t="s">
        <v>54</v>
      </c>
      <c r="AC583" s="1" t="s">
        <v>33</v>
      </c>
      <c r="AD583" s="1" t="s">
        <v>124</v>
      </c>
      <c r="AE583" s="1" t="s">
        <v>125</v>
      </c>
      <c r="AF583" s="5">
        <f t="shared" si="54"/>
        <v>45878</v>
      </c>
      <c r="AG583" s="5">
        <f t="shared" si="55"/>
        <v>45879</v>
      </c>
      <c r="AH583" s="5" t="b">
        <f t="shared" si="56"/>
        <v>1</v>
      </c>
      <c r="AI583" s="5" t="b">
        <f t="shared" si="57"/>
        <v>1</v>
      </c>
      <c r="AJ583" t="str">
        <f t="shared" si="58"/>
        <v>OK</v>
      </c>
      <c r="AK583">
        <f t="shared" si="59"/>
        <v>1</v>
      </c>
    </row>
    <row r="584" spans="1:37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  <c r="V584" s="1" t="s">
        <v>72</v>
      </c>
      <c r="W584" s="1" t="s">
        <v>26</v>
      </c>
      <c r="X584" s="1" t="s">
        <v>42</v>
      </c>
      <c r="Y584" s="1" t="s">
        <v>43</v>
      </c>
      <c r="Z584" s="1" t="s">
        <v>44</v>
      </c>
      <c r="AA584" s="1" t="s">
        <v>30</v>
      </c>
      <c r="AB584" s="1" t="s">
        <v>54</v>
      </c>
      <c r="AC584" s="1" t="s">
        <v>56</v>
      </c>
      <c r="AD584" s="1" t="s">
        <v>137</v>
      </c>
      <c r="AE584" s="1" t="s">
        <v>125</v>
      </c>
      <c r="AF584" s="5">
        <f t="shared" si="54"/>
        <v>45580</v>
      </c>
      <c r="AG584" s="5">
        <f t="shared" si="55"/>
        <v>45585</v>
      </c>
      <c r="AH584" s="5" t="b">
        <f t="shared" si="56"/>
        <v>1</v>
      </c>
      <c r="AI584" s="5" t="b">
        <f t="shared" si="57"/>
        <v>1</v>
      </c>
      <c r="AJ584" t="str">
        <f t="shared" si="58"/>
        <v>OK</v>
      </c>
      <c r="AK584">
        <f t="shared" si="59"/>
        <v>5</v>
      </c>
    </row>
    <row r="585" spans="1:37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  <c r="V585" s="1" t="s">
        <v>180</v>
      </c>
      <c r="W585" s="1" t="s">
        <v>41</v>
      </c>
      <c r="X585" s="1" t="s">
        <v>42</v>
      </c>
      <c r="Y585" s="1" t="s">
        <v>121</v>
      </c>
      <c r="Z585" s="1" t="s">
        <v>122</v>
      </c>
      <c r="AA585" s="1" t="s">
        <v>30</v>
      </c>
      <c r="AB585" s="1" t="s">
        <v>156</v>
      </c>
      <c r="AC585" s="1" t="s">
        <v>56</v>
      </c>
      <c r="AD585" s="1" t="s">
        <v>200</v>
      </c>
      <c r="AE585" s="1" t="s">
        <v>125</v>
      </c>
      <c r="AF585" s="5">
        <f t="shared" si="54"/>
        <v>45350</v>
      </c>
      <c r="AG585" s="5">
        <f t="shared" si="55"/>
        <v>45350</v>
      </c>
      <c r="AH585" s="5" t="b">
        <f t="shared" si="56"/>
        <v>1</v>
      </c>
      <c r="AI585" s="5" t="b">
        <f t="shared" si="57"/>
        <v>1</v>
      </c>
      <c r="AJ585" t="str">
        <f t="shared" si="58"/>
        <v>OK</v>
      </c>
      <c r="AK585">
        <f t="shared" si="59"/>
        <v>0</v>
      </c>
    </row>
    <row r="586" spans="1:37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  <c r="V586" s="1" t="s">
        <v>83</v>
      </c>
      <c r="W586" s="1" t="s">
        <v>26</v>
      </c>
      <c r="X586" s="1" t="s">
        <v>42</v>
      </c>
      <c r="Y586" s="1" t="s">
        <v>186</v>
      </c>
      <c r="Z586" s="1" t="s">
        <v>187</v>
      </c>
      <c r="AA586" s="1" t="s">
        <v>30</v>
      </c>
      <c r="AB586" s="1" t="s">
        <v>54</v>
      </c>
      <c r="AC586" s="1" t="s">
        <v>48</v>
      </c>
      <c r="AD586" s="1" t="s">
        <v>137</v>
      </c>
      <c r="AE586" s="1" t="s">
        <v>125</v>
      </c>
      <c r="AF586" s="5">
        <f t="shared" si="54"/>
        <v>45508</v>
      </c>
      <c r="AG586" s="5">
        <f t="shared" si="55"/>
        <v>45573</v>
      </c>
      <c r="AH586" s="5" t="b">
        <f t="shared" si="56"/>
        <v>1</v>
      </c>
      <c r="AI586" s="5" t="b">
        <f t="shared" si="57"/>
        <v>1</v>
      </c>
      <c r="AJ586" t="str">
        <f t="shared" si="58"/>
        <v>OK</v>
      </c>
      <c r="AK586">
        <f t="shared" si="59"/>
        <v>65</v>
      </c>
    </row>
    <row r="587" spans="1:37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  <c r="V587" s="1" t="s">
        <v>210</v>
      </c>
      <c r="W587" s="1" t="s">
        <v>41</v>
      </c>
      <c r="X587" s="1" t="s">
        <v>73</v>
      </c>
      <c r="Y587" s="1" t="s">
        <v>74</v>
      </c>
      <c r="Z587" s="1" t="s">
        <v>75</v>
      </c>
      <c r="AA587" s="1" t="s">
        <v>86</v>
      </c>
      <c r="AB587" s="1" t="s">
        <v>223</v>
      </c>
      <c r="AC587" s="1" t="s">
        <v>56</v>
      </c>
      <c r="AD587" s="1" t="s">
        <v>34</v>
      </c>
      <c r="AE587" s="1" t="s">
        <v>35</v>
      </c>
      <c r="AF587" s="5">
        <f t="shared" si="54"/>
        <v>45830</v>
      </c>
      <c r="AG587" s="5">
        <f t="shared" si="55"/>
        <v>45833</v>
      </c>
      <c r="AH587" s="5" t="b">
        <f t="shared" si="56"/>
        <v>1</v>
      </c>
      <c r="AI587" s="5" t="b">
        <f t="shared" si="57"/>
        <v>1</v>
      </c>
      <c r="AJ587" t="str">
        <f t="shared" si="58"/>
        <v>OK</v>
      </c>
      <c r="AK587">
        <f t="shared" si="59"/>
        <v>3</v>
      </c>
    </row>
    <row r="588" spans="1:37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  <c r="V588" s="1" t="s">
        <v>40</v>
      </c>
      <c r="W588" s="1" t="s">
        <v>115</v>
      </c>
      <c r="X588" s="1" t="s">
        <v>27</v>
      </c>
      <c r="Y588" s="1" t="s">
        <v>154</v>
      </c>
      <c r="Z588" s="1" t="s">
        <v>155</v>
      </c>
      <c r="AA588" s="1" t="s">
        <v>30</v>
      </c>
      <c r="AB588" s="1" t="s">
        <v>198</v>
      </c>
      <c r="AC588" s="1" t="s">
        <v>33</v>
      </c>
      <c r="AD588" s="1" t="s">
        <v>34</v>
      </c>
      <c r="AE588" s="1" t="s">
        <v>35</v>
      </c>
      <c r="AF588" s="5">
        <f t="shared" si="54"/>
        <v>45995</v>
      </c>
      <c r="AG588" s="5">
        <f t="shared" si="55"/>
        <v>45759</v>
      </c>
      <c r="AH588" s="5" t="b">
        <f t="shared" si="56"/>
        <v>1</v>
      </c>
      <c r="AI588" s="5" t="b">
        <f t="shared" si="57"/>
        <v>1</v>
      </c>
      <c r="AJ588" t="str">
        <f t="shared" si="58"/>
        <v>Invalid: Ship before Order</v>
      </c>
      <c r="AK588" t="e">
        <f t="shared" si="59"/>
        <v>#NUM!</v>
      </c>
    </row>
    <row r="589" spans="1:37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  <c r="V589" s="1" t="s">
        <v>366</v>
      </c>
      <c r="W589" s="1" t="s">
        <v>115</v>
      </c>
      <c r="X589" s="1" t="s">
        <v>73</v>
      </c>
      <c r="Y589" s="1" t="s">
        <v>84</v>
      </c>
      <c r="Z589" s="1" t="s">
        <v>85</v>
      </c>
      <c r="AA589" s="1" t="s">
        <v>86</v>
      </c>
      <c r="AB589" s="1" t="s">
        <v>87</v>
      </c>
      <c r="AC589" s="1" t="s">
        <v>56</v>
      </c>
      <c r="AD589" s="1" t="s">
        <v>124</v>
      </c>
      <c r="AE589" s="1" t="s">
        <v>78</v>
      </c>
      <c r="AF589" s="5" t="e">
        <f t="shared" si="54"/>
        <v>#N/A</v>
      </c>
      <c r="AG589" s="5">
        <f t="shared" si="55"/>
        <v>45869</v>
      </c>
      <c r="AH589" s="5" t="b">
        <f t="shared" si="56"/>
        <v>0</v>
      </c>
      <c r="AI589" s="5" t="b">
        <f t="shared" si="57"/>
        <v>1</v>
      </c>
      <c r="AJ589" t="e">
        <f t="shared" si="58"/>
        <v>#N/A</v>
      </c>
      <c r="AK589" t="e">
        <f t="shared" si="59"/>
        <v>#N/A</v>
      </c>
    </row>
    <row r="590" spans="1:37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  <c r="V590" s="1" t="s">
        <v>162</v>
      </c>
      <c r="W590" s="1" t="s">
        <v>115</v>
      </c>
      <c r="X590" s="1" t="s">
        <v>62</v>
      </c>
      <c r="Y590" s="1" t="s">
        <v>229</v>
      </c>
      <c r="Z590" s="1" t="s">
        <v>230</v>
      </c>
      <c r="AA590" s="1" t="s">
        <v>86</v>
      </c>
      <c r="AB590" s="1" t="s">
        <v>87</v>
      </c>
      <c r="AC590" s="1" t="s">
        <v>33</v>
      </c>
      <c r="AD590" s="1" t="s">
        <v>124</v>
      </c>
      <c r="AE590" s="1" t="s">
        <v>78</v>
      </c>
      <c r="AF590" s="5">
        <f t="shared" si="54"/>
        <v>45727</v>
      </c>
      <c r="AG590" s="5">
        <f t="shared" si="55"/>
        <v>45731</v>
      </c>
      <c r="AH590" s="5" t="b">
        <f t="shared" si="56"/>
        <v>1</v>
      </c>
      <c r="AI590" s="5" t="b">
        <f t="shared" si="57"/>
        <v>1</v>
      </c>
      <c r="AJ590" t="str">
        <f t="shared" si="58"/>
        <v>OK</v>
      </c>
      <c r="AK590">
        <f t="shared" si="59"/>
        <v>4</v>
      </c>
    </row>
    <row r="591" spans="1:37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  <c r="V591" s="1" t="s">
        <v>180</v>
      </c>
      <c r="W591" s="1" t="s">
        <v>108</v>
      </c>
      <c r="X591" s="1" t="s">
        <v>27</v>
      </c>
      <c r="Y591" s="1" t="s">
        <v>174</v>
      </c>
      <c r="Z591" s="1" t="s">
        <v>175</v>
      </c>
      <c r="AA591" s="1" t="s">
        <v>86</v>
      </c>
      <c r="AB591" s="1" t="s">
        <v>223</v>
      </c>
      <c r="AC591" s="1" t="s">
        <v>56</v>
      </c>
      <c r="AD591" s="1" t="s">
        <v>34</v>
      </c>
      <c r="AE591" s="1" t="s">
        <v>35</v>
      </c>
      <c r="AF591" s="5">
        <f t="shared" si="54"/>
        <v>45632</v>
      </c>
      <c r="AG591" s="5">
        <f t="shared" si="55"/>
        <v>45638</v>
      </c>
      <c r="AH591" s="5" t="b">
        <f t="shared" si="56"/>
        <v>1</v>
      </c>
      <c r="AI591" s="5" t="b">
        <f t="shared" si="57"/>
        <v>1</v>
      </c>
      <c r="AJ591" t="str">
        <f t="shared" si="58"/>
        <v>OK</v>
      </c>
      <c r="AK591">
        <f t="shared" si="59"/>
        <v>6</v>
      </c>
    </row>
    <row r="592" spans="1:37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  <c r="V592" s="1" t="s">
        <v>162</v>
      </c>
      <c r="W592" s="1" t="s">
        <v>115</v>
      </c>
      <c r="X592" s="1" t="s">
        <v>27</v>
      </c>
      <c r="Y592" s="1" t="s">
        <v>506</v>
      </c>
      <c r="Z592" s="1" t="s">
        <v>507</v>
      </c>
      <c r="AA592" s="1" t="s">
        <v>45</v>
      </c>
      <c r="AB592" s="1" t="s">
        <v>76</v>
      </c>
      <c r="AC592" s="1" t="s">
        <v>48</v>
      </c>
      <c r="AD592" s="1" t="s">
        <v>137</v>
      </c>
      <c r="AE592" s="1" t="s">
        <v>78</v>
      </c>
      <c r="AF592" s="5" t="e">
        <f t="shared" si="54"/>
        <v>#N/A</v>
      </c>
      <c r="AG592" s="5">
        <f t="shared" si="55"/>
        <v>45441</v>
      </c>
      <c r="AH592" s="5" t="b">
        <f t="shared" si="56"/>
        <v>0</v>
      </c>
      <c r="AI592" s="5" t="b">
        <f t="shared" si="57"/>
        <v>1</v>
      </c>
      <c r="AJ592" t="e">
        <f t="shared" si="58"/>
        <v>#N/A</v>
      </c>
      <c r="AK592" t="e">
        <f t="shared" si="59"/>
        <v>#N/A</v>
      </c>
    </row>
    <row r="593" spans="1:37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  <c r="V593" s="1" t="s">
        <v>168</v>
      </c>
      <c r="W593" s="1" t="s">
        <v>26</v>
      </c>
      <c r="X593" s="1" t="s">
        <v>62</v>
      </c>
      <c r="Y593" s="1" t="s">
        <v>229</v>
      </c>
      <c r="Z593" s="1" t="s">
        <v>230</v>
      </c>
      <c r="AA593" s="1" t="s">
        <v>86</v>
      </c>
      <c r="AB593" s="1" t="s">
        <v>94</v>
      </c>
      <c r="AC593" s="1" t="s">
        <v>56</v>
      </c>
      <c r="AD593" s="1" t="s">
        <v>200</v>
      </c>
      <c r="AE593" s="1" t="s">
        <v>125</v>
      </c>
      <c r="AF593" s="5">
        <f t="shared" si="54"/>
        <v>45344</v>
      </c>
      <c r="AG593" s="5" t="e">
        <f t="shared" si="55"/>
        <v>#N/A</v>
      </c>
      <c r="AH593" s="5" t="b">
        <f t="shared" si="56"/>
        <v>1</v>
      </c>
      <c r="AI593" s="5" t="b">
        <f t="shared" si="57"/>
        <v>0</v>
      </c>
      <c r="AJ593" t="e">
        <f t="shared" si="58"/>
        <v>#N/A</v>
      </c>
      <c r="AK593" t="e">
        <f t="shared" si="59"/>
        <v>#N/A</v>
      </c>
    </row>
    <row r="594" spans="1:37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  <c r="V594" s="1" t="s">
        <v>40</v>
      </c>
      <c r="W594" s="1" t="s">
        <v>26</v>
      </c>
      <c r="X594" s="1" t="s">
        <v>42</v>
      </c>
      <c r="Y594" s="1" t="s">
        <v>121</v>
      </c>
      <c r="Z594" s="1" t="s">
        <v>122</v>
      </c>
      <c r="AA594" s="1" t="s">
        <v>86</v>
      </c>
      <c r="AB594" s="1" t="s">
        <v>87</v>
      </c>
      <c r="AC594" s="1" t="s">
        <v>48</v>
      </c>
      <c r="AD594" s="1" t="s">
        <v>34</v>
      </c>
      <c r="AE594" s="1" t="s">
        <v>35</v>
      </c>
      <c r="AF594" s="5">
        <f t="shared" si="54"/>
        <v>45385</v>
      </c>
      <c r="AG594" s="5">
        <f t="shared" si="55"/>
        <v>45360</v>
      </c>
      <c r="AH594" s="5" t="b">
        <f t="shared" si="56"/>
        <v>1</v>
      </c>
      <c r="AI594" s="5" t="b">
        <f t="shared" si="57"/>
        <v>1</v>
      </c>
      <c r="AJ594" t="str">
        <f t="shared" si="58"/>
        <v>Invalid: Ship before Order</v>
      </c>
      <c r="AK594" t="e">
        <f t="shared" si="59"/>
        <v>#NUM!</v>
      </c>
    </row>
    <row r="595" spans="1:37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  <c r="V595" s="1" t="s">
        <v>61</v>
      </c>
      <c r="W595" s="1" t="s">
        <v>115</v>
      </c>
      <c r="X595" s="1" t="s">
        <v>27</v>
      </c>
      <c r="Y595" s="1" t="s">
        <v>174</v>
      </c>
      <c r="Z595" s="1" t="s">
        <v>175</v>
      </c>
      <c r="AA595" s="1" t="s">
        <v>45</v>
      </c>
      <c r="AB595" s="1" t="s">
        <v>46</v>
      </c>
      <c r="AC595" s="1" t="s">
        <v>33</v>
      </c>
      <c r="AD595" s="1" t="s">
        <v>34</v>
      </c>
      <c r="AE595" s="1" t="s">
        <v>35</v>
      </c>
      <c r="AF595" s="5">
        <f t="shared" si="54"/>
        <v>45927</v>
      </c>
      <c r="AG595" s="5">
        <f t="shared" si="55"/>
        <v>45929</v>
      </c>
      <c r="AH595" s="5" t="b">
        <f t="shared" si="56"/>
        <v>1</v>
      </c>
      <c r="AI595" s="5" t="b">
        <f t="shared" si="57"/>
        <v>1</v>
      </c>
      <c r="AJ595" t="str">
        <f t="shared" si="58"/>
        <v>OK</v>
      </c>
      <c r="AK595">
        <f t="shared" si="59"/>
        <v>2</v>
      </c>
    </row>
    <row r="596" spans="1:37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  <c r="V596" s="1" t="s">
        <v>25</v>
      </c>
      <c r="W596" s="1" t="s">
        <v>41</v>
      </c>
      <c r="X596" s="1" t="s">
        <v>42</v>
      </c>
      <c r="Y596" s="1" t="s">
        <v>121</v>
      </c>
      <c r="Z596" s="1" t="s">
        <v>122</v>
      </c>
      <c r="AA596" s="1" t="s">
        <v>45</v>
      </c>
      <c r="AB596" s="1" t="s">
        <v>76</v>
      </c>
      <c r="AC596" s="1" t="s">
        <v>56</v>
      </c>
      <c r="AD596" s="1" t="s">
        <v>34</v>
      </c>
      <c r="AE596" s="1" t="s">
        <v>35</v>
      </c>
      <c r="AF596" s="5">
        <f t="shared" si="54"/>
        <v>45554</v>
      </c>
      <c r="AG596" s="5">
        <f t="shared" si="55"/>
        <v>45556</v>
      </c>
      <c r="AH596" s="5" t="b">
        <f t="shared" si="56"/>
        <v>1</v>
      </c>
      <c r="AI596" s="5" t="b">
        <f t="shared" si="57"/>
        <v>1</v>
      </c>
      <c r="AJ596" t="str">
        <f t="shared" si="58"/>
        <v>OK</v>
      </c>
      <c r="AK596">
        <f t="shared" si="59"/>
        <v>2</v>
      </c>
    </row>
    <row r="597" spans="1:37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  <c r="V597" s="1" t="s">
        <v>40</v>
      </c>
      <c r="W597" s="1" t="s">
        <v>108</v>
      </c>
      <c r="X597" s="1" t="s">
        <v>27</v>
      </c>
      <c r="Y597" s="1" t="s">
        <v>174</v>
      </c>
      <c r="Z597" s="1" t="s">
        <v>175</v>
      </c>
      <c r="AA597" s="1" t="s">
        <v>86</v>
      </c>
      <c r="AB597" s="1" t="s">
        <v>223</v>
      </c>
      <c r="AC597" s="1" t="s">
        <v>56</v>
      </c>
      <c r="AD597" s="1" t="s">
        <v>34</v>
      </c>
      <c r="AE597" s="1" t="s">
        <v>35</v>
      </c>
      <c r="AF597" s="5">
        <f t="shared" si="54"/>
        <v>45699</v>
      </c>
      <c r="AG597" s="5" t="e">
        <f t="shared" si="55"/>
        <v>#N/A</v>
      </c>
      <c r="AH597" s="5" t="b">
        <f t="shared" si="56"/>
        <v>1</v>
      </c>
      <c r="AI597" s="5" t="b">
        <f t="shared" si="57"/>
        <v>0</v>
      </c>
      <c r="AJ597" t="e">
        <f t="shared" si="58"/>
        <v>#N/A</v>
      </c>
      <c r="AK597" t="e">
        <f t="shared" si="59"/>
        <v>#N/A</v>
      </c>
    </row>
    <row r="598" spans="1:37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  <c r="V598" s="1" t="s">
        <v>107</v>
      </c>
      <c r="W598" s="1" t="s">
        <v>26</v>
      </c>
      <c r="X598" s="1" t="s">
        <v>62</v>
      </c>
      <c r="Y598" s="1" t="s">
        <v>242</v>
      </c>
      <c r="Z598" s="1" t="s">
        <v>243</v>
      </c>
      <c r="AA598" s="1" t="s">
        <v>45</v>
      </c>
      <c r="AB598" s="1" t="s">
        <v>76</v>
      </c>
      <c r="AC598" s="1" t="s">
        <v>33</v>
      </c>
      <c r="AD598" s="1" t="s">
        <v>34</v>
      </c>
      <c r="AE598" s="1" t="s">
        <v>35</v>
      </c>
      <c r="AF598" s="5">
        <f t="shared" si="54"/>
        <v>45392</v>
      </c>
      <c r="AG598" s="5">
        <f t="shared" si="55"/>
        <v>45398</v>
      </c>
      <c r="AH598" s="5" t="b">
        <f t="shared" si="56"/>
        <v>1</v>
      </c>
      <c r="AI598" s="5" t="b">
        <f t="shared" si="57"/>
        <v>1</v>
      </c>
      <c r="AJ598" t="str">
        <f t="shared" si="58"/>
        <v>OK</v>
      </c>
      <c r="AK598">
        <f t="shared" si="59"/>
        <v>6</v>
      </c>
    </row>
    <row r="599" spans="1:37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  <c r="V599" s="1" t="s">
        <v>107</v>
      </c>
      <c r="W599" s="1" t="s">
        <v>26</v>
      </c>
      <c r="X599" s="1" t="s">
        <v>62</v>
      </c>
      <c r="Y599" s="1" t="s">
        <v>63</v>
      </c>
      <c r="Z599" s="1" t="s">
        <v>64</v>
      </c>
      <c r="AA599" s="1" t="s">
        <v>86</v>
      </c>
      <c r="AB599" s="1" t="s">
        <v>94</v>
      </c>
      <c r="AC599" s="1" t="s">
        <v>48</v>
      </c>
      <c r="AD599" s="1" t="s">
        <v>34</v>
      </c>
      <c r="AE599" s="1" t="s">
        <v>35</v>
      </c>
      <c r="AF599" s="5">
        <f t="shared" si="54"/>
        <v>45846</v>
      </c>
      <c r="AG599" s="5">
        <f t="shared" si="55"/>
        <v>45846</v>
      </c>
      <c r="AH599" s="5" t="b">
        <f t="shared" si="56"/>
        <v>1</v>
      </c>
      <c r="AI599" s="5" t="b">
        <f t="shared" si="57"/>
        <v>1</v>
      </c>
      <c r="AJ599" t="str">
        <f t="shared" si="58"/>
        <v>OK</v>
      </c>
      <c r="AK599">
        <f t="shared" si="59"/>
        <v>0</v>
      </c>
    </row>
    <row r="600" spans="1:37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  <c r="V600" s="1" t="s">
        <v>72</v>
      </c>
      <c r="W600" s="1" t="s">
        <v>108</v>
      </c>
      <c r="X600" s="1" t="s">
        <v>42</v>
      </c>
      <c r="Y600" s="1" t="s">
        <v>121</v>
      </c>
      <c r="Z600" s="1" t="s">
        <v>122</v>
      </c>
      <c r="AA600" s="1" t="s">
        <v>86</v>
      </c>
      <c r="AB600" s="1" t="s">
        <v>94</v>
      </c>
      <c r="AC600" s="1" t="s">
        <v>48</v>
      </c>
      <c r="AD600" s="1" t="s">
        <v>34</v>
      </c>
      <c r="AE600" s="1" t="s">
        <v>35</v>
      </c>
      <c r="AF600" s="5">
        <f t="shared" si="54"/>
        <v>45521</v>
      </c>
      <c r="AG600" s="5">
        <f t="shared" si="55"/>
        <v>45528</v>
      </c>
      <c r="AH600" s="5" t="b">
        <f t="shared" si="56"/>
        <v>1</v>
      </c>
      <c r="AI600" s="5" t="b">
        <f t="shared" si="57"/>
        <v>1</v>
      </c>
      <c r="AJ600" t="str">
        <f t="shared" si="58"/>
        <v>OK</v>
      </c>
      <c r="AK600">
        <f t="shared" si="59"/>
        <v>7</v>
      </c>
    </row>
    <row r="601" spans="1:37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  <c r="V601" s="1" t="s">
        <v>61</v>
      </c>
      <c r="W601" s="1" t="s">
        <v>26</v>
      </c>
      <c r="X601" s="1" t="s">
        <v>27</v>
      </c>
      <c r="Y601" s="1" t="s">
        <v>154</v>
      </c>
      <c r="Z601" s="1" t="s">
        <v>155</v>
      </c>
      <c r="AA601" s="1" t="s">
        <v>86</v>
      </c>
      <c r="AB601" s="1" t="s">
        <v>223</v>
      </c>
      <c r="AC601" s="1" t="s">
        <v>56</v>
      </c>
      <c r="AD601" s="1" t="s">
        <v>34</v>
      </c>
      <c r="AE601" s="1" t="s">
        <v>35</v>
      </c>
      <c r="AF601" s="5" t="e">
        <f t="shared" si="54"/>
        <v>#N/A</v>
      </c>
      <c r="AG601" s="5">
        <f t="shared" si="55"/>
        <v>45525</v>
      </c>
      <c r="AH601" s="5" t="b">
        <f t="shared" si="56"/>
        <v>0</v>
      </c>
      <c r="AI601" s="5" t="b">
        <f t="shared" si="57"/>
        <v>1</v>
      </c>
      <c r="AJ601" t="e">
        <f t="shared" si="58"/>
        <v>#N/A</v>
      </c>
      <c r="AK601" t="e">
        <f t="shared" si="59"/>
        <v>#N/A</v>
      </c>
    </row>
    <row r="602" spans="1:37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  <c r="V602" s="1" t="s">
        <v>72</v>
      </c>
      <c r="W602" s="1" t="s">
        <v>108</v>
      </c>
      <c r="X602" s="1" t="s">
        <v>73</v>
      </c>
      <c r="Y602" s="1" t="s">
        <v>84</v>
      </c>
      <c r="Z602" s="1" t="s">
        <v>85</v>
      </c>
      <c r="AA602" s="1" t="s">
        <v>30</v>
      </c>
      <c r="AB602" s="1" t="s">
        <v>156</v>
      </c>
      <c r="AC602" s="1" t="s">
        <v>48</v>
      </c>
      <c r="AD602" s="1" t="s">
        <v>34</v>
      </c>
      <c r="AE602" s="1" t="s">
        <v>35</v>
      </c>
      <c r="AF602" s="5">
        <f t="shared" si="54"/>
        <v>45780</v>
      </c>
      <c r="AG602" s="5">
        <f t="shared" si="55"/>
        <v>45728</v>
      </c>
      <c r="AH602" s="5" t="b">
        <f t="shared" si="56"/>
        <v>1</v>
      </c>
      <c r="AI602" s="5" t="b">
        <f t="shared" si="57"/>
        <v>1</v>
      </c>
      <c r="AJ602" t="str">
        <f t="shared" si="58"/>
        <v>Invalid: Ship before Order</v>
      </c>
      <c r="AK602" t="e">
        <f t="shared" si="59"/>
        <v>#NUM!</v>
      </c>
    </row>
    <row r="603" spans="1:37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  <c r="V603" s="1" t="s">
        <v>72</v>
      </c>
      <c r="W603" s="1" t="s">
        <v>115</v>
      </c>
      <c r="X603" s="1" t="s">
        <v>42</v>
      </c>
      <c r="Y603" s="1" t="s">
        <v>121</v>
      </c>
      <c r="Z603" s="1" t="s">
        <v>122</v>
      </c>
      <c r="AA603" s="1" t="s">
        <v>30</v>
      </c>
      <c r="AB603" s="1" t="s">
        <v>31</v>
      </c>
      <c r="AC603" s="1" t="s">
        <v>33</v>
      </c>
      <c r="AD603" s="1" t="s">
        <v>34</v>
      </c>
      <c r="AE603" s="1" t="s">
        <v>35</v>
      </c>
      <c r="AF603" s="5">
        <f t="shared" si="54"/>
        <v>45317</v>
      </c>
      <c r="AG603" s="5">
        <f t="shared" si="55"/>
        <v>45322</v>
      </c>
      <c r="AH603" s="5" t="b">
        <f t="shared" si="56"/>
        <v>1</v>
      </c>
      <c r="AI603" s="5" t="b">
        <f t="shared" si="57"/>
        <v>1</v>
      </c>
      <c r="AJ603" t="str">
        <f t="shared" si="58"/>
        <v>OK</v>
      </c>
      <c r="AK603">
        <f t="shared" si="59"/>
        <v>5</v>
      </c>
    </row>
    <row r="604" spans="1:37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  <c r="V604" s="1" t="s">
        <v>162</v>
      </c>
      <c r="W604" s="1" t="s">
        <v>26</v>
      </c>
      <c r="X604" s="1" t="s">
        <v>42</v>
      </c>
      <c r="Y604" s="1" t="s">
        <v>311</v>
      </c>
      <c r="Z604" s="1" t="s">
        <v>312</v>
      </c>
      <c r="AA604" s="1" t="s">
        <v>86</v>
      </c>
      <c r="AB604" s="1" t="s">
        <v>94</v>
      </c>
      <c r="AC604" s="1" t="s">
        <v>33</v>
      </c>
      <c r="AD604" s="1" t="s">
        <v>34</v>
      </c>
      <c r="AE604" s="1" t="s">
        <v>35</v>
      </c>
      <c r="AF604" s="5" t="e">
        <f t="shared" si="54"/>
        <v>#N/A</v>
      </c>
      <c r="AG604" s="5">
        <f t="shared" si="55"/>
        <v>45595</v>
      </c>
      <c r="AH604" s="5" t="b">
        <f t="shared" si="56"/>
        <v>0</v>
      </c>
      <c r="AI604" s="5" t="b">
        <f t="shared" si="57"/>
        <v>1</v>
      </c>
      <c r="AJ604" t="e">
        <f t="shared" si="58"/>
        <v>#N/A</v>
      </c>
      <c r="AK604" t="e">
        <f t="shared" si="59"/>
        <v>#N/A</v>
      </c>
    </row>
    <row r="605" spans="1:37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  <c r="V605" s="1" t="s">
        <v>83</v>
      </c>
      <c r="W605" s="1" t="s">
        <v>108</v>
      </c>
      <c r="X605" s="1" t="s">
        <v>42</v>
      </c>
      <c r="Y605" s="1" t="s">
        <v>186</v>
      </c>
      <c r="Z605" s="1" t="s">
        <v>187</v>
      </c>
      <c r="AA605" s="1" t="s">
        <v>86</v>
      </c>
      <c r="AB605" s="1" t="s">
        <v>87</v>
      </c>
      <c r="AC605" s="1" t="s">
        <v>56</v>
      </c>
      <c r="AD605" s="1" t="s">
        <v>137</v>
      </c>
      <c r="AE605" s="1" t="s">
        <v>78</v>
      </c>
      <c r="AF605" s="5">
        <f t="shared" si="54"/>
        <v>45660</v>
      </c>
      <c r="AG605" s="5">
        <f t="shared" si="55"/>
        <v>45962</v>
      </c>
      <c r="AH605" s="5" t="b">
        <f t="shared" si="56"/>
        <v>1</v>
      </c>
      <c r="AI605" s="5" t="b">
        <f t="shared" si="57"/>
        <v>1</v>
      </c>
      <c r="AJ605" t="str">
        <f t="shared" si="58"/>
        <v>OK</v>
      </c>
      <c r="AK605">
        <f t="shared" si="59"/>
        <v>302</v>
      </c>
    </row>
    <row r="606" spans="1:37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  <c r="V606" s="1" t="s">
        <v>72</v>
      </c>
      <c r="W606" s="1" t="s">
        <v>26</v>
      </c>
      <c r="X606" s="1" t="s">
        <v>73</v>
      </c>
      <c r="Y606" s="1" t="s">
        <v>84</v>
      </c>
      <c r="Z606" s="1" t="s">
        <v>85</v>
      </c>
      <c r="AA606" s="1" t="s">
        <v>30</v>
      </c>
      <c r="AB606" s="1" t="s">
        <v>198</v>
      </c>
      <c r="AC606" s="1" t="s">
        <v>48</v>
      </c>
      <c r="AD606" s="1" t="s">
        <v>34</v>
      </c>
      <c r="AE606" s="1" t="s">
        <v>35</v>
      </c>
      <c r="AF606" s="5">
        <f t="shared" si="54"/>
        <v>45779</v>
      </c>
      <c r="AG606" s="5">
        <f t="shared" si="55"/>
        <v>45694</v>
      </c>
      <c r="AH606" s="5" t="b">
        <f t="shared" si="56"/>
        <v>1</v>
      </c>
      <c r="AI606" s="5" t="b">
        <f t="shared" si="57"/>
        <v>1</v>
      </c>
      <c r="AJ606" t="str">
        <f t="shared" si="58"/>
        <v>Invalid: Ship before Order</v>
      </c>
      <c r="AK606" t="e">
        <f t="shared" si="59"/>
        <v>#NUM!</v>
      </c>
    </row>
    <row r="607" spans="1:37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  <c r="V607" s="1" t="s">
        <v>366</v>
      </c>
      <c r="W607" s="1" t="s">
        <v>108</v>
      </c>
      <c r="X607" s="1" t="s">
        <v>73</v>
      </c>
      <c r="Y607" s="1" t="s">
        <v>249</v>
      </c>
      <c r="Z607" s="1" t="s">
        <v>250</v>
      </c>
      <c r="AA607" s="1" t="s">
        <v>45</v>
      </c>
      <c r="AB607" s="1" t="s">
        <v>65</v>
      </c>
      <c r="AC607" s="1" t="s">
        <v>33</v>
      </c>
      <c r="AD607" s="1" t="s">
        <v>34</v>
      </c>
      <c r="AE607" s="1" t="s">
        <v>78</v>
      </c>
      <c r="AF607" s="5">
        <f t="shared" si="54"/>
        <v>45847</v>
      </c>
      <c r="AG607" s="5">
        <f t="shared" si="55"/>
        <v>45851</v>
      </c>
      <c r="AH607" s="5" t="b">
        <f t="shared" si="56"/>
        <v>1</v>
      </c>
      <c r="AI607" s="5" t="b">
        <f t="shared" si="57"/>
        <v>1</v>
      </c>
      <c r="AJ607" t="str">
        <f t="shared" si="58"/>
        <v>OK</v>
      </c>
      <c r="AK607">
        <f t="shared" si="59"/>
        <v>4</v>
      </c>
    </row>
    <row r="608" spans="1:37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  <c r="V608" s="1" t="s">
        <v>148</v>
      </c>
      <c r="W608" s="1" t="s">
        <v>115</v>
      </c>
      <c r="X608" s="1" t="s">
        <v>73</v>
      </c>
      <c r="Y608" s="1" t="s">
        <v>84</v>
      </c>
      <c r="Z608" s="1" t="s">
        <v>85</v>
      </c>
      <c r="AA608" s="1" t="s">
        <v>86</v>
      </c>
      <c r="AB608" s="1" t="s">
        <v>94</v>
      </c>
      <c r="AC608" s="1" t="s">
        <v>48</v>
      </c>
      <c r="AD608" s="1" t="s">
        <v>34</v>
      </c>
      <c r="AE608" s="1" t="s">
        <v>35</v>
      </c>
      <c r="AF608" s="5">
        <f t="shared" si="54"/>
        <v>45710</v>
      </c>
      <c r="AG608" s="5">
        <f t="shared" si="55"/>
        <v>45716</v>
      </c>
      <c r="AH608" s="5" t="b">
        <f t="shared" si="56"/>
        <v>1</v>
      </c>
      <c r="AI608" s="5" t="b">
        <f t="shared" si="57"/>
        <v>1</v>
      </c>
      <c r="AJ608" t="str">
        <f t="shared" si="58"/>
        <v>OK</v>
      </c>
      <c r="AK608">
        <f t="shared" si="59"/>
        <v>6</v>
      </c>
    </row>
    <row r="609" spans="1:37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  <c r="V609" s="1" t="s">
        <v>168</v>
      </c>
      <c r="W609" s="1" t="s">
        <v>115</v>
      </c>
      <c r="X609" s="1" t="s">
        <v>42</v>
      </c>
      <c r="Y609" s="1" t="s">
        <v>186</v>
      </c>
      <c r="Z609" s="1" t="s">
        <v>187</v>
      </c>
      <c r="AA609" s="1" t="s">
        <v>30</v>
      </c>
      <c r="AB609" s="1" t="s">
        <v>156</v>
      </c>
      <c r="AC609" s="1" t="s">
        <v>48</v>
      </c>
      <c r="AD609" s="1" t="s">
        <v>34</v>
      </c>
      <c r="AE609" s="1" t="s">
        <v>35</v>
      </c>
      <c r="AF609" s="5" t="e">
        <f t="shared" si="54"/>
        <v>#N/A</v>
      </c>
      <c r="AG609" s="5">
        <f t="shared" si="55"/>
        <v>45710</v>
      </c>
      <c r="AH609" s="5" t="b">
        <f t="shared" si="56"/>
        <v>0</v>
      </c>
      <c r="AI609" s="5" t="b">
        <f t="shared" si="57"/>
        <v>1</v>
      </c>
      <c r="AJ609" t="e">
        <f t="shared" si="58"/>
        <v>#N/A</v>
      </c>
      <c r="AK609" t="e">
        <f t="shared" si="59"/>
        <v>#N/A</v>
      </c>
    </row>
    <row r="610" spans="1:37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  <c r="V610" s="1" t="s">
        <v>25</v>
      </c>
      <c r="W610" s="1" t="s">
        <v>115</v>
      </c>
      <c r="X610" s="1" t="s">
        <v>73</v>
      </c>
      <c r="Y610" s="1" t="s">
        <v>249</v>
      </c>
      <c r="Z610" s="1" t="s">
        <v>250</v>
      </c>
      <c r="AA610" s="1" t="s">
        <v>45</v>
      </c>
      <c r="AB610" s="1" t="s">
        <v>65</v>
      </c>
      <c r="AC610" s="1" t="s">
        <v>33</v>
      </c>
      <c r="AD610" s="1" t="s">
        <v>34</v>
      </c>
      <c r="AE610" s="1" t="s">
        <v>35</v>
      </c>
      <c r="AF610" s="5">
        <f t="shared" si="54"/>
        <v>45464</v>
      </c>
      <c r="AG610" s="5">
        <f t="shared" si="55"/>
        <v>45466</v>
      </c>
      <c r="AH610" s="5" t="b">
        <f t="shared" si="56"/>
        <v>1</v>
      </c>
      <c r="AI610" s="5" t="b">
        <f t="shared" si="57"/>
        <v>1</v>
      </c>
      <c r="AJ610" t="str">
        <f t="shared" si="58"/>
        <v>OK</v>
      </c>
      <c r="AK610">
        <f t="shared" si="59"/>
        <v>2</v>
      </c>
    </row>
    <row r="611" spans="1:37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  <c r="V611" s="1" t="s">
        <v>168</v>
      </c>
      <c r="W611" s="1" t="s">
        <v>115</v>
      </c>
      <c r="X611" s="1" t="s">
        <v>62</v>
      </c>
      <c r="Y611" s="1" t="s">
        <v>229</v>
      </c>
      <c r="Z611" s="1" t="s">
        <v>230</v>
      </c>
      <c r="AA611" s="1" t="s">
        <v>45</v>
      </c>
      <c r="AB611" s="1" t="s">
        <v>76</v>
      </c>
      <c r="AC611" s="1" t="s">
        <v>67</v>
      </c>
      <c r="AD611" s="1" t="s">
        <v>34</v>
      </c>
      <c r="AE611" s="1" t="s">
        <v>35</v>
      </c>
      <c r="AF611" s="5">
        <f t="shared" si="54"/>
        <v>45665</v>
      </c>
      <c r="AG611" s="5">
        <f t="shared" si="55"/>
        <v>45992</v>
      </c>
      <c r="AH611" s="5" t="b">
        <f t="shared" si="56"/>
        <v>1</v>
      </c>
      <c r="AI611" s="5" t="b">
        <f t="shared" si="57"/>
        <v>1</v>
      </c>
      <c r="AJ611" t="str">
        <f t="shared" si="58"/>
        <v>OK</v>
      </c>
      <c r="AK611">
        <f t="shared" si="59"/>
        <v>327</v>
      </c>
    </row>
    <row r="612" spans="1:37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  <c r="V612" s="1" t="s">
        <v>25</v>
      </c>
      <c r="W612" s="1" t="s">
        <v>115</v>
      </c>
      <c r="X612" s="1" t="s">
        <v>73</v>
      </c>
      <c r="Y612" s="1" t="s">
        <v>84</v>
      </c>
      <c r="Z612" s="1" t="s">
        <v>85</v>
      </c>
      <c r="AA612" s="1" t="s">
        <v>45</v>
      </c>
      <c r="AB612" s="1" t="s">
        <v>76</v>
      </c>
      <c r="AC612" s="1" t="s">
        <v>67</v>
      </c>
      <c r="AD612" s="1" t="s">
        <v>34</v>
      </c>
      <c r="AE612" s="1" t="s">
        <v>35</v>
      </c>
      <c r="AF612" s="5">
        <f t="shared" si="54"/>
        <v>45432</v>
      </c>
      <c r="AG612" s="5">
        <f t="shared" si="55"/>
        <v>45432</v>
      </c>
      <c r="AH612" s="5" t="b">
        <f t="shared" si="56"/>
        <v>1</v>
      </c>
      <c r="AI612" s="5" t="b">
        <f t="shared" si="57"/>
        <v>1</v>
      </c>
      <c r="AJ612" t="str">
        <f t="shared" si="58"/>
        <v>OK</v>
      </c>
      <c r="AK612">
        <f t="shared" si="59"/>
        <v>0</v>
      </c>
    </row>
    <row r="613" spans="1:37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  <c r="V613" s="1" t="s">
        <v>72</v>
      </c>
      <c r="W613" s="1" t="s">
        <v>41</v>
      </c>
      <c r="X613" s="1" t="s">
        <v>27</v>
      </c>
      <c r="Y613" s="1" t="s">
        <v>28</v>
      </c>
      <c r="Z613" s="1" t="s">
        <v>29</v>
      </c>
      <c r="AA613" s="1" t="s">
        <v>30</v>
      </c>
      <c r="AB613" s="1" t="s">
        <v>198</v>
      </c>
      <c r="AC613" s="1" t="s">
        <v>48</v>
      </c>
      <c r="AD613" s="1" t="s">
        <v>34</v>
      </c>
      <c r="AE613" s="1" t="s">
        <v>35</v>
      </c>
      <c r="AF613" s="5">
        <f t="shared" si="54"/>
        <v>45876</v>
      </c>
      <c r="AG613" s="5">
        <f t="shared" si="55"/>
        <v>45853</v>
      </c>
      <c r="AH613" s="5" t="b">
        <f t="shared" si="56"/>
        <v>1</v>
      </c>
      <c r="AI613" s="5" t="b">
        <f t="shared" si="57"/>
        <v>1</v>
      </c>
      <c r="AJ613" t="str">
        <f t="shared" si="58"/>
        <v>Invalid: Ship before Order</v>
      </c>
      <c r="AK613" t="e">
        <f t="shared" si="59"/>
        <v>#NUM!</v>
      </c>
    </row>
    <row r="614" spans="1:37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  <c r="V614" s="1" t="s">
        <v>107</v>
      </c>
      <c r="W614" s="1" t="s">
        <v>26</v>
      </c>
      <c r="X614" s="1" t="s">
        <v>4119</v>
      </c>
      <c r="Y614" s="1" t="s">
        <v>43</v>
      </c>
      <c r="Z614" s="1" t="s">
        <v>44</v>
      </c>
      <c r="AA614" s="1" t="s">
        <v>86</v>
      </c>
      <c r="AB614" s="1" t="s">
        <v>223</v>
      </c>
      <c r="AC614" s="1" t="s">
        <v>67</v>
      </c>
      <c r="AD614" s="1" t="s">
        <v>34</v>
      </c>
      <c r="AE614" s="1" t="s">
        <v>35</v>
      </c>
      <c r="AF614" s="5">
        <f t="shared" si="54"/>
        <v>45753</v>
      </c>
      <c r="AG614" s="5" t="e">
        <f t="shared" si="55"/>
        <v>#N/A</v>
      </c>
      <c r="AH614" s="5" t="b">
        <f t="shared" si="56"/>
        <v>1</v>
      </c>
      <c r="AI614" s="5" t="b">
        <f t="shared" si="57"/>
        <v>0</v>
      </c>
      <c r="AJ614" t="e">
        <f t="shared" si="58"/>
        <v>#N/A</v>
      </c>
      <c r="AK614" t="e">
        <f t="shared" si="59"/>
        <v>#N/A</v>
      </c>
    </row>
    <row r="615" spans="1:37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  <c r="V615" s="1" t="s">
        <v>210</v>
      </c>
      <c r="W615" s="1" t="s">
        <v>115</v>
      </c>
      <c r="X615" s="1" t="s">
        <v>73</v>
      </c>
      <c r="Y615" s="1" t="s">
        <v>235</v>
      </c>
      <c r="Z615" s="1" t="s">
        <v>236</v>
      </c>
      <c r="AA615" s="1" t="s">
        <v>86</v>
      </c>
      <c r="AB615" s="1" t="s">
        <v>382</v>
      </c>
      <c r="AC615" s="1" t="s">
        <v>48</v>
      </c>
      <c r="AD615" s="1" t="s">
        <v>34</v>
      </c>
      <c r="AE615" s="1" t="s">
        <v>35</v>
      </c>
      <c r="AF615" s="5">
        <f t="shared" si="54"/>
        <v>45570</v>
      </c>
      <c r="AG615" s="5">
        <f t="shared" si="55"/>
        <v>45575</v>
      </c>
      <c r="AH615" s="5" t="b">
        <f t="shared" si="56"/>
        <v>1</v>
      </c>
      <c r="AI615" s="5" t="b">
        <f t="shared" si="57"/>
        <v>1</v>
      </c>
      <c r="AJ615" t="str">
        <f t="shared" si="58"/>
        <v>OK</v>
      </c>
      <c r="AK615">
        <f t="shared" si="59"/>
        <v>5</v>
      </c>
    </row>
    <row r="616" spans="1:37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  <c r="V616" s="1" t="s">
        <v>72</v>
      </c>
      <c r="W616" s="1" t="s">
        <v>115</v>
      </c>
      <c r="X616" s="1" t="s">
        <v>62</v>
      </c>
      <c r="Y616" s="1" t="s">
        <v>63</v>
      </c>
      <c r="Z616" s="1" t="s">
        <v>64</v>
      </c>
      <c r="AA616" s="1" t="s">
        <v>45</v>
      </c>
      <c r="AB616" s="1" t="s">
        <v>76</v>
      </c>
      <c r="AC616" s="1" t="s">
        <v>67</v>
      </c>
      <c r="AD616" s="1" t="s">
        <v>124</v>
      </c>
      <c r="AE616" s="1" t="s">
        <v>78</v>
      </c>
      <c r="AF616" s="5">
        <f t="shared" si="54"/>
        <v>45598</v>
      </c>
      <c r="AG616" s="5" t="e">
        <f t="shared" si="55"/>
        <v>#N/A</v>
      </c>
      <c r="AH616" s="5" t="b">
        <f t="shared" si="56"/>
        <v>1</v>
      </c>
      <c r="AI616" s="5" t="b">
        <f t="shared" si="57"/>
        <v>0</v>
      </c>
      <c r="AJ616" t="e">
        <f t="shared" si="58"/>
        <v>#N/A</v>
      </c>
      <c r="AK616" t="e">
        <f t="shared" si="59"/>
        <v>#N/A</v>
      </c>
    </row>
    <row r="617" spans="1:37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  <c r="V617" s="1" t="s">
        <v>148</v>
      </c>
      <c r="W617" s="1" t="s">
        <v>108</v>
      </c>
      <c r="X617" s="1" t="s">
        <v>62</v>
      </c>
      <c r="Y617" s="1" t="s">
        <v>242</v>
      </c>
      <c r="Z617" s="1" t="s">
        <v>243</v>
      </c>
      <c r="AA617" s="1" t="s">
        <v>30</v>
      </c>
      <c r="AB617" s="1" t="s">
        <v>54</v>
      </c>
      <c r="AC617" s="1" t="s">
        <v>33</v>
      </c>
      <c r="AD617" s="1" t="s">
        <v>34</v>
      </c>
      <c r="AE617" s="1" t="s">
        <v>35</v>
      </c>
      <c r="AF617" s="5">
        <f t="shared" si="54"/>
        <v>45569</v>
      </c>
      <c r="AG617" s="5">
        <f t="shared" si="55"/>
        <v>45572</v>
      </c>
      <c r="AH617" s="5" t="b">
        <f t="shared" si="56"/>
        <v>1</v>
      </c>
      <c r="AI617" s="5" t="b">
        <f t="shared" si="57"/>
        <v>1</v>
      </c>
      <c r="AJ617" t="str">
        <f t="shared" si="58"/>
        <v>OK</v>
      </c>
      <c r="AK617">
        <f t="shared" si="59"/>
        <v>3</v>
      </c>
    </row>
    <row r="618" spans="1:37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  <c r="V618" s="1" t="s">
        <v>366</v>
      </c>
      <c r="W618" s="1" t="s">
        <v>26</v>
      </c>
      <c r="X618" s="1" t="s">
        <v>62</v>
      </c>
      <c r="Y618" s="1" t="s">
        <v>63</v>
      </c>
      <c r="Z618" s="1" t="s">
        <v>64</v>
      </c>
      <c r="AA618" s="1" t="s">
        <v>30</v>
      </c>
      <c r="AB618" s="1" t="s">
        <v>31</v>
      </c>
      <c r="AC618" s="1" t="s">
        <v>67</v>
      </c>
      <c r="AD618" s="1" t="s">
        <v>34</v>
      </c>
      <c r="AE618" s="1" t="s">
        <v>35</v>
      </c>
      <c r="AF618" s="5">
        <f t="shared" si="54"/>
        <v>45520</v>
      </c>
      <c r="AG618" s="5" t="e">
        <f t="shared" si="55"/>
        <v>#N/A</v>
      </c>
      <c r="AH618" s="5" t="b">
        <f t="shared" si="56"/>
        <v>1</v>
      </c>
      <c r="AI618" s="5" t="b">
        <f t="shared" si="57"/>
        <v>0</v>
      </c>
      <c r="AJ618" t="e">
        <f t="shared" si="58"/>
        <v>#N/A</v>
      </c>
      <c r="AK618" t="e">
        <f t="shared" si="59"/>
        <v>#N/A</v>
      </c>
    </row>
    <row r="619" spans="1:37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  <c r="V619" s="1" t="s">
        <v>40</v>
      </c>
      <c r="W619" s="1" t="s">
        <v>115</v>
      </c>
      <c r="X619" s="1" t="s">
        <v>62</v>
      </c>
      <c r="Y619" s="1" t="s">
        <v>63</v>
      </c>
      <c r="Z619" s="1" t="s">
        <v>64</v>
      </c>
      <c r="AA619" s="1" t="s">
        <v>86</v>
      </c>
      <c r="AB619" s="1" t="s">
        <v>223</v>
      </c>
      <c r="AC619" s="1" t="s">
        <v>67</v>
      </c>
      <c r="AD619" s="1" t="s">
        <v>34</v>
      </c>
      <c r="AE619" s="1" t="s">
        <v>35</v>
      </c>
      <c r="AF619" s="5">
        <f t="shared" si="54"/>
        <v>45564</v>
      </c>
      <c r="AG619" s="5">
        <f t="shared" si="55"/>
        <v>45565</v>
      </c>
      <c r="AH619" s="5" t="b">
        <f t="shared" si="56"/>
        <v>1</v>
      </c>
      <c r="AI619" s="5" t="b">
        <f t="shared" si="57"/>
        <v>1</v>
      </c>
      <c r="AJ619" t="str">
        <f t="shared" si="58"/>
        <v>OK</v>
      </c>
      <c r="AK619">
        <f t="shared" si="59"/>
        <v>1</v>
      </c>
    </row>
    <row r="620" spans="1:37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  <c r="V620" s="1" t="s">
        <v>366</v>
      </c>
      <c r="W620" s="1" t="s">
        <v>108</v>
      </c>
      <c r="X620" s="1" t="s">
        <v>27</v>
      </c>
      <c r="Y620" s="1" t="s">
        <v>28</v>
      </c>
      <c r="Z620" s="1" t="s">
        <v>29</v>
      </c>
      <c r="AA620" s="1" t="s">
        <v>45</v>
      </c>
      <c r="AB620" s="1" t="s">
        <v>46</v>
      </c>
      <c r="AC620" s="1" t="s">
        <v>48</v>
      </c>
      <c r="AD620" s="1" t="s">
        <v>200</v>
      </c>
      <c r="AE620" s="1" t="s">
        <v>78</v>
      </c>
      <c r="AF620" s="5">
        <f t="shared" si="54"/>
        <v>45496</v>
      </c>
      <c r="AG620" s="5">
        <f t="shared" si="55"/>
        <v>45503</v>
      </c>
      <c r="AH620" s="5" t="b">
        <f t="shared" si="56"/>
        <v>1</v>
      </c>
      <c r="AI620" s="5" t="b">
        <f t="shared" si="57"/>
        <v>1</v>
      </c>
      <c r="AJ620" t="str">
        <f t="shared" si="58"/>
        <v>OK</v>
      </c>
      <c r="AK620">
        <f t="shared" si="59"/>
        <v>7</v>
      </c>
    </row>
    <row r="621" spans="1:37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  <c r="V621" s="1" t="s">
        <v>142</v>
      </c>
      <c r="W621" s="1" t="s">
        <v>108</v>
      </c>
      <c r="X621" s="1" t="s">
        <v>62</v>
      </c>
      <c r="Y621" s="1" t="s">
        <v>339</v>
      </c>
      <c r="Z621" s="1" t="s">
        <v>340</v>
      </c>
      <c r="AA621" s="1" t="s">
        <v>30</v>
      </c>
      <c r="AB621" s="1" t="s">
        <v>198</v>
      </c>
      <c r="AC621" s="1" t="s">
        <v>56</v>
      </c>
      <c r="AD621" s="1" t="s">
        <v>124</v>
      </c>
      <c r="AE621" s="1" t="s">
        <v>125</v>
      </c>
      <c r="AF621" s="5">
        <f t="shared" si="54"/>
        <v>45618</v>
      </c>
      <c r="AG621" s="5">
        <f t="shared" si="55"/>
        <v>45623</v>
      </c>
      <c r="AH621" s="5" t="b">
        <f t="shared" si="56"/>
        <v>1</v>
      </c>
      <c r="AI621" s="5" t="b">
        <f t="shared" si="57"/>
        <v>1</v>
      </c>
      <c r="AJ621" t="str">
        <f t="shared" si="58"/>
        <v>OK</v>
      </c>
      <c r="AK621">
        <f t="shared" si="59"/>
        <v>5</v>
      </c>
    </row>
    <row r="622" spans="1:37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  <c r="V622" s="1" t="s">
        <v>83</v>
      </c>
      <c r="W622" s="1" t="s">
        <v>26</v>
      </c>
      <c r="X622" s="1" t="s">
        <v>27</v>
      </c>
      <c r="Y622" s="1" t="s">
        <v>174</v>
      </c>
      <c r="Z622" s="1" t="s">
        <v>175</v>
      </c>
      <c r="AA622" s="1" t="s">
        <v>86</v>
      </c>
      <c r="AB622" s="1" t="s">
        <v>382</v>
      </c>
      <c r="AC622" s="1" t="s">
        <v>67</v>
      </c>
      <c r="AD622" s="1" t="s">
        <v>34</v>
      </c>
      <c r="AE622" s="1" t="s">
        <v>35</v>
      </c>
      <c r="AF622" s="5" t="e">
        <f t="shared" si="54"/>
        <v>#N/A</v>
      </c>
      <c r="AG622" s="5">
        <f t="shared" si="55"/>
        <v>45525</v>
      </c>
      <c r="AH622" s="5" t="b">
        <f t="shared" si="56"/>
        <v>0</v>
      </c>
      <c r="AI622" s="5" t="b">
        <f t="shared" si="57"/>
        <v>1</v>
      </c>
      <c r="AJ622" t="e">
        <f t="shared" si="58"/>
        <v>#N/A</v>
      </c>
      <c r="AK622" t="e">
        <f t="shared" si="59"/>
        <v>#N/A</v>
      </c>
    </row>
    <row r="623" spans="1:37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  <c r="V623" s="1" t="s">
        <v>107</v>
      </c>
      <c r="W623" s="1" t="s">
        <v>26</v>
      </c>
      <c r="X623" s="1" t="s">
        <v>73</v>
      </c>
      <c r="Y623" s="1" t="s">
        <v>74</v>
      </c>
      <c r="Z623" s="1" t="s">
        <v>75</v>
      </c>
      <c r="AA623" s="1" t="s">
        <v>45</v>
      </c>
      <c r="AB623" s="1" t="s">
        <v>76</v>
      </c>
      <c r="AC623" s="1" t="s">
        <v>48</v>
      </c>
      <c r="AD623" s="1" t="s">
        <v>34</v>
      </c>
      <c r="AE623" s="1" t="s">
        <v>35</v>
      </c>
      <c r="AF623" s="5" t="e">
        <f t="shared" si="54"/>
        <v>#N/A</v>
      </c>
      <c r="AG623" s="5">
        <f t="shared" si="55"/>
        <v>45455</v>
      </c>
      <c r="AH623" s="5" t="b">
        <f t="shared" si="56"/>
        <v>0</v>
      </c>
      <c r="AI623" s="5" t="b">
        <f t="shared" si="57"/>
        <v>1</v>
      </c>
      <c r="AJ623" t="e">
        <f t="shared" si="58"/>
        <v>#N/A</v>
      </c>
      <c r="AK623" t="e">
        <f t="shared" si="59"/>
        <v>#N/A</v>
      </c>
    </row>
    <row r="624" spans="1:37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  <c r="V624" s="1" t="s">
        <v>83</v>
      </c>
      <c r="W624" s="1" t="s">
        <v>26</v>
      </c>
      <c r="X624" s="1" t="s">
        <v>42</v>
      </c>
      <c r="Y624" s="1" t="s">
        <v>186</v>
      </c>
      <c r="Z624" s="1" t="s">
        <v>187</v>
      </c>
      <c r="AA624" s="1" t="s">
        <v>30</v>
      </c>
      <c r="AB624" s="1" t="s">
        <v>156</v>
      </c>
      <c r="AC624" s="1" t="s">
        <v>67</v>
      </c>
      <c r="AD624" s="1" t="s">
        <v>34</v>
      </c>
      <c r="AE624" s="1" t="s">
        <v>35</v>
      </c>
      <c r="AF624" s="5" t="e">
        <f t="shared" si="54"/>
        <v>#N/A</v>
      </c>
      <c r="AG624" s="5">
        <f t="shared" si="55"/>
        <v>45694</v>
      </c>
      <c r="AH624" s="5" t="b">
        <f t="shared" si="56"/>
        <v>0</v>
      </c>
      <c r="AI624" s="5" t="b">
        <f t="shared" si="57"/>
        <v>1</v>
      </c>
      <c r="AJ624" t="e">
        <f t="shared" si="58"/>
        <v>#N/A</v>
      </c>
      <c r="AK624" t="e">
        <f t="shared" si="59"/>
        <v>#N/A</v>
      </c>
    </row>
    <row r="625" spans="1:37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  <c r="V625" s="1" t="s">
        <v>83</v>
      </c>
      <c r="W625" s="1" t="s">
        <v>115</v>
      </c>
      <c r="X625" s="1" t="s">
        <v>27</v>
      </c>
      <c r="Y625" s="1" t="s">
        <v>154</v>
      </c>
      <c r="Z625" s="1" t="s">
        <v>155</v>
      </c>
      <c r="AA625" s="1" t="s">
        <v>30</v>
      </c>
      <c r="AB625" s="1" t="s">
        <v>156</v>
      </c>
      <c r="AC625" s="1" t="s">
        <v>33</v>
      </c>
      <c r="AD625" s="1" t="s">
        <v>34</v>
      </c>
      <c r="AE625" s="1" t="s">
        <v>35</v>
      </c>
      <c r="AF625" s="5">
        <f t="shared" si="54"/>
        <v>45512</v>
      </c>
      <c r="AG625" s="5">
        <f t="shared" si="55"/>
        <v>45518</v>
      </c>
      <c r="AH625" s="5" t="b">
        <f t="shared" si="56"/>
        <v>1</v>
      </c>
      <c r="AI625" s="5" t="b">
        <f t="shared" si="57"/>
        <v>1</v>
      </c>
      <c r="AJ625" t="str">
        <f t="shared" si="58"/>
        <v>OK</v>
      </c>
      <c r="AK625">
        <f t="shared" si="59"/>
        <v>6</v>
      </c>
    </row>
    <row r="626" spans="1:37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  <c r="V626" s="1" t="s">
        <v>93</v>
      </c>
      <c r="W626" s="1" t="s">
        <v>115</v>
      </c>
      <c r="X626" s="1" t="s">
        <v>42</v>
      </c>
      <c r="Y626" s="1" t="s">
        <v>216</v>
      </c>
      <c r="Z626" s="1" t="s">
        <v>217</v>
      </c>
      <c r="AA626" s="1" t="s">
        <v>45</v>
      </c>
      <c r="AB626" s="1" t="s">
        <v>76</v>
      </c>
      <c r="AC626" s="1" t="s">
        <v>56</v>
      </c>
      <c r="AD626" s="1" t="s">
        <v>34</v>
      </c>
      <c r="AE626" s="1" t="s">
        <v>35</v>
      </c>
      <c r="AF626" s="5">
        <f t="shared" si="54"/>
        <v>45321</v>
      </c>
      <c r="AG626" s="5">
        <f t="shared" si="55"/>
        <v>45323</v>
      </c>
      <c r="AH626" s="5" t="b">
        <f t="shared" si="56"/>
        <v>1</v>
      </c>
      <c r="AI626" s="5" t="b">
        <f t="shared" si="57"/>
        <v>1</v>
      </c>
      <c r="AJ626" t="str">
        <f t="shared" si="58"/>
        <v>OK</v>
      </c>
      <c r="AK626">
        <f t="shared" si="59"/>
        <v>2</v>
      </c>
    </row>
    <row r="627" spans="1:37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  <c r="V627" s="1" t="s">
        <v>210</v>
      </c>
      <c r="W627" s="1" t="s">
        <v>108</v>
      </c>
      <c r="X627" s="1" t="s">
        <v>73</v>
      </c>
      <c r="Y627" s="1" t="s">
        <v>28</v>
      </c>
      <c r="Z627" s="1" t="s">
        <v>135</v>
      </c>
      <c r="AA627" s="1" t="s">
        <v>45</v>
      </c>
      <c r="AB627" s="1" t="s">
        <v>76</v>
      </c>
      <c r="AC627" s="1" t="s">
        <v>48</v>
      </c>
      <c r="AD627" s="1" t="s">
        <v>34</v>
      </c>
      <c r="AE627" s="1" t="s">
        <v>35</v>
      </c>
      <c r="AF627" s="5">
        <f t="shared" si="54"/>
        <v>45641</v>
      </c>
      <c r="AG627" s="5">
        <f t="shared" si="55"/>
        <v>45647</v>
      </c>
      <c r="AH627" s="5" t="b">
        <f t="shared" si="56"/>
        <v>1</v>
      </c>
      <c r="AI627" s="5" t="b">
        <f t="shared" si="57"/>
        <v>1</v>
      </c>
      <c r="AJ627" t="str">
        <f t="shared" si="58"/>
        <v>OK</v>
      </c>
      <c r="AK627">
        <f t="shared" si="59"/>
        <v>6</v>
      </c>
    </row>
    <row r="628" spans="1:37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  <c r="V628" s="1" t="s">
        <v>168</v>
      </c>
      <c r="W628" s="1" t="s">
        <v>115</v>
      </c>
      <c r="X628" s="1" t="s">
        <v>42</v>
      </c>
      <c r="Y628" s="1" t="s">
        <v>216</v>
      </c>
      <c r="Z628" s="1" t="s">
        <v>217</v>
      </c>
      <c r="AA628" s="1" t="s">
        <v>86</v>
      </c>
      <c r="AB628" s="1" t="s">
        <v>382</v>
      </c>
      <c r="AC628" s="1" t="s">
        <v>67</v>
      </c>
      <c r="AD628" s="1" t="s">
        <v>137</v>
      </c>
      <c r="AE628" s="1" t="s">
        <v>125</v>
      </c>
      <c r="AF628" s="5">
        <f t="shared" si="54"/>
        <v>45753</v>
      </c>
      <c r="AG628" s="5">
        <f t="shared" si="55"/>
        <v>45815</v>
      </c>
      <c r="AH628" s="5" t="b">
        <f t="shared" si="56"/>
        <v>1</v>
      </c>
      <c r="AI628" s="5" t="b">
        <f t="shared" si="57"/>
        <v>1</v>
      </c>
      <c r="AJ628" t="str">
        <f t="shared" si="58"/>
        <v>OK</v>
      </c>
      <c r="AK628">
        <f t="shared" si="59"/>
        <v>62</v>
      </c>
    </row>
    <row r="629" spans="1:37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  <c r="V629" s="1" t="s">
        <v>25</v>
      </c>
      <c r="W629" s="1" t="s">
        <v>41</v>
      </c>
      <c r="X629" s="1" t="s">
        <v>62</v>
      </c>
      <c r="Y629" s="1" t="s">
        <v>242</v>
      </c>
      <c r="Z629" s="1" t="s">
        <v>243</v>
      </c>
      <c r="AA629" s="1" t="s">
        <v>86</v>
      </c>
      <c r="AB629" s="1" t="s">
        <v>223</v>
      </c>
      <c r="AC629" s="1" t="s">
        <v>33</v>
      </c>
      <c r="AD629" s="1" t="s">
        <v>137</v>
      </c>
      <c r="AE629" s="1" t="s">
        <v>78</v>
      </c>
      <c r="AF629" s="5">
        <f t="shared" si="54"/>
        <v>45701</v>
      </c>
      <c r="AG629" s="5" t="e">
        <f t="shared" si="55"/>
        <v>#N/A</v>
      </c>
      <c r="AH629" s="5" t="b">
        <f t="shared" si="56"/>
        <v>1</v>
      </c>
      <c r="AI629" s="5" t="b">
        <f t="shared" si="57"/>
        <v>0</v>
      </c>
      <c r="AJ629" t="e">
        <f t="shared" si="58"/>
        <v>#N/A</v>
      </c>
      <c r="AK629" t="e">
        <f t="shared" si="59"/>
        <v>#N/A</v>
      </c>
    </row>
    <row r="630" spans="1:37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  <c r="V630" s="1" t="s">
        <v>72</v>
      </c>
      <c r="W630" s="1" t="s">
        <v>115</v>
      </c>
      <c r="X630" s="1" t="s">
        <v>42</v>
      </c>
      <c r="Y630" s="1" t="s">
        <v>311</v>
      </c>
      <c r="Z630" s="1" t="s">
        <v>312</v>
      </c>
      <c r="AA630" s="1" t="s">
        <v>86</v>
      </c>
      <c r="AB630" s="1" t="s">
        <v>87</v>
      </c>
      <c r="AC630" s="1" t="s">
        <v>48</v>
      </c>
      <c r="AD630" s="1" t="s">
        <v>34</v>
      </c>
      <c r="AE630" s="1" t="s">
        <v>35</v>
      </c>
      <c r="AF630" s="5">
        <f t="shared" si="54"/>
        <v>45935</v>
      </c>
      <c r="AG630" s="5">
        <f t="shared" si="55"/>
        <v>45942</v>
      </c>
      <c r="AH630" s="5" t="b">
        <f t="shared" si="56"/>
        <v>1</v>
      </c>
      <c r="AI630" s="5" t="b">
        <f t="shared" si="57"/>
        <v>1</v>
      </c>
      <c r="AJ630" t="str">
        <f t="shared" si="58"/>
        <v>OK</v>
      </c>
      <c r="AK630">
        <f t="shared" si="59"/>
        <v>7</v>
      </c>
    </row>
    <row r="631" spans="1:37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  <c r="V631" s="1" t="s">
        <v>61</v>
      </c>
      <c r="W631" s="1" t="s">
        <v>115</v>
      </c>
      <c r="X631" s="1" t="s">
        <v>73</v>
      </c>
      <c r="Y631" s="1" t="s">
        <v>235</v>
      </c>
      <c r="Z631" s="1" t="s">
        <v>236</v>
      </c>
      <c r="AA631" s="1" t="s">
        <v>45</v>
      </c>
      <c r="AB631" s="1" t="s">
        <v>46</v>
      </c>
      <c r="AC631" s="1" t="s">
        <v>48</v>
      </c>
      <c r="AD631" s="1" t="s">
        <v>34</v>
      </c>
      <c r="AE631" s="1" t="s">
        <v>35</v>
      </c>
      <c r="AF631" s="5">
        <f t="shared" si="54"/>
        <v>45910</v>
      </c>
      <c r="AG631" s="5">
        <f t="shared" si="55"/>
        <v>45914</v>
      </c>
      <c r="AH631" s="5" t="b">
        <f t="shared" si="56"/>
        <v>1</v>
      </c>
      <c r="AI631" s="5" t="b">
        <f t="shared" si="57"/>
        <v>1</v>
      </c>
      <c r="AJ631" t="str">
        <f t="shared" si="58"/>
        <v>OK</v>
      </c>
      <c r="AK631">
        <f t="shared" si="59"/>
        <v>4</v>
      </c>
    </row>
    <row r="632" spans="1:37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  <c r="V632" s="1" t="s">
        <v>142</v>
      </c>
      <c r="W632" s="1" t="s">
        <v>108</v>
      </c>
      <c r="X632" s="1" t="s">
        <v>42</v>
      </c>
      <c r="Y632" s="1" t="s">
        <v>216</v>
      </c>
      <c r="Z632" s="1" t="s">
        <v>217</v>
      </c>
      <c r="AA632" s="1" t="s">
        <v>30</v>
      </c>
      <c r="AB632" s="1" t="s">
        <v>31</v>
      </c>
      <c r="AC632" s="1" t="s">
        <v>67</v>
      </c>
      <c r="AD632" s="1" t="s">
        <v>34</v>
      </c>
      <c r="AE632" s="1" t="s">
        <v>35</v>
      </c>
      <c r="AF632" s="5">
        <f t="shared" si="54"/>
        <v>45391</v>
      </c>
      <c r="AG632" s="5">
        <f t="shared" si="55"/>
        <v>45392</v>
      </c>
      <c r="AH632" s="5" t="b">
        <f t="shared" si="56"/>
        <v>1</v>
      </c>
      <c r="AI632" s="5" t="b">
        <f t="shared" si="57"/>
        <v>1</v>
      </c>
      <c r="AJ632" t="str">
        <f t="shared" si="58"/>
        <v>OK</v>
      </c>
      <c r="AK632">
        <f t="shared" si="59"/>
        <v>1</v>
      </c>
    </row>
    <row r="633" spans="1:37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  <c r="V633" s="1" t="s">
        <v>162</v>
      </c>
      <c r="W633" s="1" t="s">
        <v>115</v>
      </c>
      <c r="X633" s="1" t="s">
        <v>73</v>
      </c>
      <c r="Y633" s="1" t="s">
        <v>28</v>
      </c>
      <c r="Z633" s="1" t="s">
        <v>135</v>
      </c>
      <c r="AA633" s="1" t="s">
        <v>45</v>
      </c>
      <c r="AB633" s="1" t="s">
        <v>76</v>
      </c>
      <c r="AC633" s="1" t="s">
        <v>67</v>
      </c>
      <c r="AD633" s="1" t="s">
        <v>34</v>
      </c>
      <c r="AE633" s="1" t="s">
        <v>35</v>
      </c>
      <c r="AF633" s="5">
        <f t="shared" si="54"/>
        <v>45392</v>
      </c>
      <c r="AG633" s="5" t="e">
        <f t="shared" si="55"/>
        <v>#N/A</v>
      </c>
      <c r="AH633" s="5" t="b">
        <f t="shared" si="56"/>
        <v>1</v>
      </c>
      <c r="AI633" s="5" t="b">
        <f t="shared" si="57"/>
        <v>0</v>
      </c>
      <c r="AJ633" t="e">
        <f t="shared" si="58"/>
        <v>#N/A</v>
      </c>
      <c r="AK633" t="e">
        <f t="shared" si="59"/>
        <v>#N/A</v>
      </c>
    </row>
    <row r="634" spans="1:37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  <c r="V634" s="1" t="s">
        <v>168</v>
      </c>
      <c r="W634" s="1" t="s">
        <v>41</v>
      </c>
      <c r="X634" s="1" t="s">
        <v>62</v>
      </c>
      <c r="Y634" s="1" t="s">
        <v>229</v>
      </c>
      <c r="Z634" s="1" t="s">
        <v>230</v>
      </c>
      <c r="AA634" s="1" t="s">
        <v>45</v>
      </c>
      <c r="AB634" s="1" t="s">
        <v>65</v>
      </c>
      <c r="AC634" s="1" t="s">
        <v>56</v>
      </c>
      <c r="AD634" s="1" t="s">
        <v>34</v>
      </c>
      <c r="AE634" s="1" t="s">
        <v>35</v>
      </c>
      <c r="AF634" s="5" t="e">
        <f t="shared" si="54"/>
        <v>#N/A</v>
      </c>
      <c r="AG634" s="5" t="e">
        <f t="shared" si="55"/>
        <v>#N/A</v>
      </c>
      <c r="AH634" s="5" t="b">
        <f t="shared" si="56"/>
        <v>0</v>
      </c>
      <c r="AI634" s="5" t="b">
        <f t="shared" si="57"/>
        <v>0</v>
      </c>
      <c r="AJ634" t="e">
        <f t="shared" si="58"/>
        <v>#N/A</v>
      </c>
      <c r="AK634" t="e">
        <f t="shared" si="59"/>
        <v>#N/A</v>
      </c>
    </row>
    <row r="635" spans="1:37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  <c r="V635" s="1" t="s">
        <v>162</v>
      </c>
      <c r="W635" s="1" t="s">
        <v>41</v>
      </c>
      <c r="X635" s="1" t="s">
        <v>62</v>
      </c>
      <c r="Y635" s="1" t="s">
        <v>339</v>
      </c>
      <c r="Z635" s="1" t="s">
        <v>340</v>
      </c>
      <c r="AA635" s="1" t="s">
        <v>86</v>
      </c>
      <c r="AB635" s="1" t="s">
        <v>87</v>
      </c>
      <c r="AC635" s="1" t="s">
        <v>33</v>
      </c>
      <c r="AD635" s="1" t="s">
        <v>34</v>
      </c>
      <c r="AE635" s="1" t="s">
        <v>35</v>
      </c>
      <c r="AF635" s="5">
        <f t="shared" si="54"/>
        <v>45765</v>
      </c>
      <c r="AG635" s="5">
        <f t="shared" si="55"/>
        <v>45767</v>
      </c>
      <c r="AH635" s="5" t="b">
        <f t="shared" si="56"/>
        <v>1</v>
      </c>
      <c r="AI635" s="5" t="b">
        <f t="shared" si="57"/>
        <v>1</v>
      </c>
      <c r="AJ635" t="str">
        <f t="shared" si="58"/>
        <v>OK</v>
      </c>
      <c r="AK635">
        <f t="shared" si="59"/>
        <v>2</v>
      </c>
    </row>
    <row r="636" spans="1:37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  <c r="V636" s="1" t="s">
        <v>107</v>
      </c>
      <c r="W636" s="1" t="s">
        <v>26</v>
      </c>
      <c r="X636" s="1" t="s">
        <v>62</v>
      </c>
      <c r="Y636" s="1" t="s">
        <v>63</v>
      </c>
      <c r="Z636" s="1" t="s">
        <v>64</v>
      </c>
      <c r="AA636" s="1" t="s">
        <v>45</v>
      </c>
      <c r="AB636" s="1" t="s">
        <v>76</v>
      </c>
      <c r="AC636" s="1" t="s">
        <v>33</v>
      </c>
      <c r="AD636" s="1" t="s">
        <v>34</v>
      </c>
      <c r="AE636" s="1" t="s">
        <v>35</v>
      </c>
      <c r="AF636" s="5">
        <f t="shared" si="54"/>
        <v>45668</v>
      </c>
      <c r="AG636" s="5">
        <f t="shared" si="55"/>
        <v>45669</v>
      </c>
      <c r="AH636" s="5" t="b">
        <f t="shared" si="56"/>
        <v>1</v>
      </c>
      <c r="AI636" s="5" t="b">
        <f t="shared" si="57"/>
        <v>1</v>
      </c>
      <c r="AJ636" t="str">
        <f t="shared" si="58"/>
        <v>OK</v>
      </c>
      <c r="AK636">
        <f t="shared" si="59"/>
        <v>1</v>
      </c>
    </row>
    <row r="637" spans="1:37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  <c r="V637" s="1" t="s">
        <v>40</v>
      </c>
      <c r="W637" s="1" t="s">
        <v>108</v>
      </c>
      <c r="X637" s="1" t="s">
        <v>62</v>
      </c>
      <c r="Y637" s="1" t="s">
        <v>100</v>
      </c>
      <c r="Z637" s="1" t="s">
        <v>101</v>
      </c>
      <c r="AA637" s="1" t="s">
        <v>45</v>
      </c>
      <c r="AB637" s="1" t="s">
        <v>76</v>
      </c>
      <c r="AC637" s="1" t="s">
        <v>48</v>
      </c>
      <c r="AD637" s="1" t="s">
        <v>34</v>
      </c>
      <c r="AE637" s="1" t="s">
        <v>35</v>
      </c>
      <c r="AF637" s="5">
        <f t="shared" si="54"/>
        <v>45432</v>
      </c>
      <c r="AG637" s="5">
        <f t="shared" si="55"/>
        <v>45437</v>
      </c>
      <c r="AH637" s="5" t="b">
        <f t="shared" si="56"/>
        <v>1</v>
      </c>
      <c r="AI637" s="5" t="b">
        <f t="shared" si="57"/>
        <v>1</v>
      </c>
      <c r="AJ637" t="str">
        <f t="shared" si="58"/>
        <v>OK</v>
      </c>
      <c r="AK637">
        <f t="shared" si="59"/>
        <v>5</v>
      </c>
    </row>
    <row r="638" spans="1:37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  <c r="V638" s="1" t="s">
        <v>72</v>
      </c>
      <c r="W638" s="1" t="s">
        <v>26</v>
      </c>
      <c r="X638" s="1" t="s">
        <v>62</v>
      </c>
      <c r="Y638" s="1" t="s">
        <v>339</v>
      </c>
      <c r="Z638" s="1" t="s">
        <v>340</v>
      </c>
      <c r="AA638" s="1" t="s">
        <v>30</v>
      </c>
      <c r="AB638" s="1" t="s">
        <v>31</v>
      </c>
      <c r="AC638" s="1" t="s">
        <v>67</v>
      </c>
      <c r="AD638" s="1" t="s">
        <v>34</v>
      </c>
      <c r="AE638" s="1" t="s">
        <v>35</v>
      </c>
      <c r="AF638" s="5">
        <f t="shared" si="54"/>
        <v>45567</v>
      </c>
      <c r="AG638" s="5">
        <f t="shared" si="55"/>
        <v>45574</v>
      </c>
      <c r="AH638" s="5" t="b">
        <f t="shared" si="56"/>
        <v>1</v>
      </c>
      <c r="AI638" s="5" t="b">
        <f t="shared" si="57"/>
        <v>1</v>
      </c>
      <c r="AJ638" t="str">
        <f t="shared" si="58"/>
        <v>OK</v>
      </c>
      <c r="AK638">
        <f t="shared" si="59"/>
        <v>7</v>
      </c>
    </row>
    <row r="639" spans="1:37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  <c r="V639" s="1" t="s">
        <v>148</v>
      </c>
      <c r="W639" s="1" t="s">
        <v>41</v>
      </c>
      <c r="X639" s="1" t="s">
        <v>73</v>
      </c>
      <c r="Y639" s="1" t="s">
        <v>249</v>
      </c>
      <c r="Z639" s="1" t="s">
        <v>250</v>
      </c>
      <c r="AA639" s="1" t="s">
        <v>86</v>
      </c>
      <c r="AB639" s="1" t="s">
        <v>94</v>
      </c>
      <c r="AC639" s="1" t="s">
        <v>56</v>
      </c>
      <c r="AD639" s="1" t="s">
        <v>34</v>
      </c>
      <c r="AE639" s="1" t="s">
        <v>35</v>
      </c>
      <c r="AF639" s="5" t="e">
        <f t="shared" si="54"/>
        <v>#N/A</v>
      </c>
      <c r="AG639" s="5">
        <f t="shared" si="55"/>
        <v>45438</v>
      </c>
      <c r="AH639" s="5" t="b">
        <f t="shared" si="56"/>
        <v>0</v>
      </c>
      <c r="AI639" s="5" t="b">
        <f t="shared" si="57"/>
        <v>1</v>
      </c>
      <c r="AJ639" t="e">
        <f t="shared" si="58"/>
        <v>#N/A</v>
      </c>
      <c r="AK639" t="e">
        <f t="shared" si="59"/>
        <v>#N/A</v>
      </c>
    </row>
    <row r="640" spans="1:37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  <c r="V640" s="1" t="s">
        <v>25</v>
      </c>
      <c r="W640" s="1" t="s">
        <v>108</v>
      </c>
      <c r="X640" s="1" t="s">
        <v>62</v>
      </c>
      <c r="Y640" s="1" t="s">
        <v>242</v>
      </c>
      <c r="Z640" s="1" t="s">
        <v>243</v>
      </c>
      <c r="AA640" s="1" t="s">
        <v>30</v>
      </c>
      <c r="AB640" s="1" t="s">
        <v>156</v>
      </c>
      <c r="AC640" s="1" t="s">
        <v>33</v>
      </c>
      <c r="AD640" s="1" t="s">
        <v>200</v>
      </c>
      <c r="AE640" s="1" t="s">
        <v>125</v>
      </c>
      <c r="AF640" s="5">
        <f t="shared" si="54"/>
        <v>45317</v>
      </c>
      <c r="AG640" s="5" t="e">
        <f t="shared" si="55"/>
        <v>#N/A</v>
      </c>
      <c r="AH640" s="5" t="b">
        <f t="shared" si="56"/>
        <v>1</v>
      </c>
      <c r="AI640" s="5" t="b">
        <f t="shared" si="57"/>
        <v>0</v>
      </c>
      <c r="AJ640" t="e">
        <f t="shared" si="58"/>
        <v>#N/A</v>
      </c>
      <c r="AK640" t="e">
        <f t="shared" si="59"/>
        <v>#N/A</v>
      </c>
    </row>
    <row r="641" spans="1:37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  <c r="V641" s="1" t="s">
        <v>53</v>
      </c>
      <c r="W641" s="1" t="s">
        <v>41</v>
      </c>
      <c r="X641" s="1" t="s">
        <v>42</v>
      </c>
      <c r="Y641" s="1" t="s">
        <v>43</v>
      </c>
      <c r="Z641" s="1" t="s">
        <v>44</v>
      </c>
      <c r="AA641" s="1" t="s">
        <v>45</v>
      </c>
      <c r="AB641" s="1" t="s">
        <v>76</v>
      </c>
      <c r="AC641" s="1" t="s">
        <v>33</v>
      </c>
      <c r="AD641" s="1" t="s">
        <v>34</v>
      </c>
      <c r="AE641" s="1" t="s">
        <v>35</v>
      </c>
      <c r="AF641" s="5">
        <f t="shared" si="54"/>
        <v>45653</v>
      </c>
      <c r="AG641" s="5" t="e">
        <f t="shared" si="55"/>
        <v>#N/A</v>
      </c>
      <c r="AH641" s="5" t="b">
        <f t="shared" si="56"/>
        <v>1</v>
      </c>
      <c r="AI641" s="5" t="b">
        <f t="shared" si="57"/>
        <v>0</v>
      </c>
      <c r="AJ641" t="e">
        <f t="shared" si="58"/>
        <v>#N/A</v>
      </c>
      <c r="AK641" t="e">
        <f t="shared" si="59"/>
        <v>#N/A</v>
      </c>
    </row>
    <row r="642" spans="1:37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  <c r="V642" s="1" t="s">
        <v>83</v>
      </c>
      <c r="W642" s="1" t="s">
        <v>26</v>
      </c>
      <c r="X642" s="1" t="s">
        <v>73</v>
      </c>
      <c r="Y642" s="1" t="s">
        <v>249</v>
      </c>
      <c r="Z642" s="1" t="s">
        <v>250</v>
      </c>
      <c r="AA642" s="1" t="s">
        <v>30</v>
      </c>
      <c r="AB642" s="1" t="s">
        <v>156</v>
      </c>
      <c r="AC642" s="1" t="s">
        <v>56</v>
      </c>
      <c r="AD642" s="1" t="s">
        <v>34</v>
      </c>
      <c r="AE642" s="1" t="s">
        <v>35</v>
      </c>
      <c r="AF642" s="5" t="e">
        <f t="shared" si="54"/>
        <v>#N/A</v>
      </c>
      <c r="AG642" s="5">
        <f t="shared" si="55"/>
        <v>45674</v>
      </c>
      <c r="AH642" s="5" t="b">
        <f t="shared" si="56"/>
        <v>0</v>
      </c>
      <c r="AI642" s="5" t="b">
        <f t="shared" si="57"/>
        <v>1</v>
      </c>
      <c r="AJ642" t="e">
        <f t="shared" si="58"/>
        <v>#N/A</v>
      </c>
      <c r="AK642" t="e">
        <f t="shared" si="59"/>
        <v>#N/A</v>
      </c>
    </row>
    <row r="643" spans="1:37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  <c r="V643" s="1" t="s">
        <v>25</v>
      </c>
      <c r="W643" s="1" t="s">
        <v>26</v>
      </c>
      <c r="X643" s="1" t="s">
        <v>27</v>
      </c>
      <c r="Y643" s="1" t="s">
        <v>506</v>
      </c>
      <c r="Z643" s="1" t="s">
        <v>507</v>
      </c>
      <c r="AA643" s="1" t="s">
        <v>45</v>
      </c>
      <c r="AB643" s="1" t="s">
        <v>65</v>
      </c>
      <c r="AC643" s="1" t="s">
        <v>48</v>
      </c>
      <c r="AD643" s="1" t="s">
        <v>34</v>
      </c>
      <c r="AE643" s="1" t="s">
        <v>35</v>
      </c>
      <c r="AF643" s="5">
        <f t="shared" ref="AF643:AF706" si="60">IFERROR(DATEVALUE(B643),IFERROR(DATE(VALUE(RIGHT(B643,4)),VALUE(MID(SUBSTITUTE(B643,"-","/"),6,2)),VALUE(LEFT(B643,2))),NA()))</f>
        <v>45756</v>
      </c>
      <c r="AG643" s="5">
        <f t="shared" ref="AG643:AG706" si="61">IFERROR(DATEVALUE(C643),IFERROR(DATE(VALUE(RIGHT(C643,4)),VALUE(MID(SUBSTITUTE(C643,"-","/"),6,2)),VALUE(LEFT(C643,2))),NA()))</f>
        <v>45761</v>
      </c>
      <c r="AH643" s="5" t="b">
        <f t="shared" ref="AH643:AH706" si="62">ISNUMBER(AF643)</f>
        <v>1</v>
      </c>
      <c r="AI643" s="5" t="b">
        <f t="shared" ref="AI643:AI706" si="63">ISNUMBER(AG643)</f>
        <v>1</v>
      </c>
      <c r="AJ643" t="str">
        <f t="shared" ref="AJ643:AJ706" si="64">IF(AG643&lt;AF643,"Invalid: Ship before Order","OK")</f>
        <v>OK</v>
      </c>
      <c r="AK643">
        <f t="shared" ref="AK643:AK706" si="65">DATEDIF(AF643, AG643, "D")</f>
        <v>5</v>
      </c>
    </row>
    <row r="644" spans="1:37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  <c r="V644" s="1" t="s">
        <v>53</v>
      </c>
      <c r="W644" s="1" t="s">
        <v>115</v>
      </c>
      <c r="X644" s="1" t="s">
        <v>42</v>
      </c>
      <c r="Y644" s="1" t="s">
        <v>216</v>
      </c>
      <c r="Z644" s="1" t="s">
        <v>217</v>
      </c>
      <c r="AA644" s="1" t="s">
        <v>30</v>
      </c>
      <c r="AB644" s="1" t="s">
        <v>198</v>
      </c>
      <c r="AC644" s="1" t="s">
        <v>33</v>
      </c>
      <c r="AD644" s="1" t="s">
        <v>200</v>
      </c>
      <c r="AE644" s="1" t="s">
        <v>125</v>
      </c>
      <c r="AF644" s="5">
        <f t="shared" si="60"/>
        <v>45533</v>
      </c>
      <c r="AG644" s="5">
        <f t="shared" si="61"/>
        <v>45535</v>
      </c>
      <c r="AH644" s="5" t="b">
        <f t="shared" si="62"/>
        <v>1</v>
      </c>
      <c r="AI644" s="5" t="b">
        <f t="shared" si="63"/>
        <v>1</v>
      </c>
      <c r="AJ644" t="str">
        <f t="shared" si="64"/>
        <v>OK</v>
      </c>
      <c r="AK644">
        <f t="shared" si="65"/>
        <v>2</v>
      </c>
    </row>
    <row r="645" spans="1:37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  <c r="V645" s="1" t="s">
        <v>162</v>
      </c>
      <c r="W645" s="1" t="s">
        <v>115</v>
      </c>
      <c r="X645" s="1" t="s">
        <v>27</v>
      </c>
      <c r="Y645" s="1" t="s">
        <v>174</v>
      </c>
      <c r="Z645" s="1" t="s">
        <v>175</v>
      </c>
      <c r="AA645" s="1" t="s">
        <v>30</v>
      </c>
      <c r="AB645" s="1" t="s">
        <v>109</v>
      </c>
      <c r="AC645" s="1" t="s">
        <v>67</v>
      </c>
      <c r="AD645" s="1" t="s">
        <v>200</v>
      </c>
      <c r="AE645" s="1" t="s">
        <v>125</v>
      </c>
      <c r="AF645" s="5">
        <f t="shared" si="60"/>
        <v>45414</v>
      </c>
      <c r="AG645" s="5">
        <f t="shared" si="61"/>
        <v>45335</v>
      </c>
      <c r="AH645" s="5" t="b">
        <f t="shared" si="62"/>
        <v>1</v>
      </c>
      <c r="AI645" s="5" t="b">
        <f t="shared" si="63"/>
        <v>1</v>
      </c>
      <c r="AJ645" t="str">
        <f t="shared" si="64"/>
        <v>Invalid: Ship before Order</v>
      </c>
      <c r="AK645" t="e">
        <f t="shared" si="65"/>
        <v>#NUM!</v>
      </c>
    </row>
    <row r="646" spans="1:37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  <c r="V646" s="1" t="s">
        <v>83</v>
      </c>
      <c r="W646" s="1" t="s">
        <v>26</v>
      </c>
      <c r="X646" s="1" t="s">
        <v>42</v>
      </c>
      <c r="Y646" s="1" t="s">
        <v>121</v>
      </c>
      <c r="Z646" s="1" t="s">
        <v>122</v>
      </c>
      <c r="AA646" s="1" t="s">
        <v>45</v>
      </c>
      <c r="AB646" s="1" t="s">
        <v>76</v>
      </c>
      <c r="AC646" s="1" t="s">
        <v>67</v>
      </c>
      <c r="AD646" s="1" t="s">
        <v>34</v>
      </c>
      <c r="AE646" s="1" t="s">
        <v>35</v>
      </c>
      <c r="AF646" s="5">
        <f t="shared" si="60"/>
        <v>45757</v>
      </c>
      <c r="AG646" s="5">
        <f t="shared" si="61"/>
        <v>45764</v>
      </c>
      <c r="AH646" s="5" t="b">
        <f t="shared" si="62"/>
        <v>1</v>
      </c>
      <c r="AI646" s="5" t="b">
        <f t="shared" si="63"/>
        <v>1</v>
      </c>
      <c r="AJ646" t="str">
        <f t="shared" si="64"/>
        <v>OK</v>
      </c>
      <c r="AK646">
        <f t="shared" si="65"/>
        <v>7</v>
      </c>
    </row>
    <row r="647" spans="1:37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  <c r="V647" s="1" t="s">
        <v>366</v>
      </c>
      <c r="W647" s="1" t="s">
        <v>26</v>
      </c>
      <c r="X647" s="1" t="s">
        <v>42</v>
      </c>
      <c r="Y647" s="1" t="s">
        <v>186</v>
      </c>
      <c r="Z647" s="1" t="s">
        <v>187</v>
      </c>
      <c r="AA647" s="1" t="s">
        <v>45</v>
      </c>
      <c r="AB647" s="1" t="s">
        <v>76</v>
      </c>
      <c r="AC647" s="1" t="s">
        <v>33</v>
      </c>
      <c r="AD647" s="1" t="s">
        <v>34</v>
      </c>
      <c r="AE647" s="1" t="s">
        <v>35</v>
      </c>
      <c r="AF647" s="5">
        <f t="shared" si="60"/>
        <v>45295</v>
      </c>
      <c r="AG647" s="5">
        <f t="shared" si="61"/>
        <v>45536</v>
      </c>
      <c r="AH647" s="5" t="b">
        <f t="shared" si="62"/>
        <v>1</v>
      </c>
      <c r="AI647" s="5" t="b">
        <f t="shared" si="63"/>
        <v>1</v>
      </c>
      <c r="AJ647" t="str">
        <f t="shared" si="64"/>
        <v>OK</v>
      </c>
      <c r="AK647">
        <f t="shared" si="65"/>
        <v>241</v>
      </c>
    </row>
    <row r="648" spans="1:37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  <c r="V648" s="1" t="s">
        <v>83</v>
      </c>
      <c r="W648" s="1" t="s">
        <v>41</v>
      </c>
      <c r="X648" s="1" t="s">
        <v>42</v>
      </c>
      <c r="Y648" s="1" t="s">
        <v>311</v>
      </c>
      <c r="Z648" s="1" t="s">
        <v>312</v>
      </c>
      <c r="AA648" s="1" t="s">
        <v>86</v>
      </c>
      <c r="AB648" s="1" t="s">
        <v>382</v>
      </c>
      <c r="AC648" s="1" t="s">
        <v>56</v>
      </c>
      <c r="AD648" s="1" t="s">
        <v>34</v>
      </c>
      <c r="AE648" s="1" t="s">
        <v>35</v>
      </c>
      <c r="AF648" s="5">
        <f t="shared" si="60"/>
        <v>45553</v>
      </c>
      <c r="AG648" s="5" t="e">
        <f t="shared" si="61"/>
        <v>#N/A</v>
      </c>
      <c r="AH648" s="5" t="b">
        <f t="shared" si="62"/>
        <v>1</v>
      </c>
      <c r="AI648" s="5" t="b">
        <f t="shared" si="63"/>
        <v>0</v>
      </c>
      <c r="AJ648" t="e">
        <f t="shared" si="64"/>
        <v>#N/A</v>
      </c>
      <c r="AK648" t="e">
        <f t="shared" si="65"/>
        <v>#N/A</v>
      </c>
    </row>
    <row r="649" spans="1:37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  <c r="V649" s="1" t="s">
        <v>180</v>
      </c>
      <c r="W649" s="1" t="s">
        <v>41</v>
      </c>
      <c r="X649" s="1" t="s">
        <v>27</v>
      </c>
      <c r="Y649" s="1" t="s">
        <v>154</v>
      </c>
      <c r="Z649" s="1" t="s">
        <v>155</v>
      </c>
      <c r="AA649" s="1" t="s">
        <v>30</v>
      </c>
      <c r="AB649" s="1" t="s">
        <v>54</v>
      </c>
      <c r="AC649" s="1" t="s">
        <v>56</v>
      </c>
      <c r="AD649" s="1" t="s">
        <v>34</v>
      </c>
      <c r="AE649" s="1" t="s">
        <v>35</v>
      </c>
      <c r="AF649" s="5">
        <f t="shared" si="60"/>
        <v>45658</v>
      </c>
      <c r="AG649" s="5">
        <f t="shared" si="61"/>
        <v>45901</v>
      </c>
      <c r="AH649" s="5" t="b">
        <f t="shared" si="62"/>
        <v>1</v>
      </c>
      <c r="AI649" s="5" t="b">
        <f t="shared" si="63"/>
        <v>1</v>
      </c>
      <c r="AJ649" t="str">
        <f t="shared" si="64"/>
        <v>OK</v>
      </c>
      <c r="AK649">
        <f t="shared" si="65"/>
        <v>243</v>
      </c>
    </row>
    <row r="650" spans="1:37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  <c r="V650" s="1" t="s">
        <v>93</v>
      </c>
      <c r="W650" s="1" t="s">
        <v>41</v>
      </c>
      <c r="X650" s="1" t="s">
        <v>62</v>
      </c>
      <c r="Y650" s="1" t="s">
        <v>100</v>
      </c>
      <c r="Z650" s="1" t="s">
        <v>101</v>
      </c>
      <c r="AA650" s="1" t="s">
        <v>30</v>
      </c>
      <c r="AB650" s="1" t="s">
        <v>54</v>
      </c>
      <c r="AC650" s="1" t="s">
        <v>48</v>
      </c>
      <c r="AD650" s="1" t="s">
        <v>200</v>
      </c>
      <c r="AE650" s="1" t="s">
        <v>125</v>
      </c>
      <c r="AF650" s="5" t="e">
        <f t="shared" si="60"/>
        <v>#N/A</v>
      </c>
      <c r="AG650" s="5">
        <f t="shared" si="61"/>
        <v>45406</v>
      </c>
      <c r="AH650" s="5" t="b">
        <f t="shared" si="62"/>
        <v>0</v>
      </c>
      <c r="AI650" s="5" t="b">
        <f t="shared" si="63"/>
        <v>1</v>
      </c>
      <c r="AJ650" t="e">
        <f t="shared" si="64"/>
        <v>#N/A</v>
      </c>
      <c r="AK650" t="e">
        <f t="shared" si="65"/>
        <v>#N/A</v>
      </c>
    </row>
    <row r="651" spans="1:37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  <c r="V651" s="1" t="s">
        <v>366</v>
      </c>
      <c r="W651" s="1" t="s">
        <v>41</v>
      </c>
      <c r="X651" s="1" t="s">
        <v>62</v>
      </c>
      <c r="Y651" s="1" t="s">
        <v>242</v>
      </c>
      <c r="Z651" s="1" t="s">
        <v>243</v>
      </c>
      <c r="AA651" s="1" t="s">
        <v>86</v>
      </c>
      <c r="AB651" s="1" t="s">
        <v>87</v>
      </c>
      <c r="AC651" s="1" t="s">
        <v>67</v>
      </c>
      <c r="AD651" s="1" t="s">
        <v>34</v>
      </c>
      <c r="AE651" s="1" t="s">
        <v>35</v>
      </c>
      <c r="AF651" s="5">
        <f t="shared" si="60"/>
        <v>45880</v>
      </c>
      <c r="AG651" s="5" t="e">
        <f t="shared" si="61"/>
        <v>#N/A</v>
      </c>
      <c r="AH651" s="5" t="b">
        <f t="shared" si="62"/>
        <v>1</v>
      </c>
      <c r="AI651" s="5" t="b">
        <f t="shared" si="63"/>
        <v>0</v>
      </c>
      <c r="AJ651" t="e">
        <f t="shared" si="64"/>
        <v>#N/A</v>
      </c>
      <c r="AK651" t="e">
        <f t="shared" si="65"/>
        <v>#N/A</v>
      </c>
    </row>
    <row r="652" spans="1:37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  <c r="V652" s="1" t="s">
        <v>162</v>
      </c>
      <c r="W652" s="1" t="s">
        <v>115</v>
      </c>
      <c r="X652" s="1" t="s">
        <v>42</v>
      </c>
      <c r="Y652" s="1" t="s">
        <v>186</v>
      </c>
      <c r="Z652" s="1" t="s">
        <v>187</v>
      </c>
      <c r="AA652" s="1" t="s">
        <v>86</v>
      </c>
      <c r="AB652" s="1" t="s">
        <v>87</v>
      </c>
      <c r="AC652" s="1" t="s">
        <v>48</v>
      </c>
      <c r="AD652" s="1" t="s">
        <v>200</v>
      </c>
      <c r="AE652" s="1" t="s">
        <v>125</v>
      </c>
      <c r="AF652" s="5">
        <f t="shared" si="60"/>
        <v>45395</v>
      </c>
      <c r="AG652" s="5">
        <f t="shared" si="61"/>
        <v>45403</v>
      </c>
      <c r="AH652" s="5" t="b">
        <f t="shared" si="62"/>
        <v>1</v>
      </c>
      <c r="AI652" s="5" t="b">
        <f t="shared" si="63"/>
        <v>1</v>
      </c>
      <c r="AJ652" t="str">
        <f t="shared" si="64"/>
        <v>OK</v>
      </c>
      <c r="AK652">
        <f t="shared" si="65"/>
        <v>8</v>
      </c>
    </row>
    <row r="653" spans="1:37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  <c r="V653" s="1" t="s">
        <v>40</v>
      </c>
      <c r="W653" s="1" t="s">
        <v>41</v>
      </c>
      <c r="X653" s="1" t="s">
        <v>62</v>
      </c>
      <c r="Y653" s="1" t="s">
        <v>100</v>
      </c>
      <c r="Z653" s="1" t="s">
        <v>101</v>
      </c>
      <c r="AA653" s="1" t="s">
        <v>30</v>
      </c>
      <c r="AB653" s="1" t="s">
        <v>31</v>
      </c>
      <c r="AC653" s="1" t="s">
        <v>33</v>
      </c>
      <c r="AD653" s="1" t="s">
        <v>34</v>
      </c>
      <c r="AE653" s="1" t="s">
        <v>35</v>
      </c>
      <c r="AF653" s="5">
        <f t="shared" si="60"/>
        <v>45875</v>
      </c>
      <c r="AG653" s="5">
        <f t="shared" si="61"/>
        <v>45908</v>
      </c>
      <c r="AH653" s="5" t="b">
        <f t="shared" si="62"/>
        <v>1</v>
      </c>
      <c r="AI653" s="5" t="b">
        <f t="shared" si="63"/>
        <v>1</v>
      </c>
      <c r="AJ653" t="str">
        <f t="shared" si="64"/>
        <v>OK</v>
      </c>
      <c r="AK653">
        <f t="shared" si="65"/>
        <v>33</v>
      </c>
    </row>
    <row r="654" spans="1:37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  <c r="V654" s="1" t="s">
        <v>168</v>
      </c>
      <c r="W654" s="1" t="s">
        <v>26</v>
      </c>
      <c r="X654" s="1" t="s">
        <v>27</v>
      </c>
      <c r="Y654" s="1" t="s">
        <v>174</v>
      </c>
      <c r="Z654" s="1" t="s">
        <v>175</v>
      </c>
      <c r="AA654" s="1" t="s">
        <v>30</v>
      </c>
      <c r="AB654" s="1" t="s">
        <v>198</v>
      </c>
      <c r="AC654" s="1" t="s">
        <v>67</v>
      </c>
      <c r="AD654" s="1" t="s">
        <v>34</v>
      </c>
      <c r="AE654" s="1" t="s">
        <v>35</v>
      </c>
      <c r="AF654" s="5">
        <f t="shared" si="60"/>
        <v>45733</v>
      </c>
      <c r="AG654" s="5">
        <f t="shared" si="61"/>
        <v>45737</v>
      </c>
      <c r="AH654" s="5" t="b">
        <f t="shared" si="62"/>
        <v>1</v>
      </c>
      <c r="AI654" s="5" t="b">
        <f t="shared" si="63"/>
        <v>1</v>
      </c>
      <c r="AJ654" t="str">
        <f t="shared" si="64"/>
        <v>OK</v>
      </c>
      <c r="AK654">
        <f t="shared" si="65"/>
        <v>4</v>
      </c>
    </row>
    <row r="655" spans="1:37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  <c r="V655" s="1" t="s">
        <v>142</v>
      </c>
      <c r="W655" s="1" t="s">
        <v>41</v>
      </c>
      <c r="X655" s="1" t="s">
        <v>62</v>
      </c>
      <c r="Y655" s="1" t="s">
        <v>339</v>
      </c>
      <c r="Z655" s="1" t="s">
        <v>340</v>
      </c>
      <c r="AA655" s="1" t="s">
        <v>86</v>
      </c>
      <c r="AB655" s="1" t="s">
        <v>94</v>
      </c>
      <c r="AC655" s="1" t="s">
        <v>33</v>
      </c>
      <c r="AD655" s="1" t="s">
        <v>34</v>
      </c>
      <c r="AE655" s="1" t="s">
        <v>35</v>
      </c>
      <c r="AF655" s="5">
        <f t="shared" si="60"/>
        <v>45751</v>
      </c>
      <c r="AG655" s="5">
        <f t="shared" si="61"/>
        <v>45754</v>
      </c>
      <c r="AH655" s="5" t="b">
        <f t="shared" si="62"/>
        <v>1</v>
      </c>
      <c r="AI655" s="5" t="b">
        <f t="shared" si="63"/>
        <v>1</v>
      </c>
      <c r="AJ655" t="str">
        <f t="shared" si="64"/>
        <v>OK</v>
      </c>
      <c r="AK655">
        <f t="shared" si="65"/>
        <v>3</v>
      </c>
    </row>
    <row r="656" spans="1:37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  <c r="V656" s="1" t="s">
        <v>210</v>
      </c>
      <c r="W656" s="1" t="s">
        <v>108</v>
      </c>
      <c r="X656" s="1" t="s">
        <v>42</v>
      </c>
      <c r="Y656" s="1" t="s">
        <v>186</v>
      </c>
      <c r="Z656" s="1" t="s">
        <v>187</v>
      </c>
      <c r="AA656" s="1" t="s">
        <v>86</v>
      </c>
      <c r="AB656" s="1" t="s">
        <v>382</v>
      </c>
      <c r="AC656" s="1" t="s">
        <v>48</v>
      </c>
      <c r="AD656" s="1" t="s">
        <v>34</v>
      </c>
      <c r="AE656" s="1" t="s">
        <v>35</v>
      </c>
      <c r="AF656" s="5">
        <f t="shared" si="60"/>
        <v>45942</v>
      </c>
      <c r="AG656" s="5" t="e">
        <f t="shared" si="61"/>
        <v>#N/A</v>
      </c>
      <c r="AH656" s="5" t="b">
        <f t="shared" si="62"/>
        <v>1</v>
      </c>
      <c r="AI656" s="5" t="b">
        <f t="shared" si="63"/>
        <v>0</v>
      </c>
      <c r="AJ656" t="e">
        <f t="shared" si="64"/>
        <v>#N/A</v>
      </c>
      <c r="AK656" t="e">
        <f t="shared" si="65"/>
        <v>#N/A</v>
      </c>
    </row>
    <row r="657" spans="1:37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  <c r="V657" s="1" t="s">
        <v>93</v>
      </c>
      <c r="W657" s="1" t="s">
        <v>115</v>
      </c>
      <c r="X657" s="1" t="s">
        <v>42</v>
      </c>
      <c r="Y657" s="1" t="s">
        <v>121</v>
      </c>
      <c r="Z657" s="1" t="s">
        <v>122</v>
      </c>
      <c r="AA657" s="1" t="s">
        <v>45</v>
      </c>
      <c r="AB657" s="1" t="s">
        <v>65</v>
      </c>
      <c r="AC657" s="1" t="s">
        <v>67</v>
      </c>
      <c r="AD657" s="1" t="s">
        <v>34</v>
      </c>
      <c r="AE657" s="1" t="s">
        <v>35</v>
      </c>
      <c r="AF657" s="5">
        <f t="shared" si="60"/>
        <v>45895</v>
      </c>
      <c r="AG657" s="5">
        <f t="shared" si="61"/>
        <v>45895</v>
      </c>
      <c r="AH657" s="5" t="b">
        <f t="shared" si="62"/>
        <v>1</v>
      </c>
      <c r="AI657" s="5" t="b">
        <f t="shared" si="63"/>
        <v>1</v>
      </c>
      <c r="AJ657" t="str">
        <f t="shared" si="64"/>
        <v>OK</v>
      </c>
      <c r="AK657">
        <f t="shared" si="65"/>
        <v>0</v>
      </c>
    </row>
    <row r="658" spans="1:37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  <c r="V658" s="1" t="s">
        <v>93</v>
      </c>
      <c r="W658" s="1" t="s">
        <v>41</v>
      </c>
      <c r="X658" s="1" t="s">
        <v>27</v>
      </c>
      <c r="Y658" s="1" t="s">
        <v>323</v>
      </c>
      <c r="Z658" s="1" t="s">
        <v>324</v>
      </c>
      <c r="AA658" s="1" t="s">
        <v>86</v>
      </c>
      <c r="AB658" s="1" t="s">
        <v>382</v>
      </c>
      <c r="AC658" s="1" t="s">
        <v>48</v>
      </c>
      <c r="AD658" s="1" t="s">
        <v>34</v>
      </c>
      <c r="AE658" s="1" t="s">
        <v>35</v>
      </c>
      <c r="AF658" s="5">
        <f t="shared" si="60"/>
        <v>45478</v>
      </c>
      <c r="AG658" s="5">
        <f t="shared" si="61"/>
        <v>45426</v>
      </c>
      <c r="AH658" s="5" t="b">
        <f t="shared" si="62"/>
        <v>1</v>
      </c>
      <c r="AI658" s="5" t="b">
        <f t="shared" si="63"/>
        <v>1</v>
      </c>
      <c r="AJ658" t="str">
        <f t="shared" si="64"/>
        <v>Invalid: Ship before Order</v>
      </c>
      <c r="AK658" t="e">
        <f t="shared" si="65"/>
        <v>#NUM!</v>
      </c>
    </row>
    <row r="659" spans="1:37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  <c r="V659" s="1" t="s">
        <v>107</v>
      </c>
      <c r="W659" s="1" t="s">
        <v>115</v>
      </c>
      <c r="X659" s="1" t="s">
        <v>42</v>
      </c>
      <c r="Y659" s="1" t="s">
        <v>186</v>
      </c>
      <c r="Z659" s="1" t="s">
        <v>187</v>
      </c>
      <c r="AA659" s="1" t="s">
        <v>30</v>
      </c>
      <c r="AB659" s="1" t="s">
        <v>156</v>
      </c>
      <c r="AC659" s="1" t="s">
        <v>33</v>
      </c>
      <c r="AD659" s="1" t="s">
        <v>34</v>
      </c>
      <c r="AE659" s="1" t="s">
        <v>35</v>
      </c>
      <c r="AF659" s="5">
        <f t="shared" si="60"/>
        <v>45876</v>
      </c>
      <c r="AG659" s="5">
        <f t="shared" si="61"/>
        <v>45879</v>
      </c>
      <c r="AH659" s="5" t="b">
        <f t="shared" si="62"/>
        <v>1</v>
      </c>
      <c r="AI659" s="5" t="b">
        <f t="shared" si="63"/>
        <v>1</v>
      </c>
      <c r="AJ659" t="str">
        <f t="shared" si="64"/>
        <v>OK</v>
      </c>
      <c r="AK659">
        <f t="shared" si="65"/>
        <v>3</v>
      </c>
    </row>
    <row r="660" spans="1:37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  <c r="V660" s="1" t="s">
        <v>168</v>
      </c>
      <c r="W660" s="1" t="s">
        <v>26</v>
      </c>
      <c r="X660" s="1" t="s">
        <v>4119</v>
      </c>
      <c r="Y660" s="1" t="s">
        <v>186</v>
      </c>
      <c r="Z660" s="1" t="s">
        <v>187</v>
      </c>
      <c r="AA660" s="1" t="s">
        <v>30</v>
      </c>
      <c r="AB660" s="1" t="s">
        <v>54</v>
      </c>
      <c r="AC660" s="1" t="s">
        <v>56</v>
      </c>
      <c r="AD660" s="1" t="s">
        <v>124</v>
      </c>
      <c r="AE660" s="1" t="s">
        <v>78</v>
      </c>
      <c r="AF660" s="5">
        <f t="shared" si="60"/>
        <v>45817</v>
      </c>
      <c r="AG660" s="5">
        <f t="shared" si="61"/>
        <v>45820</v>
      </c>
      <c r="AH660" s="5" t="b">
        <f t="shared" si="62"/>
        <v>1</v>
      </c>
      <c r="AI660" s="5" t="b">
        <f t="shared" si="63"/>
        <v>1</v>
      </c>
      <c r="AJ660" t="str">
        <f t="shared" si="64"/>
        <v>OK</v>
      </c>
      <c r="AK660">
        <f t="shared" si="65"/>
        <v>3</v>
      </c>
    </row>
    <row r="661" spans="1:37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  <c r="V661" s="1" t="s">
        <v>210</v>
      </c>
      <c r="W661" s="1" t="s">
        <v>108</v>
      </c>
      <c r="X661" s="1" t="s">
        <v>62</v>
      </c>
      <c r="Y661" s="1" t="s">
        <v>229</v>
      </c>
      <c r="Z661" s="1" t="s">
        <v>230</v>
      </c>
      <c r="AA661" s="1" t="s">
        <v>86</v>
      </c>
      <c r="AB661" s="1" t="s">
        <v>223</v>
      </c>
      <c r="AC661" s="1" t="s">
        <v>33</v>
      </c>
      <c r="AD661" s="1" t="s">
        <v>124</v>
      </c>
      <c r="AE661" s="1" t="s">
        <v>78</v>
      </c>
      <c r="AF661" s="5" t="e">
        <f t="shared" si="60"/>
        <v>#N/A</v>
      </c>
      <c r="AG661" s="5">
        <f t="shared" si="61"/>
        <v>45679</v>
      </c>
      <c r="AH661" s="5" t="b">
        <f t="shared" si="62"/>
        <v>0</v>
      </c>
      <c r="AI661" s="5" t="b">
        <f t="shared" si="63"/>
        <v>1</v>
      </c>
      <c r="AJ661" t="e">
        <f t="shared" si="64"/>
        <v>#N/A</v>
      </c>
      <c r="AK661" t="e">
        <f t="shared" si="65"/>
        <v>#N/A</v>
      </c>
    </row>
    <row r="662" spans="1:37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  <c r="V662" s="1" t="s">
        <v>61</v>
      </c>
      <c r="W662" s="1" t="s">
        <v>41</v>
      </c>
      <c r="X662" s="1" t="s">
        <v>42</v>
      </c>
      <c r="Y662" s="1" t="s">
        <v>311</v>
      </c>
      <c r="Z662" s="1" t="s">
        <v>312</v>
      </c>
      <c r="AA662" s="1" t="s">
        <v>86</v>
      </c>
      <c r="AB662" s="1" t="s">
        <v>223</v>
      </c>
      <c r="AC662" s="1" t="s">
        <v>48</v>
      </c>
      <c r="AD662" s="1" t="s">
        <v>34</v>
      </c>
      <c r="AE662" s="1" t="s">
        <v>35</v>
      </c>
      <c r="AF662" s="5">
        <f t="shared" si="60"/>
        <v>45853</v>
      </c>
      <c r="AG662" s="5" t="e">
        <f t="shared" si="61"/>
        <v>#N/A</v>
      </c>
      <c r="AH662" s="5" t="b">
        <f t="shared" si="62"/>
        <v>1</v>
      </c>
      <c r="AI662" s="5" t="b">
        <f t="shared" si="63"/>
        <v>0</v>
      </c>
      <c r="AJ662" t="e">
        <f t="shared" si="64"/>
        <v>#N/A</v>
      </c>
      <c r="AK662" t="e">
        <f t="shared" si="65"/>
        <v>#N/A</v>
      </c>
    </row>
    <row r="663" spans="1:37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  <c r="V663" s="1" t="s">
        <v>168</v>
      </c>
      <c r="W663" s="1" t="s">
        <v>26</v>
      </c>
      <c r="X663" s="1" t="s">
        <v>62</v>
      </c>
      <c r="Y663" s="1" t="s">
        <v>100</v>
      </c>
      <c r="Z663" s="1" t="s">
        <v>101</v>
      </c>
      <c r="AA663" s="1" t="s">
        <v>86</v>
      </c>
      <c r="AB663" s="1" t="s">
        <v>382</v>
      </c>
      <c r="AC663" s="1" t="s">
        <v>33</v>
      </c>
      <c r="AD663" s="1" t="s">
        <v>34</v>
      </c>
      <c r="AE663" s="1" t="s">
        <v>35</v>
      </c>
      <c r="AF663" s="5" t="e">
        <f t="shared" si="60"/>
        <v>#N/A</v>
      </c>
      <c r="AG663" s="5">
        <f t="shared" si="61"/>
        <v>45434</v>
      </c>
      <c r="AH663" s="5" t="b">
        <f t="shared" si="62"/>
        <v>0</v>
      </c>
      <c r="AI663" s="5" t="b">
        <f t="shared" si="63"/>
        <v>1</v>
      </c>
      <c r="AJ663" t="e">
        <f t="shared" si="64"/>
        <v>#N/A</v>
      </c>
      <c r="AK663" t="e">
        <f t="shared" si="65"/>
        <v>#N/A</v>
      </c>
    </row>
    <row r="664" spans="1:37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  <c r="V664" s="1" t="s">
        <v>40</v>
      </c>
      <c r="W664" s="1" t="s">
        <v>115</v>
      </c>
      <c r="X664" s="1" t="s">
        <v>73</v>
      </c>
      <c r="Y664" s="1" t="s">
        <v>28</v>
      </c>
      <c r="Z664" s="1" t="s">
        <v>135</v>
      </c>
      <c r="AA664" s="1" t="s">
        <v>86</v>
      </c>
      <c r="AB664" s="1" t="s">
        <v>382</v>
      </c>
      <c r="AC664" s="1" t="s">
        <v>48</v>
      </c>
      <c r="AD664" s="1" t="s">
        <v>34</v>
      </c>
      <c r="AE664" s="1" t="s">
        <v>35</v>
      </c>
      <c r="AF664" s="5">
        <f t="shared" si="60"/>
        <v>45305</v>
      </c>
      <c r="AG664" s="5" t="e">
        <f t="shared" si="61"/>
        <v>#N/A</v>
      </c>
      <c r="AH664" s="5" t="b">
        <f t="shared" si="62"/>
        <v>1</v>
      </c>
      <c r="AI664" s="5" t="b">
        <f t="shared" si="63"/>
        <v>0</v>
      </c>
      <c r="AJ664" t="e">
        <f t="shared" si="64"/>
        <v>#N/A</v>
      </c>
      <c r="AK664" t="e">
        <f t="shared" si="65"/>
        <v>#N/A</v>
      </c>
    </row>
    <row r="665" spans="1:37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  <c r="V665" s="1" t="s">
        <v>148</v>
      </c>
      <c r="W665" s="1" t="s">
        <v>115</v>
      </c>
      <c r="X665" s="1" t="s">
        <v>42</v>
      </c>
      <c r="Y665" s="1" t="s">
        <v>311</v>
      </c>
      <c r="Z665" s="1" t="s">
        <v>312</v>
      </c>
      <c r="AA665" s="1" t="s">
        <v>86</v>
      </c>
      <c r="AB665" s="1" t="s">
        <v>94</v>
      </c>
      <c r="AC665" s="1" t="s">
        <v>33</v>
      </c>
      <c r="AD665" s="1" t="s">
        <v>34</v>
      </c>
      <c r="AE665" s="1" t="s">
        <v>35</v>
      </c>
      <c r="AF665" s="5">
        <f t="shared" si="60"/>
        <v>45414</v>
      </c>
      <c r="AG665" s="5">
        <f t="shared" si="61"/>
        <v>45420</v>
      </c>
      <c r="AH665" s="5" t="b">
        <f t="shared" si="62"/>
        <v>1</v>
      </c>
      <c r="AI665" s="5" t="b">
        <f t="shared" si="63"/>
        <v>1</v>
      </c>
      <c r="AJ665" t="str">
        <f t="shared" si="64"/>
        <v>OK</v>
      </c>
      <c r="AK665">
        <f t="shared" si="65"/>
        <v>6</v>
      </c>
    </row>
    <row r="666" spans="1:37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  <c r="V666" s="1" t="s">
        <v>40</v>
      </c>
      <c r="W666" s="1" t="s">
        <v>115</v>
      </c>
      <c r="X666" s="1" t="s">
        <v>62</v>
      </c>
      <c r="Y666" s="1" t="s">
        <v>63</v>
      </c>
      <c r="Z666" s="1" t="s">
        <v>64</v>
      </c>
      <c r="AA666" s="1" t="s">
        <v>86</v>
      </c>
      <c r="AB666" s="1" t="s">
        <v>87</v>
      </c>
      <c r="AC666" s="1" t="s">
        <v>67</v>
      </c>
      <c r="AD666" s="1" t="s">
        <v>34</v>
      </c>
      <c r="AE666" s="1" t="s">
        <v>35</v>
      </c>
      <c r="AF666" s="5">
        <f t="shared" si="60"/>
        <v>45633</v>
      </c>
      <c r="AG666" s="5">
        <f t="shared" si="61"/>
        <v>45636</v>
      </c>
      <c r="AH666" s="5" t="b">
        <f t="shared" si="62"/>
        <v>1</v>
      </c>
      <c r="AI666" s="5" t="b">
        <f t="shared" si="63"/>
        <v>1</v>
      </c>
      <c r="AJ666" t="str">
        <f t="shared" si="64"/>
        <v>OK</v>
      </c>
      <c r="AK666">
        <f t="shared" si="65"/>
        <v>3</v>
      </c>
    </row>
    <row r="667" spans="1:37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  <c r="V667" s="1" t="s">
        <v>148</v>
      </c>
      <c r="W667" s="1" t="s">
        <v>115</v>
      </c>
      <c r="X667" s="1" t="s">
        <v>73</v>
      </c>
      <c r="Y667" s="1" t="s">
        <v>235</v>
      </c>
      <c r="Z667" s="1" t="s">
        <v>236</v>
      </c>
      <c r="AA667" s="1" t="s">
        <v>30</v>
      </c>
      <c r="AB667" s="1" t="s">
        <v>54</v>
      </c>
      <c r="AC667" s="1" t="s">
        <v>67</v>
      </c>
      <c r="AD667" s="1" t="s">
        <v>200</v>
      </c>
      <c r="AE667" s="1" t="s">
        <v>78</v>
      </c>
      <c r="AF667" s="5">
        <f t="shared" si="60"/>
        <v>45670</v>
      </c>
      <c r="AG667" s="5">
        <f t="shared" si="61"/>
        <v>45670</v>
      </c>
      <c r="AH667" s="5" t="b">
        <f t="shared" si="62"/>
        <v>1</v>
      </c>
      <c r="AI667" s="5" t="b">
        <f t="shared" si="63"/>
        <v>1</v>
      </c>
      <c r="AJ667" t="str">
        <f t="shared" si="64"/>
        <v>OK</v>
      </c>
      <c r="AK667">
        <f t="shared" si="65"/>
        <v>0</v>
      </c>
    </row>
    <row r="668" spans="1:37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  <c r="V668" s="1" t="s">
        <v>180</v>
      </c>
      <c r="W668" s="1" t="s">
        <v>41</v>
      </c>
      <c r="X668" s="1" t="s">
        <v>27</v>
      </c>
      <c r="Y668" s="1" t="s">
        <v>154</v>
      </c>
      <c r="Z668" s="1" t="s">
        <v>155</v>
      </c>
      <c r="AA668" s="1" t="s">
        <v>86</v>
      </c>
      <c r="AB668" s="1" t="s">
        <v>94</v>
      </c>
      <c r="AC668" s="1" t="s">
        <v>48</v>
      </c>
      <c r="AD668" s="1" t="s">
        <v>34</v>
      </c>
      <c r="AE668" s="1" t="s">
        <v>35</v>
      </c>
      <c r="AF668" s="5">
        <f t="shared" si="60"/>
        <v>45464</v>
      </c>
      <c r="AG668" s="5">
        <f t="shared" si="61"/>
        <v>45469</v>
      </c>
      <c r="AH668" s="5" t="b">
        <f t="shared" si="62"/>
        <v>1</v>
      </c>
      <c r="AI668" s="5" t="b">
        <f t="shared" si="63"/>
        <v>1</v>
      </c>
      <c r="AJ668" t="str">
        <f t="shared" si="64"/>
        <v>OK</v>
      </c>
      <c r="AK668">
        <f t="shared" si="65"/>
        <v>5</v>
      </c>
    </row>
    <row r="669" spans="1:37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  <c r="V669" s="1" t="s">
        <v>210</v>
      </c>
      <c r="W669" s="1" t="s">
        <v>41</v>
      </c>
      <c r="X669" s="1" t="s">
        <v>42</v>
      </c>
      <c r="Y669" s="1" t="s">
        <v>186</v>
      </c>
      <c r="Z669" s="1" t="s">
        <v>187</v>
      </c>
      <c r="AA669" s="1" t="s">
        <v>86</v>
      </c>
      <c r="AB669" s="1" t="s">
        <v>382</v>
      </c>
      <c r="AC669" s="1" t="s">
        <v>67</v>
      </c>
      <c r="AD669" s="1" t="s">
        <v>137</v>
      </c>
      <c r="AE669" s="1" t="s">
        <v>125</v>
      </c>
      <c r="AF669" s="5" t="e">
        <f t="shared" si="60"/>
        <v>#N/A</v>
      </c>
      <c r="AG669" s="5" t="e">
        <f t="shared" si="61"/>
        <v>#N/A</v>
      </c>
      <c r="AH669" s="5" t="b">
        <f t="shared" si="62"/>
        <v>0</v>
      </c>
      <c r="AI669" s="5" t="b">
        <f t="shared" si="63"/>
        <v>0</v>
      </c>
      <c r="AJ669" t="e">
        <f t="shared" si="64"/>
        <v>#N/A</v>
      </c>
      <c r="AK669" t="e">
        <f t="shared" si="65"/>
        <v>#N/A</v>
      </c>
    </row>
    <row r="670" spans="1:37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  <c r="V670" s="1" t="s">
        <v>40</v>
      </c>
      <c r="W670" s="1" t="s">
        <v>108</v>
      </c>
      <c r="X670" s="1" t="s">
        <v>73</v>
      </c>
      <c r="Y670" s="1" t="s">
        <v>235</v>
      </c>
      <c r="Z670" s="1" t="s">
        <v>236</v>
      </c>
      <c r="AA670" s="1" t="s">
        <v>30</v>
      </c>
      <c r="AB670" s="1" t="s">
        <v>31</v>
      </c>
      <c r="AC670" s="1" t="s">
        <v>33</v>
      </c>
      <c r="AD670" s="1" t="s">
        <v>34</v>
      </c>
      <c r="AE670" s="1" t="s">
        <v>35</v>
      </c>
      <c r="AF670" s="5">
        <f t="shared" si="60"/>
        <v>45617</v>
      </c>
      <c r="AG670" s="5">
        <f t="shared" si="61"/>
        <v>45619</v>
      </c>
      <c r="AH670" s="5" t="b">
        <f t="shared" si="62"/>
        <v>1</v>
      </c>
      <c r="AI670" s="5" t="b">
        <f t="shared" si="63"/>
        <v>1</v>
      </c>
      <c r="AJ670" t="str">
        <f t="shared" si="64"/>
        <v>OK</v>
      </c>
      <c r="AK670">
        <f t="shared" si="65"/>
        <v>2</v>
      </c>
    </row>
    <row r="671" spans="1:37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  <c r="V671" s="1" t="s">
        <v>72</v>
      </c>
      <c r="W671" s="1" t="s">
        <v>115</v>
      </c>
      <c r="X671" s="1" t="s">
        <v>73</v>
      </c>
      <c r="Y671" s="1" t="s">
        <v>74</v>
      </c>
      <c r="Z671" s="1" t="s">
        <v>75</v>
      </c>
      <c r="AA671" s="1" t="s">
        <v>45</v>
      </c>
      <c r="AB671" s="1" t="s">
        <v>46</v>
      </c>
      <c r="AC671" s="1" t="s">
        <v>33</v>
      </c>
      <c r="AD671" s="1" t="s">
        <v>34</v>
      </c>
      <c r="AE671" s="1" t="s">
        <v>35</v>
      </c>
      <c r="AF671" s="5">
        <f t="shared" si="60"/>
        <v>45375</v>
      </c>
      <c r="AG671" s="5">
        <f t="shared" si="61"/>
        <v>45383</v>
      </c>
      <c r="AH671" s="5" t="b">
        <f t="shared" si="62"/>
        <v>1</v>
      </c>
      <c r="AI671" s="5" t="b">
        <f t="shared" si="63"/>
        <v>1</v>
      </c>
      <c r="AJ671" t="str">
        <f t="shared" si="64"/>
        <v>OK</v>
      </c>
      <c r="AK671">
        <f t="shared" si="65"/>
        <v>8</v>
      </c>
    </row>
    <row r="672" spans="1:37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  <c r="V672" s="1" t="s">
        <v>168</v>
      </c>
      <c r="W672" s="1" t="s">
        <v>108</v>
      </c>
      <c r="X672" s="1" t="s">
        <v>27</v>
      </c>
      <c r="Y672" s="1" t="s">
        <v>174</v>
      </c>
      <c r="Z672" s="1" t="s">
        <v>175</v>
      </c>
      <c r="AA672" s="1" t="s">
        <v>45</v>
      </c>
      <c r="AB672" s="1" t="s">
        <v>46</v>
      </c>
      <c r="AC672" s="1" t="s">
        <v>67</v>
      </c>
      <c r="AD672" s="1" t="s">
        <v>34</v>
      </c>
      <c r="AE672" s="1" t="s">
        <v>35</v>
      </c>
      <c r="AF672" s="5">
        <f t="shared" si="60"/>
        <v>45690</v>
      </c>
      <c r="AG672" s="5">
        <f t="shared" si="61"/>
        <v>45694</v>
      </c>
      <c r="AH672" s="5" t="b">
        <f t="shared" si="62"/>
        <v>1</v>
      </c>
      <c r="AI672" s="5" t="b">
        <f t="shared" si="63"/>
        <v>1</v>
      </c>
      <c r="AJ672" t="str">
        <f t="shared" si="64"/>
        <v>OK</v>
      </c>
      <c r="AK672">
        <f t="shared" si="65"/>
        <v>4</v>
      </c>
    </row>
    <row r="673" spans="1:37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  <c r="V673" s="1" t="s">
        <v>107</v>
      </c>
      <c r="W673" s="1" t="s">
        <v>115</v>
      </c>
      <c r="X673" s="1" t="s">
        <v>73</v>
      </c>
      <c r="Y673" s="1" t="s">
        <v>249</v>
      </c>
      <c r="Z673" s="1" t="s">
        <v>250</v>
      </c>
      <c r="AA673" s="1" t="s">
        <v>86</v>
      </c>
      <c r="AB673" s="1" t="s">
        <v>94</v>
      </c>
      <c r="AC673" s="1" t="s">
        <v>33</v>
      </c>
      <c r="AD673" s="1" t="s">
        <v>34</v>
      </c>
      <c r="AE673" s="1" t="s">
        <v>35</v>
      </c>
      <c r="AF673" s="5">
        <f t="shared" si="60"/>
        <v>45373</v>
      </c>
      <c r="AG673" s="5" t="e">
        <f t="shared" si="61"/>
        <v>#N/A</v>
      </c>
      <c r="AH673" s="5" t="b">
        <f t="shared" si="62"/>
        <v>1</v>
      </c>
      <c r="AI673" s="5" t="b">
        <f t="shared" si="63"/>
        <v>0</v>
      </c>
      <c r="AJ673" t="e">
        <f t="shared" si="64"/>
        <v>#N/A</v>
      </c>
      <c r="AK673" t="e">
        <f t="shared" si="65"/>
        <v>#N/A</v>
      </c>
    </row>
    <row r="674" spans="1:37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  <c r="V674" s="1" t="s">
        <v>107</v>
      </c>
      <c r="W674" s="1" t="s">
        <v>108</v>
      </c>
      <c r="X674" s="1" t="s">
        <v>73</v>
      </c>
      <c r="Y674" s="1" t="s">
        <v>84</v>
      </c>
      <c r="Z674" s="1" t="s">
        <v>85</v>
      </c>
      <c r="AA674" s="1" t="s">
        <v>45</v>
      </c>
      <c r="AB674" s="1" t="s">
        <v>76</v>
      </c>
      <c r="AC674" s="1" t="s">
        <v>67</v>
      </c>
      <c r="AD674" s="1" t="s">
        <v>34</v>
      </c>
      <c r="AE674" s="1" t="s">
        <v>125</v>
      </c>
      <c r="AF674" s="5">
        <f t="shared" si="60"/>
        <v>45539</v>
      </c>
      <c r="AG674" s="5">
        <f t="shared" si="61"/>
        <v>45540</v>
      </c>
      <c r="AH674" s="5" t="b">
        <f t="shared" si="62"/>
        <v>1</v>
      </c>
      <c r="AI674" s="5" t="b">
        <f t="shared" si="63"/>
        <v>1</v>
      </c>
      <c r="AJ674" t="str">
        <f t="shared" si="64"/>
        <v>OK</v>
      </c>
      <c r="AK674">
        <f t="shared" si="65"/>
        <v>1</v>
      </c>
    </row>
    <row r="675" spans="1:37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  <c r="V675" s="1" t="s">
        <v>61</v>
      </c>
      <c r="W675" s="1" t="s">
        <v>41</v>
      </c>
      <c r="X675" s="1" t="s">
        <v>73</v>
      </c>
      <c r="Y675" s="1" t="s">
        <v>28</v>
      </c>
      <c r="Z675" s="1" t="s">
        <v>135</v>
      </c>
      <c r="AA675" s="1" t="s">
        <v>45</v>
      </c>
      <c r="AB675" s="1" t="s">
        <v>204</v>
      </c>
      <c r="AC675" s="1" t="s">
        <v>33</v>
      </c>
      <c r="AD675" s="1" t="s">
        <v>34</v>
      </c>
      <c r="AE675" s="1" t="s">
        <v>35</v>
      </c>
      <c r="AF675" s="5">
        <f t="shared" si="60"/>
        <v>45701</v>
      </c>
      <c r="AG675" s="5">
        <f t="shared" si="61"/>
        <v>45704</v>
      </c>
      <c r="AH675" s="5" t="b">
        <f t="shared" si="62"/>
        <v>1</v>
      </c>
      <c r="AI675" s="5" t="b">
        <f t="shared" si="63"/>
        <v>1</v>
      </c>
      <c r="AJ675" t="str">
        <f t="shared" si="64"/>
        <v>OK</v>
      </c>
      <c r="AK675">
        <f t="shared" si="65"/>
        <v>3</v>
      </c>
    </row>
    <row r="676" spans="1:37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  <c r="V676" s="1" t="s">
        <v>83</v>
      </c>
      <c r="W676" s="1" t="s">
        <v>108</v>
      </c>
      <c r="X676" s="1" t="s">
        <v>42</v>
      </c>
      <c r="Y676" s="1" t="s">
        <v>311</v>
      </c>
      <c r="Z676" s="1" t="s">
        <v>312</v>
      </c>
      <c r="AA676" s="1" t="s">
        <v>86</v>
      </c>
      <c r="AB676" s="1" t="s">
        <v>87</v>
      </c>
      <c r="AC676" s="1" t="s">
        <v>33</v>
      </c>
      <c r="AD676" s="1" t="s">
        <v>137</v>
      </c>
      <c r="AE676" s="1" t="s">
        <v>125</v>
      </c>
      <c r="AF676" s="5">
        <f t="shared" si="60"/>
        <v>45430</v>
      </c>
      <c r="AG676" s="5">
        <f t="shared" si="61"/>
        <v>45433</v>
      </c>
      <c r="AH676" s="5" t="b">
        <f t="shared" si="62"/>
        <v>1</v>
      </c>
      <c r="AI676" s="5" t="b">
        <f t="shared" si="63"/>
        <v>1</v>
      </c>
      <c r="AJ676" t="str">
        <f t="shared" si="64"/>
        <v>OK</v>
      </c>
      <c r="AK676">
        <f t="shared" si="65"/>
        <v>3</v>
      </c>
    </row>
    <row r="677" spans="1:37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  <c r="V677" s="1" t="s">
        <v>162</v>
      </c>
      <c r="W677" s="1" t="s">
        <v>26</v>
      </c>
      <c r="X677" s="1" t="s">
        <v>27</v>
      </c>
      <c r="Y677" s="1" t="s">
        <v>28</v>
      </c>
      <c r="Z677" s="1" t="s">
        <v>29</v>
      </c>
      <c r="AA677" s="1" t="s">
        <v>45</v>
      </c>
      <c r="AB677" s="1" t="s">
        <v>65</v>
      </c>
      <c r="AC677" s="1" t="s">
        <v>48</v>
      </c>
      <c r="AD677" s="1" t="s">
        <v>34</v>
      </c>
      <c r="AE677" s="1" t="s">
        <v>35</v>
      </c>
      <c r="AF677" s="5">
        <f t="shared" si="60"/>
        <v>45844</v>
      </c>
      <c r="AG677" s="5">
        <f t="shared" si="61"/>
        <v>45818</v>
      </c>
      <c r="AH677" s="5" t="b">
        <f t="shared" si="62"/>
        <v>1</v>
      </c>
      <c r="AI677" s="5" t="b">
        <f t="shared" si="63"/>
        <v>1</v>
      </c>
      <c r="AJ677" t="str">
        <f t="shared" si="64"/>
        <v>Invalid: Ship before Order</v>
      </c>
      <c r="AK677" t="e">
        <f t="shared" si="65"/>
        <v>#NUM!</v>
      </c>
    </row>
    <row r="678" spans="1:37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  <c r="V678" s="1" t="s">
        <v>148</v>
      </c>
      <c r="W678" s="1" t="s">
        <v>41</v>
      </c>
      <c r="X678" s="1" t="s">
        <v>27</v>
      </c>
      <c r="Y678" s="1" t="s">
        <v>506</v>
      </c>
      <c r="Z678" s="1" t="s">
        <v>507</v>
      </c>
      <c r="AA678" s="1" t="s">
        <v>86</v>
      </c>
      <c r="AB678" s="1" t="s">
        <v>223</v>
      </c>
      <c r="AC678" s="1" t="s">
        <v>48</v>
      </c>
      <c r="AD678" s="1" t="s">
        <v>34</v>
      </c>
      <c r="AE678" s="1" t="s">
        <v>35</v>
      </c>
      <c r="AF678" s="5">
        <f t="shared" si="60"/>
        <v>45911</v>
      </c>
      <c r="AG678" s="5">
        <f t="shared" si="61"/>
        <v>45918</v>
      </c>
      <c r="AH678" s="5" t="b">
        <f t="shared" si="62"/>
        <v>1</v>
      </c>
      <c r="AI678" s="5" t="b">
        <f t="shared" si="63"/>
        <v>1</v>
      </c>
      <c r="AJ678" t="str">
        <f t="shared" si="64"/>
        <v>OK</v>
      </c>
      <c r="AK678">
        <f t="shared" si="65"/>
        <v>7</v>
      </c>
    </row>
    <row r="679" spans="1:37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  <c r="V679" s="1" t="s">
        <v>53</v>
      </c>
      <c r="W679" s="1" t="s">
        <v>115</v>
      </c>
      <c r="X679" s="1" t="s">
        <v>62</v>
      </c>
      <c r="Y679" s="1" t="s">
        <v>229</v>
      </c>
      <c r="Z679" s="1" t="s">
        <v>230</v>
      </c>
      <c r="AA679" s="1" t="s">
        <v>45</v>
      </c>
      <c r="AB679" s="1" t="s">
        <v>76</v>
      </c>
      <c r="AC679" s="1" t="s">
        <v>48</v>
      </c>
      <c r="AD679" s="1" t="s">
        <v>34</v>
      </c>
      <c r="AE679" s="1" t="s">
        <v>35</v>
      </c>
      <c r="AF679" s="5">
        <f t="shared" si="60"/>
        <v>45465</v>
      </c>
      <c r="AG679" s="5" t="e">
        <f t="shared" si="61"/>
        <v>#N/A</v>
      </c>
      <c r="AH679" s="5" t="b">
        <f t="shared" si="62"/>
        <v>1</v>
      </c>
      <c r="AI679" s="5" t="b">
        <f t="shared" si="63"/>
        <v>0</v>
      </c>
      <c r="AJ679" t="e">
        <f t="shared" si="64"/>
        <v>#N/A</v>
      </c>
      <c r="AK679" t="e">
        <f t="shared" si="65"/>
        <v>#N/A</v>
      </c>
    </row>
    <row r="680" spans="1:37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  <c r="V680" s="1" t="s">
        <v>366</v>
      </c>
      <c r="W680" s="1" t="s">
        <v>108</v>
      </c>
      <c r="X680" s="1" t="s">
        <v>62</v>
      </c>
      <c r="Y680" s="1" t="s">
        <v>229</v>
      </c>
      <c r="Z680" s="1" t="s">
        <v>230</v>
      </c>
      <c r="AA680" s="1" t="s">
        <v>45</v>
      </c>
      <c r="AB680" s="1" t="s">
        <v>46</v>
      </c>
      <c r="AC680" s="1" t="s">
        <v>33</v>
      </c>
      <c r="AD680" s="1" t="s">
        <v>34</v>
      </c>
      <c r="AE680" s="1" t="s">
        <v>35</v>
      </c>
      <c r="AF680" s="5" t="e">
        <f t="shared" si="60"/>
        <v>#N/A</v>
      </c>
      <c r="AG680" s="5">
        <f t="shared" si="61"/>
        <v>45627</v>
      </c>
      <c r="AH680" s="5" t="b">
        <f t="shared" si="62"/>
        <v>0</v>
      </c>
      <c r="AI680" s="5" t="b">
        <f t="shared" si="63"/>
        <v>1</v>
      </c>
      <c r="AJ680" t="e">
        <f t="shared" si="64"/>
        <v>#N/A</v>
      </c>
      <c r="AK680" t="e">
        <f t="shared" si="65"/>
        <v>#N/A</v>
      </c>
    </row>
    <row r="681" spans="1:37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  <c r="V681" s="1" t="s">
        <v>180</v>
      </c>
      <c r="W681" s="1" t="s">
        <v>108</v>
      </c>
      <c r="X681" s="1" t="s">
        <v>27</v>
      </c>
      <c r="Y681" s="1" t="s">
        <v>154</v>
      </c>
      <c r="Z681" s="1" t="s">
        <v>155</v>
      </c>
      <c r="AA681" s="1" t="s">
        <v>86</v>
      </c>
      <c r="AB681" s="1" t="s">
        <v>94</v>
      </c>
      <c r="AC681" s="1" t="s">
        <v>48</v>
      </c>
      <c r="AD681" s="1" t="s">
        <v>124</v>
      </c>
      <c r="AE681" s="1" t="s">
        <v>78</v>
      </c>
      <c r="AF681" s="5" t="e">
        <f t="shared" si="60"/>
        <v>#N/A</v>
      </c>
      <c r="AG681" s="5" t="e">
        <f t="shared" si="61"/>
        <v>#N/A</v>
      </c>
      <c r="AH681" s="5" t="b">
        <f t="shared" si="62"/>
        <v>0</v>
      </c>
      <c r="AI681" s="5" t="b">
        <f t="shared" si="63"/>
        <v>0</v>
      </c>
      <c r="AJ681" t="e">
        <f t="shared" si="64"/>
        <v>#N/A</v>
      </c>
      <c r="AK681" t="e">
        <f t="shared" si="65"/>
        <v>#N/A</v>
      </c>
    </row>
    <row r="682" spans="1:37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  <c r="V682" s="1" t="s">
        <v>366</v>
      </c>
      <c r="W682" s="1" t="s">
        <v>108</v>
      </c>
      <c r="X682" s="1" t="s">
        <v>62</v>
      </c>
      <c r="Y682" s="1" t="s">
        <v>339</v>
      </c>
      <c r="Z682" s="1" t="s">
        <v>340</v>
      </c>
      <c r="AA682" s="1" t="s">
        <v>86</v>
      </c>
      <c r="AB682" s="1" t="s">
        <v>87</v>
      </c>
      <c r="AC682" s="1" t="s">
        <v>56</v>
      </c>
      <c r="AD682" s="1" t="s">
        <v>34</v>
      </c>
      <c r="AE682" s="1" t="s">
        <v>35</v>
      </c>
      <c r="AF682" s="5">
        <f t="shared" si="60"/>
        <v>45441</v>
      </c>
      <c r="AG682" s="5">
        <f t="shared" si="61"/>
        <v>45448</v>
      </c>
      <c r="AH682" s="5" t="b">
        <f t="shared" si="62"/>
        <v>1</v>
      </c>
      <c r="AI682" s="5" t="b">
        <f t="shared" si="63"/>
        <v>1</v>
      </c>
      <c r="AJ682" t="str">
        <f t="shared" si="64"/>
        <v>OK</v>
      </c>
      <c r="AK682">
        <f t="shared" si="65"/>
        <v>7</v>
      </c>
    </row>
    <row r="683" spans="1:37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  <c r="V683" s="1" t="s">
        <v>83</v>
      </c>
      <c r="W683" s="1" t="s">
        <v>108</v>
      </c>
      <c r="X683" s="1" t="s">
        <v>27</v>
      </c>
      <c r="Y683" s="1" t="s">
        <v>506</v>
      </c>
      <c r="Z683" s="1" t="s">
        <v>507</v>
      </c>
      <c r="AA683" s="1" t="s">
        <v>45</v>
      </c>
      <c r="AB683" s="1" t="s">
        <v>46</v>
      </c>
      <c r="AC683" s="1" t="s">
        <v>33</v>
      </c>
      <c r="AD683" s="1" t="s">
        <v>34</v>
      </c>
      <c r="AE683" s="1" t="s">
        <v>78</v>
      </c>
      <c r="AF683" s="5">
        <f t="shared" si="60"/>
        <v>45477</v>
      </c>
      <c r="AG683" s="5">
        <f t="shared" si="61"/>
        <v>45483</v>
      </c>
      <c r="AH683" s="5" t="b">
        <f t="shared" si="62"/>
        <v>1</v>
      </c>
      <c r="AI683" s="5" t="b">
        <f t="shared" si="63"/>
        <v>1</v>
      </c>
      <c r="AJ683" t="str">
        <f t="shared" si="64"/>
        <v>OK</v>
      </c>
      <c r="AK683">
        <f t="shared" si="65"/>
        <v>6</v>
      </c>
    </row>
    <row r="684" spans="1:37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  <c r="V684" s="1" t="s">
        <v>72</v>
      </c>
      <c r="W684" s="1" t="s">
        <v>108</v>
      </c>
      <c r="X684" s="1" t="s">
        <v>27</v>
      </c>
      <c r="Y684" s="1" t="s">
        <v>323</v>
      </c>
      <c r="Z684" s="1" t="s">
        <v>324</v>
      </c>
      <c r="AA684" s="1" t="s">
        <v>30</v>
      </c>
      <c r="AB684" s="1" t="s">
        <v>156</v>
      </c>
      <c r="AC684" s="1" t="s">
        <v>48</v>
      </c>
      <c r="AD684" s="1" t="s">
        <v>34</v>
      </c>
      <c r="AE684" s="1" t="s">
        <v>35</v>
      </c>
      <c r="AF684" s="5">
        <f t="shared" si="60"/>
        <v>45693</v>
      </c>
      <c r="AG684" s="5">
        <f t="shared" si="61"/>
        <v>45779</v>
      </c>
      <c r="AH684" s="5" t="b">
        <f t="shared" si="62"/>
        <v>1</v>
      </c>
      <c r="AI684" s="5" t="b">
        <f t="shared" si="63"/>
        <v>1</v>
      </c>
      <c r="AJ684" t="str">
        <f t="shared" si="64"/>
        <v>OK</v>
      </c>
      <c r="AK684">
        <f t="shared" si="65"/>
        <v>86</v>
      </c>
    </row>
    <row r="685" spans="1:37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  <c r="V685" s="1" t="s">
        <v>61</v>
      </c>
      <c r="W685" s="1" t="s">
        <v>41</v>
      </c>
      <c r="X685" s="1" t="s">
        <v>62</v>
      </c>
      <c r="Y685" s="1" t="s">
        <v>63</v>
      </c>
      <c r="Z685" s="1" t="s">
        <v>64</v>
      </c>
      <c r="AA685" s="1" t="s">
        <v>45</v>
      </c>
      <c r="AB685" s="1" t="s">
        <v>65</v>
      </c>
      <c r="AC685" s="1" t="s">
        <v>33</v>
      </c>
      <c r="AD685" s="1" t="s">
        <v>124</v>
      </c>
      <c r="AE685" s="1" t="s">
        <v>78</v>
      </c>
      <c r="AF685" s="5">
        <f t="shared" si="60"/>
        <v>45858</v>
      </c>
      <c r="AG685" s="5" t="e">
        <f t="shared" si="61"/>
        <v>#N/A</v>
      </c>
      <c r="AH685" s="5" t="b">
        <f t="shared" si="62"/>
        <v>1</v>
      </c>
      <c r="AI685" s="5" t="b">
        <f t="shared" si="63"/>
        <v>0</v>
      </c>
      <c r="AJ685" t="e">
        <f t="shared" si="64"/>
        <v>#N/A</v>
      </c>
      <c r="AK685" t="e">
        <f t="shared" si="65"/>
        <v>#N/A</v>
      </c>
    </row>
    <row r="686" spans="1:37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  <c r="V686" s="1" t="s">
        <v>53</v>
      </c>
      <c r="W686" s="1" t="s">
        <v>115</v>
      </c>
      <c r="X686" s="1" t="s">
        <v>62</v>
      </c>
      <c r="Y686" s="1" t="s">
        <v>339</v>
      </c>
      <c r="Z686" s="1" t="s">
        <v>340</v>
      </c>
      <c r="AA686" s="1" t="s">
        <v>45</v>
      </c>
      <c r="AB686" s="1" t="s">
        <v>204</v>
      </c>
      <c r="AC686" s="1" t="s">
        <v>56</v>
      </c>
      <c r="AD686" s="1" t="s">
        <v>124</v>
      </c>
      <c r="AE686" s="1" t="s">
        <v>78</v>
      </c>
      <c r="AF686" s="5">
        <f t="shared" si="60"/>
        <v>45859</v>
      </c>
      <c r="AG686" s="5" t="e">
        <f t="shared" si="61"/>
        <v>#N/A</v>
      </c>
      <c r="AH686" s="5" t="b">
        <f t="shared" si="62"/>
        <v>1</v>
      </c>
      <c r="AI686" s="5" t="b">
        <f t="shared" si="63"/>
        <v>0</v>
      </c>
      <c r="AJ686" t="e">
        <f t="shared" si="64"/>
        <v>#N/A</v>
      </c>
      <c r="AK686" t="e">
        <f t="shared" si="65"/>
        <v>#N/A</v>
      </c>
    </row>
    <row r="687" spans="1:37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  <c r="V687" s="1" t="s">
        <v>93</v>
      </c>
      <c r="W687" s="1" t="s">
        <v>108</v>
      </c>
      <c r="X687" s="1" t="s">
        <v>73</v>
      </c>
      <c r="Y687" s="1" t="s">
        <v>249</v>
      </c>
      <c r="Z687" s="1" t="s">
        <v>250</v>
      </c>
      <c r="AA687" s="1" t="s">
        <v>30</v>
      </c>
      <c r="AB687" s="1" t="s">
        <v>54</v>
      </c>
      <c r="AC687" s="1" t="s">
        <v>67</v>
      </c>
      <c r="AD687" s="1" t="s">
        <v>200</v>
      </c>
      <c r="AE687" s="1" t="s">
        <v>78</v>
      </c>
      <c r="AF687" s="5">
        <f t="shared" si="60"/>
        <v>45931</v>
      </c>
      <c r="AG687" s="5">
        <f t="shared" si="61"/>
        <v>45933</v>
      </c>
      <c r="AH687" s="5" t="b">
        <f t="shared" si="62"/>
        <v>1</v>
      </c>
      <c r="AI687" s="5" t="b">
        <f t="shared" si="63"/>
        <v>1</v>
      </c>
      <c r="AJ687" t="str">
        <f t="shared" si="64"/>
        <v>OK</v>
      </c>
      <c r="AK687">
        <f t="shared" si="65"/>
        <v>2</v>
      </c>
    </row>
    <row r="688" spans="1:37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  <c r="V688" s="1" t="s">
        <v>168</v>
      </c>
      <c r="W688" s="1" t="s">
        <v>115</v>
      </c>
      <c r="X688" s="1" t="s">
        <v>62</v>
      </c>
      <c r="Y688" s="1" t="s">
        <v>339</v>
      </c>
      <c r="Z688" s="1" t="s">
        <v>340</v>
      </c>
      <c r="AA688" s="1" t="s">
        <v>86</v>
      </c>
      <c r="AB688" s="1" t="s">
        <v>94</v>
      </c>
      <c r="AC688" s="1" t="s">
        <v>67</v>
      </c>
      <c r="AD688" s="1" t="s">
        <v>34</v>
      </c>
      <c r="AE688" s="1" t="s">
        <v>35</v>
      </c>
      <c r="AF688" s="5" t="e">
        <f t="shared" si="60"/>
        <v>#N/A</v>
      </c>
      <c r="AG688" s="5">
        <f t="shared" si="61"/>
        <v>45384</v>
      </c>
      <c r="AH688" s="5" t="b">
        <f t="shared" si="62"/>
        <v>0</v>
      </c>
      <c r="AI688" s="5" t="b">
        <f t="shared" si="63"/>
        <v>1</v>
      </c>
      <c r="AJ688" t="e">
        <f t="shared" si="64"/>
        <v>#N/A</v>
      </c>
      <c r="AK688" t="e">
        <f t="shared" si="65"/>
        <v>#N/A</v>
      </c>
    </row>
    <row r="689" spans="1:37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  <c r="V689" s="1" t="s">
        <v>40</v>
      </c>
      <c r="W689" s="1" t="s">
        <v>115</v>
      </c>
      <c r="X689" s="1" t="s">
        <v>27</v>
      </c>
      <c r="Y689" s="1" t="s">
        <v>154</v>
      </c>
      <c r="Z689" s="1" t="s">
        <v>155</v>
      </c>
      <c r="AA689" s="1" t="s">
        <v>45</v>
      </c>
      <c r="AB689" s="1" t="s">
        <v>46</v>
      </c>
      <c r="AC689" s="1" t="s">
        <v>56</v>
      </c>
      <c r="AD689" s="1" t="s">
        <v>200</v>
      </c>
      <c r="AE689" s="1" t="s">
        <v>78</v>
      </c>
      <c r="AF689" s="5">
        <f t="shared" si="60"/>
        <v>45938</v>
      </c>
      <c r="AG689" s="5" t="e">
        <f t="shared" si="61"/>
        <v>#N/A</v>
      </c>
      <c r="AH689" s="5" t="b">
        <f t="shared" si="62"/>
        <v>1</v>
      </c>
      <c r="AI689" s="5" t="b">
        <f t="shared" si="63"/>
        <v>0</v>
      </c>
      <c r="AJ689" t="e">
        <f t="shared" si="64"/>
        <v>#N/A</v>
      </c>
      <c r="AK689" t="e">
        <f t="shared" si="65"/>
        <v>#N/A</v>
      </c>
    </row>
    <row r="690" spans="1:37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  <c r="V690" s="1" t="s">
        <v>93</v>
      </c>
      <c r="W690" s="1" t="s">
        <v>115</v>
      </c>
      <c r="X690" s="1" t="s">
        <v>27</v>
      </c>
      <c r="Y690" s="1" t="s">
        <v>323</v>
      </c>
      <c r="Z690" s="1" t="s">
        <v>324</v>
      </c>
      <c r="AA690" s="1" t="s">
        <v>30</v>
      </c>
      <c r="AB690" s="1" t="s">
        <v>54</v>
      </c>
      <c r="AC690" s="1" t="s">
        <v>33</v>
      </c>
      <c r="AD690" s="1" t="s">
        <v>34</v>
      </c>
      <c r="AE690" s="1" t="s">
        <v>35</v>
      </c>
      <c r="AF690" s="5">
        <f t="shared" si="60"/>
        <v>45714</v>
      </c>
      <c r="AG690" s="5">
        <f t="shared" si="61"/>
        <v>45715</v>
      </c>
      <c r="AH690" s="5" t="b">
        <f t="shared" si="62"/>
        <v>1</v>
      </c>
      <c r="AI690" s="5" t="b">
        <f t="shared" si="63"/>
        <v>1</v>
      </c>
      <c r="AJ690" t="str">
        <f t="shared" si="64"/>
        <v>OK</v>
      </c>
      <c r="AK690">
        <f t="shared" si="65"/>
        <v>1</v>
      </c>
    </row>
    <row r="691" spans="1:37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  <c r="V691" s="1" t="s">
        <v>180</v>
      </c>
      <c r="W691" s="1" t="s">
        <v>41</v>
      </c>
      <c r="X691" s="1" t="s">
        <v>27</v>
      </c>
      <c r="Y691" s="1" t="s">
        <v>154</v>
      </c>
      <c r="Z691" s="1" t="s">
        <v>155</v>
      </c>
      <c r="AA691" s="1" t="s">
        <v>45</v>
      </c>
      <c r="AB691" s="1" t="s">
        <v>46</v>
      </c>
      <c r="AC691" s="1" t="s">
        <v>67</v>
      </c>
      <c r="AD691" s="1" t="s">
        <v>200</v>
      </c>
      <c r="AE691" s="1" t="s">
        <v>78</v>
      </c>
      <c r="AF691" s="5">
        <f t="shared" si="60"/>
        <v>45422</v>
      </c>
      <c r="AG691" s="5">
        <f t="shared" si="61"/>
        <v>45571</v>
      </c>
      <c r="AH691" s="5" t="b">
        <f t="shared" si="62"/>
        <v>1</v>
      </c>
      <c r="AI691" s="5" t="b">
        <f t="shared" si="63"/>
        <v>1</v>
      </c>
      <c r="AJ691" t="str">
        <f t="shared" si="64"/>
        <v>OK</v>
      </c>
      <c r="AK691">
        <f t="shared" si="65"/>
        <v>149</v>
      </c>
    </row>
    <row r="692" spans="1:37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  <c r="V692" s="1" t="s">
        <v>168</v>
      </c>
      <c r="W692" s="1" t="s">
        <v>108</v>
      </c>
      <c r="X692" s="1" t="s">
        <v>62</v>
      </c>
      <c r="Y692" s="1" t="s">
        <v>339</v>
      </c>
      <c r="Z692" s="1" t="s">
        <v>340</v>
      </c>
      <c r="AA692" s="1" t="s">
        <v>30</v>
      </c>
      <c r="AB692" s="1" t="s">
        <v>54</v>
      </c>
      <c r="AC692" s="1" t="s">
        <v>67</v>
      </c>
      <c r="AD692" s="1" t="s">
        <v>200</v>
      </c>
      <c r="AE692" s="1" t="s">
        <v>125</v>
      </c>
      <c r="AF692" s="5">
        <f t="shared" si="60"/>
        <v>45546</v>
      </c>
      <c r="AG692" s="5">
        <f t="shared" si="61"/>
        <v>45550</v>
      </c>
      <c r="AH692" s="5" t="b">
        <f t="shared" si="62"/>
        <v>1</v>
      </c>
      <c r="AI692" s="5" t="b">
        <f t="shared" si="63"/>
        <v>1</v>
      </c>
      <c r="AJ692" t="str">
        <f t="shared" si="64"/>
        <v>OK</v>
      </c>
      <c r="AK692">
        <f t="shared" si="65"/>
        <v>4</v>
      </c>
    </row>
    <row r="693" spans="1:37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  <c r="V693" s="1" t="s">
        <v>180</v>
      </c>
      <c r="W693" s="1" t="s">
        <v>26</v>
      </c>
      <c r="X693" s="1" t="s">
        <v>42</v>
      </c>
      <c r="Y693" s="1" t="s">
        <v>43</v>
      </c>
      <c r="Z693" s="1" t="s">
        <v>44</v>
      </c>
      <c r="AA693" s="1" t="s">
        <v>86</v>
      </c>
      <c r="AB693" s="1" t="s">
        <v>94</v>
      </c>
      <c r="AC693" s="1" t="s">
        <v>33</v>
      </c>
      <c r="AD693" s="1" t="s">
        <v>34</v>
      </c>
      <c r="AE693" s="1" t="s">
        <v>35</v>
      </c>
      <c r="AF693" s="5" t="e">
        <f t="shared" si="60"/>
        <v>#N/A</v>
      </c>
      <c r="AG693" s="5" t="e">
        <f t="shared" si="61"/>
        <v>#N/A</v>
      </c>
      <c r="AH693" s="5" t="b">
        <f t="shared" si="62"/>
        <v>0</v>
      </c>
      <c r="AI693" s="5" t="b">
        <f t="shared" si="63"/>
        <v>0</v>
      </c>
      <c r="AJ693" t="e">
        <f t="shared" si="64"/>
        <v>#N/A</v>
      </c>
      <c r="AK693" t="e">
        <f t="shared" si="65"/>
        <v>#N/A</v>
      </c>
    </row>
    <row r="694" spans="1:37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  <c r="V694" s="1" t="s">
        <v>53</v>
      </c>
      <c r="W694" s="1" t="s">
        <v>108</v>
      </c>
      <c r="X694" s="1" t="s">
        <v>62</v>
      </c>
      <c r="Y694" s="1" t="s">
        <v>229</v>
      </c>
      <c r="Z694" s="1" t="s">
        <v>230</v>
      </c>
      <c r="AA694" s="1" t="s">
        <v>45</v>
      </c>
      <c r="AB694" s="1" t="s">
        <v>65</v>
      </c>
      <c r="AC694" s="1" t="s">
        <v>33</v>
      </c>
      <c r="AD694" s="1" t="s">
        <v>34</v>
      </c>
      <c r="AE694" s="1" t="s">
        <v>35</v>
      </c>
      <c r="AF694" s="5">
        <f t="shared" si="60"/>
        <v>45787</v>
      </c>
      <c r="AG694" s="5">
        <f t="shared" si="61"/>
        <v>45940</v>
      </c>
      <c r="AH694" s="5" t="b">
        <f t="shared" si="62"/>
        <v>1</v>
      </c>
      <c r="AI694" s="5" t="b">
        <f t="shared" si="63"/>
        <v>1</v>
      </c>
      <c r="AJ694" t="str">
        <f t="shared" si="64"/>
        <v>OK</v>
      </c>
      <c r="AK694">
        <f t="shared" si="65"/>
        <v>153</v>
      </c>
    </row>
    <row r="695" spans="1:37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  <c r="V695" s="1" t="s">
        <v>61</v>
      </c>
      <c r="W695" s="1" t="s">
        <v>26</v>
      </c>
      <c r="X695" s="1" t="s">
        <v>62</v>
      </c>
      <c r="Y695" s="1" t="s">
        <v>339</v>
      </c>
      <c r="Z695" s="1" t="s">
        <v>340</v>
      </c>
      <c r="AA695" s="1" t="s">
        <v>45</v>
      </c>
      <c r="AB695" s="1" t="s">
        <v>204</v>
      </c>
      <c r="AC695" s="1" t="s">
        <v>33</v>
      </c>
      <c r="AD695" s="1" t="s">
        <v>34</v>
      </c>
      <c r="AE695" s="1" t="s">
        <v>35</v>
      </c>
      <c r="AF695" s="5">
        <f t="shared" si="60"/>
        <v>45720</v>
      </c>
      <c r="AG695" s="5">
        <f t="shared" si="61"/>
        <v>45758</v>
      </c>
      <c r="AH695" s="5" t="b">
        <f t="shared" si="62"/>
        <v>1</v>
      </c>
      <c r="AI695" s="5" t="b">
        <f t="shared" si="63"/>
        <v>1</v>
      </c>
      <c r="AJ695" t="str">
        <f t="shared" si="64"/>
        <v>OK</v>
      </c>
      <c r="AK695">
        <f t="shared" si="65"/>
        <v>38</v>
      </c>
    </row>
    <row r="696" spans="1:37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  <c r="V696" s="1" t="s">
        <v>53</v>
      </c>
      <c r="W696" s="1" t="s">
        <v>26</v>
      </c>
      <c r="X696" s="1" t="s">
        <v>62</v>
      </c>
      <c r="Y696" s="1" t="s">
        <v>100</v>
      </c>
      <c r="Z696" s="1" t="s">
        <v>101</v>
      </c>
      <c r="AA696" s="1" t="s">
        <v>30</v>
      </c>
      <c r="AB696" s="1" t="s">
        <v>156</v>
      </c>
      <c r="AC696" s="1" t="s">
        <v>56</v>
      </c>
      <c r="AD696" s="1" t="s">
        <v>34</v>
      </c>
      <c r="AE696" s="1" t="s">
        <v>35</v>
      </c>
      <c r="AF696" s="5">
        <f t="shared" si="60"/>
        <v>45665</v>
      </c>
      <c r="AG696" s="5">
        <f t="shared" si="61"/>
        <v>45908</v>
      </c>
      <c r="AH696" s="5" t="b">
        <f t="shared" si="62"/>
        <v>1</v>
      </c>
      <c r="AI696" s="5" t="b">
        <f t="shared" si="63"/>
        <v>1</v>
      </c>
      <c r="AJ696" t="str">
        <f t="shared" si="64"/>
        <v>OK</v>
      </c>
      <c r="AK696">
        <f t="shared" si="65"/>
        <v>243</v>
      </c>
    </row>
    <row r="697" spans="1:37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  <c r="V697" s="1" t="s">
        <v>162</v>
      </c>
      <c r="W697" s="1" t="s">
        <v>26</v>
      </c>
      <c r="X697" s="1" t="s">
        <v>73</v>
      </c>
      <c r="Y697" s="1" t="s">
        <v>84</v>
      </c>
      <c r="Z697" s="1" t="s">
        <v>85</v>
      </c>
      <c r="AA697" s="1" t="s">
        <v>86</v>
      </c>
      <c r="AB697" s="1" t="s">
        <v>382</v>
      </c>
      <c r="AC697" s="1" t="s">
        <v>67</v>
      </c>
      <c r="AD697" s="1" t="s">
        <v>34</v>
      </c>
      <c r="AE697" s="1" t="s">
        <v>35</v>
      </c>
      <c r="AF697" s="5">
        <f t="shared" si="60"/>
        <v>45474</v>
      </c>
      <c r="AG697" s="5">
        <f t="shared" si="61"/>
        <v>45298</v>
      </c>
      <c r="AH697" s="5" t="b">
        <f t="shared" si="62"/>
        <v>1</v>
      </c>
      <c r="AI697" s="5" t="b">
        <f t="shared" si="63"/>
        <v>1</v>
      </c>
      <c r="AJ697" t="str">
        <f t="shared" si="64"/>
        <v>Invalid: Ship before Order</v>
      </c>
      <c r="AK697" t="e">
        <f t="shared" si="65"/>
        <v>#NUM!</v>
      </c>
    </row>
    <row r="698" spans="1:37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  <c r="V698" s="1" t="s">
        <v>53</v>
      </c>
      <c r="W698" s="1" t="s">
        <v>41</v>
      </c>
      <c r="X698" s="1" t="s">
        <v>62</v>
      </c>
      <c r="Y698" s="1" t="s">
        <v>242</v>
      </c>
      <c r="Z698" s="1" t="s">
        <v>243</v>
      </c>
      <c r="AA698" s="1" t="s">
        <v>86</v>
      </c>
      <c r="AB698" s="1" t="s">
        <v>223</v>
      </c>
      <c r="AC698" s="1" t="s">
        <v>4119</v>
      </c>
      <c r="AD698" s="1" t="s">
        <v>34</v>
      </c>
      <c r="AE698" s="1" t="s">
        <v>35</v>
      </c>
      <c r="AF698" s="5">
        <f t="shared" si="60"/>
        <v>45922</v>
      </c>
      <c r="AG698" s="5">
        <f t="shared" si="61"/>
        <v>45925</v>
      </c>
      <c r="AH698" s="5" t="b">
        <f t="shared" si="62"/>
        <v>1</v>
      </c>
      <c r="AI698" s="5" t="b">
        <f t="shared" si="63"/>
        <v>1</v>
      </c>
      <c r="AJ698" t="str">
        <f t="shared" si="64"/>
        <v>OK</v>
      </c>
      <c r="AK698">
        <f t="shared" si="65"/>
        <v>3</v>
      </c>
    </row>
    <row r="699" spans="1:37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  <c r="V699" s="1" t="s">
        <v>61</v>
      </c>
      <c r="W699" s="1" t="s">
        <v>108</v>
      </c>
      <c r="X699" s="1" t="s">
        <v>62</v>
      </c>
      <c r="Y699" s="1" t="s">
        <v>100</v>
      </c>
      <c r="Z699" s="1" t="s">
        <v>101</v>
      </c>
      <c r="AA699" s="1" t="s">
        <v>30</v>
      </c>
      <c r="AB699" s="1" t="s">
        <v>109</v>
      </c>
      <c r="AC699" s="1" t="s">
        <v>56</v>
      </c>
      <c r="AD699" s="1" t="s">
        <v>124</v>
      </c>
      <c r="AE699" s="1" t="s">
        <v>125</v>
      </c>
      <c r="AF699" s="5">
        <f t="shared" si="60"/>
        <v>45717</v>
      </c>
      <c r="AG699" s="5">
        <f t="shared" si="61"/>
        <v>45841</v>
      </c>
      <c r="AH699" s="5" t="b">
        <f t="shared" si="62"/>
        <v>1</v>
      </c>
      <c r="AI699" s="5" t="b">
        <f t="shared" si="63"/>
        <v>1</v>
      </c>
      <c r="AJ699" t="str">
        <f t="shared" si="64"/>
        <v>OK</v>
      </c>
      <c r="AK699">
        <f t="shared" si="65"/>
        <v>124</v>
      </c>
    </row>
    <row r="700" spans="1:37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  <c r="V700" s="1" t="s">
        <v>40</v>
      </c>
      <c r="W700" s="1" t="s">
        <v>108</v>
      </c>
      <c r="X700" s="1" t="s">
        <v>27</v>
      </c>
      <c r="Y700" s="1" t="s">
        <v>28</v>
      </c>
      <c r="Z700" s="1" t="s">
        <v>29</v>
      </c>
      <c r="AA700" s="1" t="s">
        <v>86</v>
      </c>
      <c r="AB700" s="1" t="s">
        <v>382</v>
      </c>
      <c r="AC700" s="1" t="s">
        <v>67</v>
      </c>
      <c r="AD700" s="1" t="s">
        <v>34</v>
      </c>
      <c r="AE700" s="1" t="s">
        <v>125</v>
      </c>
      <c r="AF700" s="5" t="e">
        <f t="shared" si="60"/>
        <v>#N/A</v>
      </c>
      <c r="AG700" s="5">
        <f t="shared" si="61"/>
        <v>45549</v>
      </c>
      <c r="AH700" s="5" t="b">
        <f t="shared" si="62"/>
        <v>0</v>
      </c>
      <c r="AI700" s="5" t="b">
        <f t="shared" si="63"/>
        <v>1</v>
      </c>
      <c r="AJ700" t="e">
        <f t="shared" si="64"/>
        <v>#N/A</v>
      </c>
      <c r="AK700" t="e">
        <f t="shared" si="65"/>
        <v>#N/A</v>
      </c>
    </row>
    <row r="701" spans="1:37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  <c r="V701" s="1" t="s">
        <v>61</v>
      </c>
      <c r="W701" s="1" t="s">
        <v>41</v>
      </c>
      <c r="X701" s="1" t="s">
        <v>62</v>
      </c>
      <c r="Y701" s="1" t="s">
        <v>229</v>
      </c>
      <c r="Z701" s="1" t="s">
        <v>230</v>
      </c>
      <c r="AA701" s="1" t="s">
        <v>45</v>
      </c>
      <c r="AB701" s="1" t="s">
        <v>204</v>
      </c>
      <c r="AC701" s="1" t="s">
        <v>67</v>
      </c>
      <c r="AD701" s="1" t="s">
        <v>34</v>
      </c>
      <c r="AE701" s="1" t="s">
        <v>35</v>
      </c>
      <c r="AF701" s="5">
        <f t="shared" si="60"/>
        <v>45454</v>
      </c>
      <c r="AG701" s="5">
        <f t="shared" si="61"/>
        <v>45454</v>
      </c>
      <c r="AH701" s="5" t="b">
        <f t="shared" si="62"/>
        <v>1</v>
      </c>
      <c r="AI701" s="5" t="b">
        <f t="shared" si="63"/>
        <v>1</v>
      </c>
      <c r="AJ701" t="str">
        <f t="shared" si="64"/>
        <v>OK</v>
      </c>
      <c r="AK701">
        <f t="shared" si="65"/>
        <v>0</v>
      </c>
    </row>
    <row r="702" spans="1:37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  <c r="V702" s="1" t="s">
        <v>93</v>
      </c>
      <c r="W702" s="1" t="s">
        <v>108</v>
      </c>
      <c r="X702" s="1" t="s">
        <v>42</v>
      </c>
      <c r="Y702" s="1" t="s">
        <v>121</v>
      </c>
      <c r="Z702" s="1" t="s">
        <v>122</v>
      </c>
      <c r="AA702" s="1" t="s">
        <v>86</v>
      </c>
      <c r="AB702" s="1" t="s">
        <v>382</v>
      </c>
      <c r="AC702" s="1" t="s">
        <v>67</v>
      </c>
      <c r="AD702" s="1" t="s">
        <v>34</v>
      </c>
      <c r="AE702" s="1" t="s">
        <v>35</v>
      </c>
      <c r="AF702" s="5" t="e">
        <f t="shared" si="60"/>
        <v>#N/A</v>
      </c>
      <c r="AG702" s="5">
        <f t="shared" si="61"/>
        <v>45556</v>
      </c>
      <c r="AH702" s="5" t="b">
        <f t="shared" si="62"/>
        <v>0</v>
      </c>
      <c r="AI702" s="5" t="b">
        <f t="shared" si="63"/>
        <v>1</v>
      </c>
      <c r="AJ702" t="e">
        <f t="shared" si="64"/>
        <v>#N/A</v>
      </c>
      <c r="AK702" t="e">
        <f t="shared" si="65"/>
        <v>#N/A</v>
      </c>
    </row>
    <row r="703" spans="1:37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  <c r="V703" s="1" t="s">
        <v>180</v>
      </c>
      <c r="W703" s="1" t="s">
        <v>41</v>
      </c>
      <c r="X703" s="1" t="s">
        <v>73</v>
      </c>
      <c r="Y703" s="1" t="s">
        <v>235</v>
      </c>
      <c r="Z703" s="1" t="s">
        <v>236</v>
      </c>
      <c r="AA703" s="1" t="s">
        <v>30</v>
      </c>
      <c r="AB703" s="1" t="s">
        <v>54</v>
      </c>
      <c r="AC703" s="1" t="s">
        <v>48</v>
      </c>
      <c r="AD703" s="1" t="s">
        <v>34</v>
      </c>
      <c r="AE703" s="1" t="s">
        <v>125</v>
      </c>
      <c r="AF703" s="5" t="e">
        <f t="shared" si="60"/>
        <v>#N/A</v>
      </c>
      <c r="AG703" s="5">
        <f t="shared" si="61"/>
        <v>45416</v>
      </c>
      <c r="AH703" s="5" t="b">
        <f t="shared" si="62"/>
        <v>0</v>
      </c>
      <c r="AI703" s="5" t="b">
        <f t="shared" si="63"/>
        <v>1</v>
      </c>
      <c r="AJ703" t="e">
        <f t="shared" si="64"/>
        <v>#N/A</v>
      </c>
      <c r="AK703" t="e">
        <f t="shared" si="65"/>
        <v>#N/A</v>
      </c>
    </row>
    <row r="704" spans="1:37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  <c r="V704" s="1" t="s">
        <v>25</v>
      </c>
      <c r="W704" s="1" t="s">
        <v>41</v>
      </c>
      <c r="X704" s="1" t="s">
        <v>73</v>
      </c>
      <c r="Y704" s="1" t="s">
        <v>28</v>
      </c>
      <c r="Z704" s="1" t="s">
        <v>135</v>
      </c>
      <c r="AA704" s="1" t="s">
        <v>45</v>
      </c>
      <c r="AB704" s="1" t="s">
        <v>46</v>
      </c>
      <c r="AC704" s="1" t="s">
        <v>33</v>
      </c>
      <c r="AD704" s="1" t="s">
        <v>34</v>
      </c>
      <c r="AE704" s="1" t="s">
        <v>35</v>
      </c>
      <c r="AF704" s="5">
        <f t="shared" si="60"/>
        <v>45690</v>
      </c>
      <c r="AG704" s="5">
        <f t="shared" si="61"/>
        <v>45694</v>
      </c>
      <c r="AH704" s="5" t="b">
        <f t="shared" si="62"/>
        <v>1</v>
      </c>
      <c r="AI704" s="5" t="b">
        <f t="shared" si="63"/>
        <v>1</v>
      </c>
      <c r="AJ704" t="str">
        <f t="shared" si="64"/>
        <v>OK</v>
      </c>
      <c r="AK704">
        <f t="shared" si="65"/>
        <v>4</v>
      </c>
    </row>
    <row r="705" spans="1:37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  <c r="V705" s="1" t="s">
        <v>107</v>
      </c>
      <c r="W705" s="1" t="s">
        <v>108</v>
      </c>
      <c r="X705" s="1" t="s">
        <v>27</v>
      </c>
      <c r="Y705" s="1" t="s">
        <v>28</v>
      </c>
      <c r="Z705" s="1" t="s">
        <v>29</v>
      </c>
      <c r="AA705" s="1" t="s">
        <v>45</v>
      </c>
      <c r="AB705" s="1" t="s">
        <v>46</v>
      </c>
      <c r="AC705" s="1" t="s">
        <v>56</v>
      </c>
      <c r="AD705" s="1" t="s">
        <v>34</v>
      </c>
      <c r="AE705" s="1" t="s">
        <v>35</v>
      </c>
      <c r="AF705" s="5">
        <f t="shared" si="60"/>
        <v>45584</v>
      </c>
      <c r="AG705" s="5">
        <f t="shared" si="61"/>
        <v>45585</v>
      </c>
      <c r="AH705" s="5" t="b">
        <f t="shared" si="62"/>
        <v>1</v>
      </c>
      <c r="AI705" s="5" t="b">
        <f t="shared" si="63"/>
        <v>1</v>
      </c>
      <c r="AJ705" t="str">
        <f t="shared" si="64"/>
        <v>OK</v>
      </c>
      <c r="AK705">
        <f t="shared" si="65"/>
        <v>1</v>
      </c>
    </row>
    <row r="706" spans="1:37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  <c r="V706" s="1" t="s">
        <v>142</v>
      </c>
      <c r="W706" s="1" t="s">
        <v>115</v>
      </c>
      <c r="X706" s="1" t="s">
        <v>62</v>
      </c>
      <c r="Y706" s="1" t="s">
        <v>339</v>
      </c>
      <c r="Z706" s="1" t="s">
        <v>340</v>
      </c>
      <c r="AA706" s="1" t="s">
        <v>45</v>
      </c>
      <c r="AB706" s="1" t="s">
        <v>204</v>
      </c>
      <c r="AC706" s="1" t="s">
        <v>4119</v>
      </c>
      <c r="AD706" s="1" t="s">
        <v>34</v>
      </c>
      <c r="AE706" s="1" t="s">
        <v>35</v>
      </c>
      <c r="AF706" s="5">
        <f t="shared" si="60"/>
        <v>45364</v>
      </c>
      <c r="AG706" s="5">
        <f t="shared" si="61"/>
        <v>45371</v>
      </c>
      <c r="AH706" s="5" t="b">
        <f t="shared" si="62"/>
        <v>1</v>
      </c>
      <c r="AI706" s="5" t="b">
        <f t="shared" si="63"/>
        <v>1</v>
      </c>
      <c r="AJ706" t="str">
        <f t="shared" si="64"/>
        <v>OK</v>
      </c>
      <c r="AK706">
        <f t="shared" si="65"/>
        <v>7</v>
      </c>
    </row>
    <row r="707" spans="1:37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  <c r="V707" s="1" t="s">
        <v>180</v>
      </c>
      <c r="W707" s="1" t="s">
        <v>26</v>
      </c>
      <c r="X707" s="1" t="s">
        <v>27</v>
      </c>
      <c r="Y707" s="1" t="s">
        <v>28</v>
      </c>
      <c r="Z707" s="1" t="s">
        <v>29</v>
      </c>
      <c r="AA707" s="1" t="s">
        <v>30</v>
      </c>
      <c r="AB707" s="1" t="s">
        <v>198</v>
      </c>
      <c r="AC707" s="1" t="s">
        <v>67</v>
      </c>
      <c r="AD707" s="1" t="s">
        <v>34</v>
      </c>
      <c r="AE707" s="1" t="s">
        <v>35</v>
      </c>
      <c r="AF707" s="5">
        <f t="shared" ref="AF707:AF770" si="66">IFERROR(DATEVALUE(B707),IFERROR(DATE(VALUE(RIGHT(B707,4)),VALUE(MID(SUBSTITUTE(B707,"-","/"),6,2)),VALUE(LEFT(B707,2))),NA()))</f>
        <v>45543</v>
      </c>
      <c r="AG707" s="5">
        <f t="shared" ref="AG707:AG770" si="67">IFERROR(DATEVALUE(C707),IFERROR(DATE(VALUE(RIGHT(C707,4)),VALUE(MID(SUBSTITUTE(C707,"-","/"),6,2)),VALUE(LEFT(C707,2))),NA()))</f>
        <v>45549</v>
      </c>
      <c r="AH707" s="5" t="b">
        <f t="shared" ref="AH707:AH770" si="68">ISNUMBER(AF707)</f>
        <v>1</v>
      </c>
      <c r="AI707" s="5" t="b">
        <f t="shared" ref="AI707:AI770" si="69">ISNUMBER(AG707)</f>
        <v>1</v>
      </c>
      <c r="AJ707" t="str">
        <f t="shared" ref="AJ707:AJ770" si="70">IF(AG707&lt;AF707,"Invalid: Ship before Order","OK")</f>
        <v>OK</v>
      </c>
      <c r="AK707">
        <f t="shared" ref="AK707:AK770" si="71">DATEDIF(AF707, AG707, "D")</f>
        <v>6</v>
      </c>
    </row>
    <row r="708" spans="1:37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  <c r="V708" s="1" t="s">
        <v>53</v>
      </c>
      <c r="W708" s="1" t="s">
        <v>41</v>
      </c>
      <c r="X708" s="1" t="s">
        <v>42</v>
      </c>
      <c r="Y708" s="1" t="s">
        <v>43</v>
      </c>
      <c r="Z708" s="1" t="s">
        <v>44</v>
      </c>
      <c r="AA708" s="1" t="s">
        <v>30</v>
      </c>
      <c r="AB708" s="1" t="s">
        <v>31</v>
      </c>
      <c r="AC708" s="1" t="s">
        <v>48</v>
      </c>
      <c r="AD708" s="1" t="s">
        <v>34</v>
      </c>
      <c r="AE708" s="1" t="s">
        <v>35</v>
      </c>
      <c r="AF708" s="5" t="e">
        <f t="shared" si="66"/>
        <v>#N/A</v>
      </c>
      <c r="AG708" s="5" t="e">
        <f t="shared" si="67"/>
        <v>#N/A</v>
      </c>
      <c r="AH708" s="5" t="b">
        <f t="shared" si="68"/>
        <v>0</v>
      </c>
      <c r="AI708" s="5" t="b">
        <f t="shared" si="69"/>
        <v>0</v>
      </c>
      <c r="AJ708" t="e">
        <f t="shared" si="70"/>
        <v>#N/A</v>
      </c>
      <c r="AK708" t="e">
        <f t="shared" si="71"/>
        <v>#N/A</v>
      </c>
    </row>
    <row r="709" spans="1:37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  <c r="V709" s="1" t="s">
        <v>83</v>
      </c>
      <c r="W709" s="1" t="s">
        <v>26</v>
      </c>
      <c r="X709" s="1" t="s">
        <v>27</v>
      </c>
      <c r="Y709" s="1" t="s">
        <v>28</v>
      </c>
      <c r="Z709" s="1" t="s">
        <v>29</v>
      </c>
      <c r="AA709" s="1" t="s">
        <v>86</v>
      </c>
      <c r="AB709" s="1" t="s">
        <v>87</v>
      </c>
      <c r="AC709" s="1" t="s">
        <v>48</v>
      </c>
      <c r="AD709" s="1" t="s">
        <v>34</v>
      </c>
      <c r="AE709" s="1" t="s">
        <v>35</v>
      </c>
      <c r="AF709" s="5" t="e">
        <f t="shared" si="66"/>
        <v>#N/A</v>
      </c>
      <c r="AG709" s="5">
        <f t="shared" si="67"/>
        <v>45834</v>
      </c>
      <c r="AH709" s="5" t="b">
        <f t="shared" si="68"/>
        <v>0</v>
      </c>
      <c r="AI709" s="5" t="b">
        <f t="shared" si="69"/>
        <v>1</v>
      </c>
      <c r="AJ709" t="e">
        <f t="shared" si="70"/>
        <v>#N/A</v>
      </c>
      <c r="AK709" t="e">
        <f t="shared" si="71"/>
        <v>#N/A</v>
      </c>
    </row>
    <row r="710" spans="1:37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  <c r="V710" s="1" t="s">
        <v>168</v>
      </c>
      <c r="W710" s="1" t="s">
        <v>26</v>
      </c>
      <c r="X710" s="1" t="s">
        <v>42</v>
      </c>
      <c r="Y710" s="1" t="s">
        <v>216</v>
      </c>
      <c r="Z710" s="1" t="s">
        <v>217</v>
      </c>
      <c r="AA710" s="1" t="s">
        <v>45</v>
      </c>
      <c r="AB710" s="1" t="s">
        <v>204</v>
      </c>
      <c r="AC710" s="1" t="s">
        <v>56</v>
      </c>
      <c r="AD710" s="1" t="s">
        <v>34</v>
      </c>
      <c r="AE710" s="1" t="s">
        <v>35</v>
      </c>
      <c r="AF710" s="5">
        <f t="shared" si="66"/>
        <v>45736</v>
      </c>
      <c r="AG710" s="5">
        <f t="shared" si="67"/>
        <v>45742</v>
      </c>
      <c r="AH710" s="5" t="b">
        <f t="shared" si="68"/>
        <v>1</v>
      </c>
      <c r="AI710" s="5" t="b">
        <f t="shared" si="69"/>
        <v>1</v>
      </c>
      <c r="AJ710" t="str">
        <f t="shared" si="70"/>
        <v>OK</v>
      </c>
      <c r="AK710">
        <f t="shared" si="71"/>
        <v>6</v>
      </c>
    </row>
    <row r="711" spans="1:37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  <c r="V711" s="1" t="s">
        <v>366</v>
      </c>
      <c r="W711" s="1" t="s">
        <v>115</v>
      </c>
      <c r="X711" s="1" t="s">
        <v>27</v>
      </c>
      <c r="Y711" s="1" t="s">
        <v>154</v>
      </c>
      <c r="Z711" s="1" t="s">
        <v>155</v>
      </c>
      <c r="AA711" s="1" t="s">
        <v>86</v>
      </c>
      <c r="AB711" s="1" t="s">
        <v>223</v>
      </c>
      <c r="AC711" s="1" t="s">
        <v>48</v>
      </c>
      <c r="AD711" s="1" t="s">
        <v>34</v>
      </c>
      <c r="AE711" s="1" t="s">
        <v>78</v>
      </c>
      <c r="AF711" s="5">
        <f t="shared" si="66"/>
        <v>45676</v>
      </c>
      <c r="AG711" s="5">
        <f t="shared" si="67"/>
        <v>45680</v>
      </c>
      <c r="AH711" s="5" t="b">
        <f t="shared" si="68"/>
        <v>1</v>
      </c>
      <c r="AI711" s="5" t="b">
        <f t="shared" si="69"/>
        <v>1</v>
      </c>
      <c r="AJ711" t="str">
        <f t="shared" si="70"/>
        <v>OK</v>
      </c>
      <c r="AK711">
        <f t="shared" si="71"/>
        <v>4</v>
      </c>
    </row>
    <row r="712" spans="1:37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  <c r="V712" s="1" t="s">
        <v>83</v>
      </c>
      <c r="W712" s="1" t="s">
        <v>108</v>
      </c>
      <c r="X712" s="1" t="s">
        <v>27</v>
      </c>
      <c r="Y712" s="1" t="s">
        <v>154</v>
      </c>
      <c r="Z712" s="1" t="s">
        <v>155</v>
      </c>
      <c r="AA712" s="1" t="s">
        <v>30</v>
      </c>
      <c r="AB712" s="1" t="s">
        <v>54</v>
      </c>
      <c r="AC712" s="1" t="s">
        <v>33</v>
      </c>
      <c r="AD712" s="1" t="s">
        <v>34</v>
      </c>
      <c r="AE712" s="1" t="s">
        <v>35</v>
      </c>
      <c r="AF712" s="5">
        <f t="shared" si="66"/>
        <v>45485</v>
      </c>
      <c r="AG712" s="5">
        <f t="shared" si="67"/>
        <v>45492</v>
      </c>
      <c r="AH712" s="5" t="b">
        <f t="shared" si="68"/>
        <v>1</v>
      </c>
      <c r="AI712" s="5" t="b">
        <f t="shared" si="69"/>
        <v>1</v>
      </c>
      <c r="AJ712" t="str">
        <f t="shared" si="70"/>
        <v>OK</v>
      </c>
      <c r="AK712">
        <f t="shared" si="71"/>
        <v>7</v>
      </c>
    </row>
    <row r="713" spans="1:37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  <c r="V713" s="1" t="s">
        <v>366</v>
      </c>
      <c r="W713" s="1" t="s">
        <v>108</v>
      </c>
      <c r="X713" s="1" t="s">
        <v>42</v>
      </c>
      <c r="Y713" s="1" t="s">
        <v>121</v>
      </c>
      <c r="Z713" s="1" t="s">
        <v>122</v>
      </c>
      <c r="AA713" s="1" t="s">
        <v>86</v>
      </c>
      <c r="AB713" s="1" t="s">
        <v>382</v>
      </c>
      <c r="AC713" s="1" t="s">
        <v>56</v>
      </c>
      <c r="AD713" s="1" t="s">
        <v>137</v>
      </c>
      <c r="AE713" s="1" t="s">
        <v>125</v>
      </c>
      <c r="AF713" s="5">
        <f t="shared" si="66"/>
        <v>45690</v>
      </c>
      <c r="AG713" s="5">
        <f t="shared" si="67"/>
        <v>45690</v>
      </c>
      <c r="AH713" s="5" t="b">
        <f t="shared" si="68"/>
        <v>1</v>
      </c>
      <c r="AI713" s="5" t="b">
        <f t="shared" si="69"/>
        <v>1</v>
      </c>
      <c r="AJ713" t="str">
        <f t="shared" si="70"/>
        <v>OK</v>
      </c>
      <c r="AK713">
        <f t="shared" si="71"/>
        <v>0</v>
      </c>
    </row>
    <row r="714" spans="1:37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  <c r="V714" s="1" t="s">
        <v>53</v>
      </c>
      <c r="W714" s="1" t="s">
        <v>115</v>
      </c>
      <c r="X714" s="1" t="s">
        <v>73</v>
      </c>
      <c r="Y714" s="1" t="s">
        <v>84</v>
      </c>
      <c r="Z714" s="1" t="s">
        <v>85</v>
      </c>
      <c r="AA714" s="1" t="s">
        <v>45</v>
      </c>
      <c r="AB714" s="1" t="s">
        <v>76</v>
      </c>
      <c r="AC714" s="1" t="s">
        <v>56</v>
      </c>
      <c r="AD714" s="1" t="s">
        <v>34</v>
      </c>
      <c r="AE714" s="1" t="s">
        <v>35</v>
      </c>
      <c r="AF714" s="5">
        <f t="shared" si="66"/>
        <v>45332</v>
      </c>
      <c r="AG714" s="5">
        <f t="shared" si="67"/>
        <v>45340</v>
      </c>
      <c r="AH714" s="5" t="b">
        <f t="shared" si="68"/>
        <v>1</v>
      </c>
      <c r="AI714" s="5" t="b">
        <f t="shared" si="69"/>
        <v>1</v>
      </c>
      <c r="AJ714" t="str">
        <f t="shared" si="70"/>
        <v>OK</v>
      </c>
      <c r="AK714">
        <f t="shared" si="71"/>
        <v>8</v>
      </c>
    </row>
    <row r="715" spans="1:37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  <c r="V715" s="1" t="s">
        <v>40</v>
      </c>
      <c r="W715" s="1" t="s">
        <v>26</v>
      </c>
      <c r="X715" s="1" t="s">
        <v>73</v>
      </c>
      <c r="Y715" s="1" t="s">
        <v>28</v>
      </c>
      <c r="Z715" s="1" t="s">
        <v>135</v>
      </c>
      <c r="AA715" s="1" t="s">
        <v>86</v>
      </c>
      <c r="AB715" s="1" t="s">
        <v>382</v>
      </c>
      <c r="AC715" s="1" t="s">
        <v>33</v>
      </c>
      <c r="AD715" s="1" t="s">
        <v>34</v>
      </c>
      <c r="AE715" s="1" t="s">
        <v>35</v>
      </c>
      <c r="AF715" s="5">
        <f t="shared" si="66"/>
        <v>45814</v>
      </c>
      <c r="AG715" s="5">
        <f t="shared" si="67"/>
        <v>45818</v>
      </c>
      <c r="AH715" s="5" t="b">
        <f t="shared" si="68"/>
        <v>1</v>
      </c>
      <c r="AI715" s="5" t="b">
        <f t="shared" si="69"/>
        <v>1</v>
      </c>
      <c r="AJ715" t="str">
        <f t="shared" si="70"/>
        <v>OK</v>
      </c>
      <c r="AK715">
        <f t="shared" si="71"/>
        <v>4</v>
      </c>
    </row>
    <row r="716" spans="1:37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  <c r="V716" s="1" t="s">
        <v>25</v>
      </c>
      <c r="W716" s="1" t="s">
        <v>115</v>
      </c>
      <c r="X716" s="1" t="s">
        <v>27</v>
      </c>
      <c r="Y716" s="1" t="s">
        <v>506</v>
      </c>
      <c r="Z716" s="1" t="s">
        <v>507</v>
      </c>
      <c r="AA716" s="1" t="s">
        <v>86</v>
      </c>
      <c r="AB716" s="1" t="s">
        <v>94</v>
      </c>
      <c r="AC716" s="1" t="s">
        <v>67</v>
      </c>
      <c r="AD716" s="1" t="s">
        <v>34</v>
      </c>
      <c r="AE716" s="1" t="s">
        <v>35</v>
      </c>
      <c r="AF716" s="5">
        <f t="shared" si="66"/>
        <v>45738</v>
      </c>
      <c r="AG716" s="5">
        <f t="shared" si="67"/>
        <v>45739</v>
      </c>
      <c r="AH716" s="5" t="b">
        <f t="shared" si="68"/>
        <v>1</v>
      </c>
      <c r="AI716" s="5" t="b">
        <f t="shared" si="69"/>
        <v>1</v>
      </c>
      <c r="AJ716" t="str">
        <f t="shared" si="70"/>
        <v>OK</v>
      </c>
      <c r="AK716">
        <f t="shared" si="71"/>
        <v>1</v>
      </c>
    </row>
    <row r="717" spans="1:37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  <c r="V717" s="1" t="s">
        <v>142</v>
      </c>
      <c r="W717" s="1" t="s">
        <v>26</v>
      </c>
      <c r="X717" s="1" t="s">
        <v>27</v>
      </c>
      <c r="Y717" s="1" t="s">
        <v>323</v>
      </c>
      <c r="Z717" s="1" t="s">
        <v>324</v>
      </c>
      <c r="AA717" s="1" t="s">
        <v>45</v>
      </c>
      <c r="AB717" s="1" t="s">
        <v>76</v>
      </c>
      <c r="AC717" s="1" t="s">
        <v>33</v>
      </c>
      <c r="AD717" s="1" t="s">
        <v>124</v>
      </c>
      <c r="AE717" s="1" t="s">
        <v>78</v>
      </c>
      <c r="AF717" s="5">
        <f t="shared" si="66"/>
        <v>45891</v>
      </c>
      <c r="AG717" s="5">
        <f t="shared" si="67"/>
        <v>45896</v>
      </c>
      <c r="AH717" s="5" t="b">
        <f t="shared" si="68"/>
        <v>1</v>
      </c>
      <c r="AI717" s="5" t="b">
        <f t="shared" si="69"/>
        <v>1</v>
      </c>
      <c r="AJ717" t="str">
        <f t="shared" si="70"/>
        <v>OK</v>
      </c>
      <c r="AK717">
        <f t="shared" si="71"/>
        <v>5</v>
      </c>
    </row>
    <row r="718" spans="1:37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  <c r="V718" s="1" t="s">
        <v>210</v>
      </c>
      <c r="W718" s="1" t="s">
        <v>41</v>
      </c>
      <c r="X718" s="1" t="s">
        <v>27</v>
      </c>
      <c r="Y718" s="1" t="s">
        <v>323</v>
      </c>
      <c r="Z718" s="1" t="s">
        <v>324</v>
      </c>
      <c r="AA718" s="1" t="s">
        <v>86</v>
      </c>
      <c r="AB718" s="1" t="s">
        <v>223</v>
      </c>
      <c r="AC718" s="1" t="s">
        <v>56</v>
      </c>
      <c r="AD718" s="1" t="s">
        <v>34</v>
      </c>
      <c r="AE718" s="1" t="s">
        <v>35</v>
      </c>
      <c r="AF718" s="5">
        <f t="shared" si="66"/>
        <v>45895</v>
      </c>
      <c r="AG718" s="5" t="e">
        <f t="shared" si="67"/>
        <v>#N/A</v>
      </c>
      <c r="AH718" s="5" t="b">
        <f t="shared" si="68"/>
        <v>1</v>
      </c>
      <c r="AI718" s="5" t="b">
        <f t="shared" si="69"/>
        <v>0</v>
      </c>
      <c r="AJ718" t="e">
        <f t="shared" si="70"/>
        <v>#N/A</v>
      </c>
      <c r="AK718" t="e">
        <f t="shared" si="71"/>
        <v>#N/A</v>
      </c>
    </row>
    <row r="719" spans="1:37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  <c r="V719" s="1" t="s">
        <v>366</v>
      </c>
      <c r="W719" s="1" t="s">
        <v>41</v>
      </c>
      <c r="X719" s="1" t="s">
        <v>27</v>
      </c>
      <c r="Y719" s="1" t="s">
        <v>323</v>
      </c>
      <c r="Z719" s="1" t="s">
        <v>324</v>
      </c>
      <c r="AA719" s="1" t="s">
        <v>86</v>
      </c>
      <c r="AB719" s="1" t="s">
        <v>382</v>
      </c>
      <c r="AC719" s="1" t="s">
        <v>67</v>
      </c>
      <c r="AD719" s="1" t="s">
        <v>137</v>
      </c>
      <c r="AE719" s="1" t="s">
        <v>78</v>
      </c>
      <c r="AF719" s="5">
        <f t="shared" si="66"/>
        <v>46001</v>
      </c>
      <c r="AG719" s="5">
        <f t="shared" si="67"/>
        <v>45945</v>
      </c>
      <c r="AH719" s="5" t="b">
        <f t="shared" si="68"/>
        <v>1</v>
      </c>
      <c r="AI719" s="5" t="b">
        <f t="shared" si="69"/>
        <v>1</v>
      </c>
      <c r="AJ719" t="str">
        <f t="shared" si="70"/>
        <v>Invalid: Ship before Order</v>
      </c>
      <c r="AK719" t="e">
        <f t="shared" si="71"/>
        <v>#NUM!</v>
      </c>
    </row>
    <row r="720" spans="1:37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  <c r="V720" s="1" t="s">
        <v>40</v>
      </c>
      <c r="W720" s="1" t="s">
        <v>26</v>
      </c>
      <c r="X720" s="1" t="s">
        <v>73</v>
      </c>
      <c r="Y720" s="1" t="s">
        <v>74</v>
      </c>
      <c r="Z720" s="1" t="s">
        <v>75</v>
      </c>
      <c r="AA720" s="1" t="s">
        <v>30</v>
      </c>
      <c r="AB720" s="1" t="s">
        <v>54</v>
      </c>
      <c r="AC720" s="1" t="s">
        <v>48</v>
      </c>
      <c r="AD720" s="1" t="s">
        <v>34</v>
      </c>
      <c r="AE720" s="1" t="s">
        <v>35</v>
      </c>
      <c r="AF720" s="5">
        <f t="shared" si="66"/>
        <v>45541</v>
      </c>
      <c r="AG720" s="5">
        <f t="shared" si="67"/>
        <v>45544</v>
      </c>
      <c r="AH720" s="5" t="b">
        <f t="shared" si="68"/>
        <v>1</v>
      </c>
      <c r="AI720" s="5" t="b">
        <f t="shared" si="69"/>
        <v>1</v>
      </c>
      <c r="AJ720" t="str">
        <f t="shared" si="70"/>
        <v>OK</v>
      </c>
      <c r="AK720">
        <f t="shared" si="71"/>
        <v>3</v>
      </c>
    </row>
    <row r="721" spans="1:37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  <c r="V721" s="1" t="s">
        <v>366</v>
      </c>
      <c r="W721" s="1" t="s">
        <v>108</v>
      </c>
      <c r="X721" s="1" t="s">
        <v>73</v>
      </c>
      <c r="Y721" s="1" t="s">
        <v>235</v>
      </c>
      <c r="Z721" s="1" t="s">
        <v>236</v>
      </c>
      <c r="AA721" s="1" t="s">
        <v>30</v>
      </c>
      <c r="AB721" s="1" t="s">
        <v>54</v>
      </c>
      <c r="AC721" s="1" t="s">
        <v>48</v>
      </c>
      <c r="AD721" s="1" t="s">
        <v>34</v>
      </c>
      <c r="AE721" s="1" t="s">
        <v>35</v>
      </c>
      <c r="AF721" s="5">
        <f t="shared" si="66"/>
        <v>45908</v>
      </c>
      <c r="AG721" s="5">
        <f t="shared" si="67"/>
        <v>45909</v>
      </c>
      <c r="AH721" s="5" t="b">
        <f t="shared" si="68"/>
        <v>1</v>
      </c>
      <c r="AI721" s="5" t="b">
        <f t="shared" si="69"/>
        <v>1</v>
      </c>
      <c r="AJ721" t="str">
        <f t="shared" si="70"/>
        <v>OK</v>
      </c>
      <c r="AK721">
        <f t="shared" si="71"/>
        <v>1</v>
      </c>
    </row>
    <row r="722" spans="1:37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  <c r="V722" s="1" t="s">
        <v>107</v>
      </c>
      <c r="W722" s="1" t="s">
        <v>115</v>
      </c>
      <c r="X722" s="1" t="s">
        <v>73</v>
      </c>
      <c r="Y722" s="1" t="s">
        <v>84</v>
      </c>
      <c r="Z722" s="1" t="s">
        <v>85</v>
      </c>
      <c r="AA722" s="1" t="s">
        <v>86</v>
      </c>
      <c r="AB722" s="1" t="s">
        <v>94</v>
      </c>
      <c r="AC722" s="1" t="s">
        <v>48</v>
      </c>
      <c r="AD722" s="1" t="s">
        <v>34</v>
      </c>
      <c r="AE722" s="1" t="s">
        <v>35</v>
      </c>
      <c r="AF722" s="5">
        <f t="shared" si="66"/>
        <v>45489</v>
      </c>
      <c r="AG722" s="5">
        <f t="shared" si="67"/>
        <v>45489</v>
      </c>
      <c r="AH722" s="5" t="b">
        <f t="shared" si="68"/>
        <v>1</v>
      </c>
      <c r="AI722" s="5" t="b">
        <f t="shared" si="69"/>
        <v>1</v>
      </c>
      <c r="AJ722" t="str">
        <f t="shared" si="70"/>
        <v>OK</v>
      </c>
      <c r="AK722">
        <f t="shared" si="71"/>
        <v>0</v>
      </c>
    </row>
    <row r="723" spans="1:37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  <c r="V723" s="1" t="s">
        <v>168</v>
      </c>
      <c r="W723" s="1" t="s">
        <v>26</v>
      </c>
      <c r="X723" s="1" t="s">
        <v>62</v>
      </c>
      <c r="Y723" s="1" t="s">
        <v>229</v>
      </c>
      <c r="Z723" s="1" t="s">
        <v>230</v>
      </c>
      <c r="AA723" s="1" t="s">
        <v>86</v>
      </c>
      <c r="AB723" s="1" t="s">
        <v>94</v>
      </c>
      <c r="AC723" s="1" t="s">
        <v>56</v>
      </c>
      <c r="AD723" s="1" t="s">
        <v>34</v>
      </c>
      <c r="AE723" s="1" t="s">
        <v>35</v>
      </c>
      <c r="AF723" s="5" t="e">
        <f t="shared" si="66"/>
        <v>#N/A</v>
      </c>
      <c r="AG723" s="5" t="e">
        <f t="shared" si="67"/>
        <v>#N/A</v>
      </c>
      <c r="AH723" s="5" t="b">
        <f t="shared" si="68"/>
        <v>0</v>
      </c>
      <c r="AI723" s="5" t="b">
        <f t="shared" si="69"/>
        <v>0</v>
      </c>
      <c r="AJ723" t="e">
        <f t="shared" si="70"/>
        <v>#N/A</v>
      </c>
      <c r="AK723" t="e">
        <f t="shared" si="71"/>
        <v>#N/A</v>
      </c>
    </row>
    <row r="724" spans="1:37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  <c r="V724" s="1" t="s">
        <v>83</v>
      </c>
      <c r="W724" s="1" t="s">
        <v>26</v>
      </c>
      <c r="X724" s="1" t="s">
        <v>42</v>
      </c>
      <c r="Y724" s="1" t="s">
        <v>121</v>
      </c>
      <c r="Z724" s="1" t="s">
        <v>122</v>
      </c>
      <c r="AA724" s="1" t="s">
        <v>45</v>
      </c>
      <c r="AB724" s="1" t="s">
        <v>76</v>
      </c>
      <c r="AC724" s="1" t="s">
        <v>33</v>
      </c>
      <c r="AD724" s="1" t="s">
        <v>124</v>
      </c>
      <c r="AE724" s="1" t="s">
        <v>78</v>
      </c>
      <c r="AF724" s="5">
        <f t="shared" si="66"/>
        <v>45572</v>
      </c>
      <c r="AG724" s="5">
        <f t="shared" si="67"/>
        <v>45575</v>
      </c>
      <c r="AH724" s="5" t="b">
        <f t="shared" si="68"/>
        <v>1</v>
      </c>
      <c r="AI724" s="5" t="b">
        <f t="shared" si="69"/>
        <v>1</v>
      </c>
      <c r="AJ724" t="str">
        <f t="shared" si="70"/>
        <v>OK</v>
      </c>
      <c r="AK724">
        <f t="shared" si="71"/>
        <v>3</v>
      </c>
    </row>
    <row r="725" spans="1:37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  <c r="V725" s="1" t="s">
        <v>366</v>
      </c>
      <c r="W725" s="1" t="s">
        <v>115</v>
      </c>
      <c r="X725" s="1" t="s">
        <v>42</v>
      </c>
      <c r="Y725" s="1" t="s">
        <v>311</v>
      </c>
      <c r="Z725" s="1" t="s">
        <v>312</v>
      </c>
      <c r="AA725" s="1" t="s">
        <v>86</v>
      </c>
      <c r="AB725" s="1" t="s">
        <v>87</v>
      </c>
      <c r="AC725" s="1" t="s">
        <v>67</v>
      </c>
      <c r="AD725" s="1" t="s">
        <v>200</v>
      </c>
      <c r="AE725" s="1" t="s">
        <v>125</v>
      </c>
      <c r="AF725" s="5">
        <f t="shared" si="66"/>
        <v>45936</v>
      </c>
      <c r="AG725" s="5">
        <f t="shared" si="67"/>
        <v>45943</v>
      </c>
      <c r="AH725" s="5" t="b">
        <f t="shared" si="68"/>
        <v>1</v>
      </c>
      <c r="AI725" s="5" t="b">
        <f t="shared" si="69"/>
        <v>1</v>
      </c>
      <c r="AJ725" t="str">
        <f t="shared" si="70"/>
        <v>OK</v>
      </c>
      <c r="AK725">
        <f t="shared" si="71"/>
        <v>7</v>
      </c>
    </row>
    <row r="726" spans="1:37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  <c r="V726" s="1" t="s">
        <v>25</v>
      </c>
      <c r="W726" s="1" t="s">
        <v>26</v>
      </c>
      <c r="X726" s="1" t="s">
        <v>73</v>
      </c>
      <c r="Y726" s="1" t="s">
        <v>249</v>
      </c>
      <c r="Z726" s="1" t="s">
        <v>250</v>
      </c>
      <c r="AA726" s="1" t="s">
        <v>45</v>
      </c>
      <c r="AB726" s="1" t="s">
        <v>65</v>
      </c>
      <c r="AC726" s="1" t="s">
        <v>33</v>
      </c>
      <c r="AD726" s="1" t="s">
        <v>34</v>
      </c>
      <c r="AE726" s="1" t="s">
        <v>35</v>
      </c>
      <c r="AF726" s="5">
        <f t="shared" si="66"/>
        <v>45332</v>
      </c>
      <c r="AG726" s="5" t="e">
        <f t="shared" si="67"/>
        <v>#N/A</v>
      </c>
      <c r="AH726" s="5" t="b">
        <f t="shared" si="68"/>
        <v>1</v>
      </c>
      <c r="AI726" s="5" t="b">
        <f t="shared" si="69"/>
        <v>0</v>
      </c>
      <c r="AJ726" t="e">
        <f t="shared" si="70"/>
        <v>#N/A</v>
      </c>
      <c r="AK726" t="e">
        <f t="shared" si="71"/>
        <v>#N/A</v>
      </c>
    </row>
    <row r="727" spans="1:37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  <c r="V727" s="1" t="s">
        <v>142</v>
      </c>
      <c r="W727" s="1" t="s">
        <v>108</v>
      </c>
      <c r="X727" s="1" t="s">
        <v>62</v>
      </c>
      <c r="Y727" s="1" t="s">
        <v>229</v>
      </c>
      <c r="Z727" s="1" t="s">
        <v>230</v>
      </c>
      <c r="AA727" s="1" t="s">
        <v>45</v>
      </c>
      <c r="AB727" s="1" t="s">
        <v>46</v>
      </c>
      <c r="AC727" s="1" t="s">
        <v>33</v>
      </c>
      <c r="AD727" s="1" t="s">
        <v>34</v>
      </c>
      <c r="AE727" s="1" t="s">
        <v>35</v>
      </c>
      <c r="AF727" s="5">
        <f t="shared" si="66"/>
        <v>45935</v>
      </c>
      <c r="AG727" s="5">
        <f t="shared" si="67"/>
        <v>45942</v>
      </c>
      <c r="AH727" s="5" t="b">
        <f t="shared" si="68"/>
        <v>1</v>
      </c>
      <c r="AI727" s="5" t="b">
        <f t="shared" si="69"/>
        <v>1</v>
      </c>
      <c r="AJ727" t="str">
        <f t="shared" si="70"/>
        <v>OK</v>
      </c>
      <c r="AK727">
        <f t="shared" si="71"/>
        <v>7</v>
      </c>
    </row>
    <row r="728" spans="1:37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  <c r="V728" s="1" t="s">
        <v>366</v>
      </c>
      <c r="W728" s="1" t="s">
        <v>115</v>
      </c>
      <c r="X728" s="1" t="s">
        <v>73</v>
      </c>
      <c r="Y728" s="1" t="s">
        <v>235</v>
      </c>
      <c r="Z728" s="1" t="s">
        <v>236</v>
      </c>
      <c r="AA728" s="1" t="s">
        <v>86</v>
      </c>
      <c r="AB728" s="1" t="s">
        <v>223</v>
      </c>
      <c r="AC728" s="1" t="s">
        <v>67</v>
      </c>
      <c r="AD728" s="1" t="s">
        <v>137</v>
      </c>
      <c r="AE728" s="1" t="s">
        <v>125</v>
      </c>
      <c r="AF728" s="5">
        <f t="shared" si="66"/>
        <v>45308</v>
      </c>
      <c r="AG728" s="5">
        <f t="shared" si="67"/>
        <v>45314</v>
      </c>
      <c r="AH728" s="5" t="b">
        <f t="shared" si="68"/>
        <v>1</v>
      </c>
      <c r="AI728" s="5" t="b">
        <f t="shared" si="69"/>
        <v>1</v>
      </c>
      <c r="AJ728" t="str">
        <f t="shared" si="70"/>
        <v>OK</v>
      </c>
      <c r="AK728">
        <f t="shared" si="71"/>
        <v>6</v>
      </c>
    </row>
    <row r="729" spans="1:37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  <c r="V729" s="1" t="s">
        <v>162</v>
      </c>
      <c r="W729" s="1" t="s">
        <v>41</v>
      </c>
      <c r="X729" s="1" t="s">
        <v>42</v>
      </c>
      <c r="Y729" s="1" t="s">
        <v>216</v>
      </c>
      <c r="Z729" s="1" t="s">
        <v>217</v>
      </c>
      <c r="AA729" s="1" t="s">
        <v>86</v>
      </c>
      <c r="AB729" s="1" t="s">
        <v>87</v>
      </c>
      <c r="AC729" s="1" t="s">
        <v>33</v>
      </c>
      <c r="AD729" s="1" t="s">
        <v>34</v>
      </c>
      <c r="AE729" s="1" t="s">
        <v>35</v>
      </c>
      <c r="AF729" s="5">
        <f t="shared" si="66"/>
        <v>45578</v>
      </c>
      <c r="AG729" s="5">
        <f t="shared" si="67"/>
        <v>45578</v>
      </c>
      <c r="AH729" s="5" t="b">
        <f t="shared" si="68"/>
        <v>1</v>
      </c>
      <c r="AI729" s="5" t="b">
        <f t="shared" si="69"/>
        <v>1</v>
      </c>
      <c r="AJ729" t="str">
        <f t="shared" si="70"/>
        <v>OK</v>
      </c>
      <c r="AK729">
        <f t="shared" si="71"/>
        <v>0</v>
      </c>
    </row>
    <row r="730" spans="1:37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  <c r="V730" s="1" t="s">
        <v>168</v>
      </c>
      <c r="W730" s="1" t="s">
        <v>41</v>
      </c>
      <c r="X730" s="1" t="s">
        <v>62</v>
      </c>
      <c r="Y730" s="1" t="s">
        <v>229</v>
      </c>
      <c r="Z730" s="1" t="s">
        <v>230</v>
      </c>
      <c r="AA730" s="1" t="s">
        <v>86</v>
      </c>
      <c r="AB730" s="1" t="s">
        <v>382</v>
      </c>
      <c r="AC730" s="1" t="s">
        <v>56</v>
      </c>
      <c r="AD730" s="1" t="s">
        <v>34</v>
      </c>
      <c r="AE730" s="1" t="s">
        <v>35</v>
      </c>
      <c r="AF730" s="5">
        <f t="shared" si="66"/>
        <v>45295</v>
      </c>
      <c r="AG730" s="5">
        <f t="shared" si="67"/>
        <v>45474</v>
      </c>
      <c r="AH730" s="5" t="b">
        <f t="shared" si="68"/>
        <v>1</v>
      </c>
      <c r="AI730" s="5" t="b">
        <f t="shared" si="69"/>
        <v>1</v>
      </c>
      <c r="AJ730" t="str">
        <f t="shared" si="70"/>
        <v>OK</v>
      </c>
      <c r="AK730">
        <f t="shared" si="71"/>
        <v>179</v>
      </c>
    </row>
    <row r="731" spans="1:37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  <c r="V731" s="1" t="s">
        <v>72</v>
      </c>
      <c r="W731" s="1" t="s">
        <v>108</v>
      </c>
      <c r="X731" s="1" t="s">
        <v>62</v>
      </c>
      <c r="Y731" s="1" t="s">
        <v>339</v>
      </c>
      <c r="Z731" s="1" t="s">
        <v>340</v>
      </c>
      <c r="AA731" s="1" t="s">
        <v>86</v>
      </c>
      <c r="AB731" s="1" t="s">
        <v>382</v>
      </c>
      <c r="AC731" s="1" t="s">
        <v>48</v>
      </c>
      <c r="AD731" s="1" t="s">
        <v>34</v>
      </c>
      <c r="AE731" s="1" t="s">
        <v>35</v>
      </c>
      <c r="AF731" s="5" t="e">
        <f t="shared" si="66"/>
        <v>#N/A</v>
      </c>
      <c r="AG731" s="5">
        <f t="shared" si="67"/>
        <v>45802</v>
      </c>
      <c r="AH731" s="5" t="b">
        <f t="shared" si="68"/>
        <v>0</v>
      </c>
      <c r="AI731" s="5" t="b">
        <f t="shared" si="69"/>
        <v>1</v>
      </c>
      <c r="AJ731" t="e">
        <f t="shared" si="70"/>
        <v>#N/A</v>
      </c>
      <c r="AK731" t="e">
        <f t="shared" si="71"/>
        <v>#N/A</v>
      </c>
    </row>
    <row r="732" spans="1:37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  <c r="V732" s="1" t="s">
        <v>61</v>
      </c>
      <c r="W732" s="1" t="s">
        <v>26</v>
      </c>
      <c r="X732" s="1" t="s">
        <v>42</v>
      </c>
      <c r="Y732" s="1" t="s">
        <v>121</v>
      </c>
      <c r="Z732" s="1" t="s">
        <v>122</v>
      </c>
      <c r="AA732" s="1" t="s">
        <v>30</v>
      </c>
      <c r="AB732" s="1" t="s">
        <v>54</v>
      </c>
      <c r="AC732" s="1" t="s">
        <v>33</v>
      </c>
      <c r="AD732" s="1" t="s">
        <v>124</v>
      </c>
      <c r="AE732" s="1" t="s">
        <v>125</v>
      </c>
      <c r="AF732" s="5">
        <f t="shared" si="66"/>
        <v>45827</v>
      </c>
      <c r="AG732" s="5" t="e">
        <f t="shared" si="67"/>
        <v>#N/A</v>
      </c>
      <c r="AH732" s="5" t="b">
        <f t="shared" si="68"/>
        <v>1</v>
      </c>
      <c r="AI732" s="5" t="b">
        <f t="shared" si="69"/>
        <v>0</v>
      </c>
      <c r="AJ732" t="e">
        <f t="shared" si="70"/>
        <v>#N/A</v>
      </c>
      <c r="AK732" t="e">
        <f t="shared" si="71"/>
        <v>#N/A</v>
      </c>
    </row>
    <row r="733" spans="1:37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  <c r="V733" s="1" t="s">
        <v>72</v>
      </c>
      <c r="W733" s="1" t="s">
        <v>108</v>
      </c>
      <c r="X733" s="1" t="s">
        <v>42</v>
      </c>
      <c r="Y733" s="1" t="s">
        <v>43</v>
      </c>
      <c r="Z733" s="1" t="s">
        <v>44</v>
      </c>
      <c r="AA733" s="1" t="s">
        <v>30</v>
      </c>
      <c r="AB733" s="1" t="s">
        <v>198</v>
      </c>
      <c r="AC733" s="1" t="s">
        <v>56</v>
      </c>
      <c r="AD733" s="1" t="s">
        <v>34</v>
      </c>
      <c r="AE733" s="1" t="s">
        <v>35</v>
      </c>
      <c r="AF733" s="5">
        <f t="shared" si="66"/>
        <v>45368</v>
      </c>
      <c r="AG733" s="5">
        <f t="shared" si="67"/>
        <v>45370</v>
      </c>
      <c r="AH733" s="5" t="b">
        <f t="shared" si="68"/>
        <v>1</v>
      </c>
      <c r="AI733" s="5" t="b">
        <f t="shared" si="69"/>
        <v>1</v>
      </c>
      <c r="AJ733" t="str">
        <f t="shared" si="70"/>
        <v>OK</v>
      </c>
      <c r="AK733">
        <f t="shared" si="71"/>
        <v>2</v>
      </c>
    </row>
    <row r="734" spans="1:37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  <c r="V734" s="1" t="s">
        <v>61</v>
      </c>
      <c r="W734" s="1" t="s">
        <v>41</v>
      </c>
      <c r="X734" s="1" t="s">
        <v>27</v>
      </c>
      <c r="Y734" s="1" t="s">
        <v>154</v>
      </c>
      <c r="Z734" s="1" t="s">
        <v>155</v>
      </c>
      <c r="AA734" s="1" t="s">
        <v>86</v>
      </c>
      <c r="AB734" s="1" t="s">
        <v>223</v>
      </c>
      <c r="AC734" s="1" t="s">
        <v>67</v>
      </c>
      <c r="AD734" s="1" t="s">
        <v>34</v>
      </c>
      <c r="AE734" s="1" t="s">
        <v>35</v>
      </c>
      <c r="AF734" s="5">
        <f t="shared" si="66"/>
        <v>45624</v>
      </c>
      <c r="AG734" s="5">
        <f t="shared" si="67"/>
        <v>45632</v>
      </c>
      <c r="AH734" s="5" t="b">
        <f t="shared" si="68"/>
        <v>1</v>
      </c>
      <c r="AI734" s="5" t="b">
        <f t="shared" si="69"/>
        <v>1</v>
      </c>
      <c r="AJ734" t="str">
        <f t="shared" si="70"/>
        <v>OK</v>
      </c>
      <c r="AK734">
        <f t="shared" si="71"/>
        <v>8</v>
      </c>
    </row>
    <row r="735" spans="1:37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  <c r="V735" s="1" t="s">
        <v>162</v>
      </c>
      <c r="W735" s="1" t="s">
        <v>115</v>
      </c>
      <c r="X735" s="1" t="s">
        <v>27</v>
      </c>
      <c r="Y735" s="1" t="s">
        <v>28</v>
      </c>
      <c r="Z735" s="1" t="s">
        <v>29</v>
      </c>
      <c r="AA735" s="1" t="s">
        <v>45</v>
      </c>
      <c r="AB735" s="1" t="s">
        <v>65</v>
      </c>
      <c r="AC735" s="1" t="s">
        <v>56</v>
      </c>
      <c r="AD735" s="1" t="s">
        <v>34</v>
      </c>
      <c r="AE735" s="1" t="s">
        <v>35</v>
      </c>
      <c r="AF735" s="5" t="e">
        <f t="shared" si="66"/>
        <v>#N/A</v>
      </c>
      <c r="AG735" s="5">
        <f t="shared" si="67"/>
        <v>45471</v>
      </c>
      <c r="AH735" s="5" t="b">
        <f t="shared" si="68"/>
        <v>0</v>
      </c>
      <c r="AI735" s="5" t="b">
        <f t="shared" si="69"/>
        <v>1</v>
      </c>
      <c r="AJ735" t="e">
        <f t="shared" si="70"/>
        <v>#N/A</v>
      </c>
      <c r="AK735" t="e">
        <f t="shared" si="71"/>
        <v>#N/A</v>
      </c>
    </row>
    <row r="736" spans="1:37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  <c r="V736" s="1" t="s">
        <v>72</v>
      </c>
      <c r="W736" s="1" t="s">
        <v>41</v>
      </c>
      <c r="X736" s="1" t="s">
        <v>27</v>
      </c>
      <c r="Y736" s="1" t="s">
        <v>28</v>
      </c>
      <c r="Z736" s="1" t="s">
        <v>29</v>
      </c>
      <c r="AA736" s="1" t="s">
        <v>86</v>
      </c>
      <c r="AB736" s="1" t="s">
        <v>87</v>
      </c>
      <c r="AC736" s="1" t="s">
        <v>56</v>
      </c>
      <c r="AD736" s="1" t="s">
        <v>34</v>
      </c>
      <c r="AE736" s="1" t="s">
        <v>35</v>
      </c>
      <c r="AF736" s="5" t="e">
        <f t="shared" si="66"/>
        <v>#N/A</v>
      </c>
      <c r="AG736" s="5" t="e">
        <f t="shared" si="67"/>
        <v>#N/A</v>
      </c>
      <c r="AH736" s="5" t="b">
        <f t="shared" si="68"/>
        <v>0</v>
      </c>
      <c r="AI736" s="5" t="b">
        <f t="shared" si="69"/>
        <v>0</v>
      </c>
      <c r="AJ736" t="e">
        <f t="shared" si="70"/>
        <v>#N/A</v>
      </c>
      <c r="AK736" t="e">
        <f t="shared" si="71"/>
        <v>#N/A</v>
      </c>
    </row>
    <row r="737" spans="1:37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  <c r="V737" s="1" t="s">
        <v>40</v>
      </c>
      <c r="W737" s="1" t="s">
        <v>26</v>
      </c>
      <c r="X737" s="1" t="s">
        <v>73</v>
      </c>
      <c r="Y737" s="1" t="s">
        <v>74</v>
      </c>
      <c r="Z737" s="1" t="s">
        <v>75</v>
      </c>
      <c r="AA737" s="1" t="s">
        <v>45</v>
      </c>
      <c r="AB737" s="1" t="s">
        <v>46</v>
      </c>
      <c r="AC737" s="1" t="s">
        <v>67</v>
      </c>
      <c r="AD737" s="1" t="s">
        <v>34</v>
      </c>
      <c r="AE737" s="1" t="s">
        <v>35</v>
      </c>
      <c r="AF737" s="5">
        <f t="shared" si="66"/>
        <v>45515</v>
      </c>
      <c r="AG737" s="5" t="e">
        <f t="shared" si="67"/>
        <v>#N/A</v>
      </c>
      <c r="AH737" s="5" t="b">
        <f t="shared" si="68"/>
        <v>1</v>
      </c>
      <c r="AI737" s="5" t="b">
        <f t="shared" si="69"/>
        <v>0</v>
      </c>
      <c r="AJ737" t="e">
        <f t="shared" si="70"/>
        <v>#N/A</v>
      </c>
      <c r="AK737" t="e">
        <f t="shared" si="71"/>
        <v>#N/A</v>
      </c>
    </row>
    <row r="738" spans="1:37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  <c r="V738" s="1" t="s">
        <v>107</v>
      </c>
      <c r="W738" s="1" t="s">
        <v>26</v>
      </c>
      <c r="X738" s="1" t="s">
        <v>73</v>
      </c>
      <c r="Y738" s="1" t="s">
        <v>74</v>
      </c>
      <c r="Z738" s="1" t="s">
        <v>75</v>
      </c>
      <c r="AA738" s="1" t="s">
        <v>45</v>
      </c>
      <c r="AB738" s="1" t="s">
        <v>76</v>
      </c>
      <c r="AC738" s="1" t="s">
        <v>33</v>
      </c>
      <c r="AD738" s="1" t="s">
        <v>34</v>
      </c>
      <c r="AE738" s="1" t="s">
        <v>35</v>
      </c>
      <c r="AF738" s="5">
        <f t="shared" si="66"/>
        <v>45632</v>
      </c>
      <c r="AG738" s="5">
        <f t="shared" si="67"/>
        <v>45547</v>
      </c>
      <c r="AH738" s="5" t="b">
        <f t="shared" si="68"/>
        <v>1</v>
      </c>
      <c r="AI738" s="5" t="b">
        <f t="shared" si="69"/>
        <v>1</v>
      </c>
      <c r="AJ738" t="str">
        <f t="shared" si="70"/>
        <v>Invalid: Ship before Order</v>
      </c>
      <c r="AK738" t="e">
        <f t="shared" si="71"/>
        <v>#NUM!</v>
      </c>
    </row>
    <row r="739" spans="1:37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  <c r="V739" s="1" t="s">
        <v>53</v>
      </c>
      <c r="W739" s="1" t="s">
        <v>115</v>
      </c>
      <c r="X739" s="1" t="s">
        <v>73</v>
      </c>
      <c r="Y739" s="1" t="s">
        <v>74</v>
      </c>
      <c r="Z739" s="1" t="s">
        <v>75</v>
      </c>
      <c r="AA739" s="1" t="s">
        <v>45</v>
      </c>
      <c r="AB739" s="1" t="s">
        <v>76</v>
      </c>
      <c r="AC739" s="1" t="s">
        <v>48</v>
      </c>
      <c r="AD739" s="1" t="s">
        <v>34</v>
      </c>
      <c r="AE739" s="1" t="s">
        <v>35</v>
      </c>
      <c r="AF739" s="5">
        <f t="shared" si="66"/>
        <v>45332</v>
      </c>
      <c r="AG739" s="5">
        <f t="shared" si="67"/>
        <v>45332</v>
      </c>
      <c r="AH739" s="5" t="b">
        <f t="shared" si="68"/>
        <v>1</v>
      </c>
      <c r="AI739" s="5" t="b">
        <f t="shared" si="69"/>
        <v>1</v>
      </c>
      <c r="AJ739" t="str">
        <f t="shared" si="70"/>
        <v>OK</v>
      </c>
      <c r="AK739">
        <f t="shared" si="71"/>
        <v>0</v>
      </c>
    </row>
    <row r="740" spans="1:37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  <c r="V740" s="1" t="s">
        <v>142</v>
      </c>
      <c r="W740" s="1" t="s">
        <v>108</v>
      </c>
      <c r="X740" s="1" t="s">
        <v>62</v>
      </c>
      <c r="Y740" s="1" t="s">
        <v>242</v>
      </c>
      <c r="Z740" s="1" t="s">
        <v>243</v>
      </c>
      <c r="AA740" s="1" t="s">
        <v>30</v>
      </c>
      <c r="AB740" s="1" t="s">
        <v>31</v>
      </c>
      <c r="AC740" s="1" t="s">
        <v>56</v>
      </c>
      <c r="AD740" s="1" t="s">
        <v>34</v>
      </c>
      <c r="AE740" s="1" t="s">
        <v>35</v>
      </c>
      <c r="AF740" s="5">
        <f t="shared" si="66"/>
        <v>45708</v>
      </c>
      <c r="AG740" s="5">
        <f t="shared" si="67"/>
        <v>45710</v>
      </c>
      <c r="AH740" s="5" t="b">
        <f t="shared" si="68"/>
        <v>1</v>
      </c>
      <c r="AI740" s="5" t="b">
        <f t="shared" si="69"/>
        <v>1</v>
      </c>
      <c r="AJ740" t="str">
        <f t="shared" si="70"/>
        <v>OK</v>
      </c>
      <c r="AK740">
        <f t="shared" si="71"/>
        <v>2</v>
      </c>
    </row>
    <row r="741" spans="1:37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  <c r="V741" s="1" t="s">
        <v>93</v>
      </c>
      <c r="W741" s="1" t="s">
        <v>108</v>
      </c>
      <c r="X741" s="1" t="s">
        <v>27</v>
      </c>
      <c r="Y741" s="1" t="s">
        <v>28</v>
      </c>
      <c r="Z741" s="1" t="s">
        <v>29</v>
      </c>
      <c r="AA741" s="1" t="s">
        <v>86</v>
      </c>
      <c r="AB741" s="1" t="s">
        <v>223</v>
      </c>
      <c r="AC741" s="1" t="s">
        <v>67</v>
      </c>
      <c r="AD741" s="1" t="s">
        <v>34</v>
      </c>
      <c r="AE741" s="1" t="s">
        <v>35</v>
      </c>
      <c r="AF741" s="5">
        <f t="shared" si="66"/>
        <v>45629</v>
      </c>
      <c r="AG741" s="5">
        <f t="shared" si="67"/>
        <v>45636</v>
      </c>
      <c r="AH741" s="5" t="b">
        <f t="shared" si="68"/>
        <v>1</v>
      </c>
      <c r="AI741" s="5" t="b">
        <f t="shared" si="69"/>
        <v>1</v>
      </c>
      <c r="AJ741" t="str">
        <f t="shared" si="70"/>
        <v>OK</v>
      </c>
      <c r="AK741">
        <f t="shared" si="71"/>
        <v>7</v>
      </c>
    </row>
    <row r="742" spans="1:37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  <c r="V742" s="1" t="s">
        <v>168</v>
      </c>
      <c r="W742" s="1" t="s">
        <v>41</v>
      </c>
      <c r="X742" s="1" t="s">
        <v>73</v>
      </c>
      <c r="Y742" s="1" t="s">
        <v>74</v>
      </c>
      <c r="Z742" s="1" t="s">
        <v>75</v>
      </c>
      <c r="AA742" s="1" t="s">
        <v>45</v>
      </c>
      <c r="AB742" s="1" t="s">
        <v>76</v>
      </c>
      <c r="AC742" s="1" t="s">
        <v>56</v>
      </c>
      <c r="AD742" s="1" t="s">
        <v>34</v>
      </c>
      <c r="AE742" s="1" t="s">
        <v>35</v>
      </c>
      <c r="AF742" s="5">
        <f t="shared" si="66"/>
        <v>45384</v>
      </c>
      <c r="AG742" s="5">
        <f t="shared" si="67"/>
        <v>45384</v>
      </c>
      <c r="AH742" s="5" t="b">
        <f t="shared" si="68"/>
        <v>1</v>
      </c>
      <c r="AI742" s="5" t="b">
        <f t="shared" si="69"/>
        <v>1</v>
      </c>
      <c r="AJ742" t="str">
        <f t="shared" si="70"/>
        <v>OK</v>
      </c>
      <c r="AK742">
        <f t="shared" si="71"/>
        <v>0</v>
      </c>
    </row>
    <row r="743" spans="1:37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  <c r="V743" s="1" t="s">
        <v>53</v>
      </c>
      <c r="W743" s="1" t="s">
        <v>115</v>
      </c>
      <c r="X743" s="1" t="s">
        <v>62</v>
      </c>
      <c r="Y743" s="1" t="s">
        <v>339</v>
      </c>
      <c r="Z743" s="1" t="s">
        <v>340</v>
      </c>
      <c r="AA743" s="1" t="s">
        <v>45</v>
      </c>
      <c r="AB743" s="1" t="s">
        <v>76</v>
      </c>
      <c r="AC743" s="1" t="s">
        <v>33</v>
      </c>
      <c r="AD743" s="1" t="s">
        <v>34</v>
      </c>
      <c r="AE743" s="1" t="s">
        <v>78</v>
      </c>
      <c r="AF743" s="5">
        <f t="shared" si="66"/>
        <v>45770</v>
      </c>
      <c r="AG743" s="5">
        <f t="shared" si="67"/>
        <v>45772</v>
      </c>
      <c r="AH743" s="5" t="b">
        <f t="shared" si="68"/>
        <v>1</v>
      </c>
      <c r="AI743" s="5" t="b">
        <f t="shared" si="69"/>
        <v>1</v>
      </c>
      <c r="AJ743" t="str">
        <f t="shared" si="70"/>
        <v>OK</v>
      </c>
      <c r="AK743">
        <f t="shared" si="71"/>
        <v>2</v>
      </c>
    </row>
    <row r="744" spans="1:37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  <c r="V744" s="1" t="s">
        <v>25</v>
      </c>
      <c r="W744" s="1" t="s">
        <v>108</v>
      </c>
      <c r="X744" s="1" t="s">
        <v>42</v>
      </c>
      <c r="Y744" s="1" t="s">
        <v>43</v>
      </c>
      <c r="Z744" s="1" t="s">
        <v>44</v>
      </c>
      <c r="AA744" s="1" t="s">
        <v>30</v>
      </c>
      <c r="AB744" s="1" t="s">
        <v>31</v>
      </c>
      <c r="AC744" s="1" t="s">
        <v>67</v>
      </c>
      <c r="AD744" s="1" t="s">
        <v>34</v>
      </c>
      <c r="AE744" s="1" t="s">
        <v>35</v>
      </c>
      <c r="AF744" s="5">
        <f t="shared" si="66"/>
        <v>45580</v>
      </c>
      <c r="AG744" s="5">
        <f t="shared" si="67"/>
        <v>45587</v>
      </c>
      <c r="AH744" s="5" t="b">
        <f t="shared" si="68"/>
        <v>1</v>
      </c>
      <c r="AI744" s="5" t="b">
        <f t="shared" si="69"/>
        <v>1</v>
      </c>
      <c r="AJ744" t="str">
        <f t="shared" si="70"/>
        <v>OK</v>
      </c>
      <c r="AK744">
        <f t="shared" si="71"/>
        <v>7</v>
      </c>
    </row>
    <row r="745" spans="1:37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  <c r="V745" s="1" t="s">
        <v>168</v>
      </c>
      <c r="W745" s="1" t="s">
        <v>26</v>
      </c>
      <c r="X745" s="1" t="s">
        <v>27</v>
      </c>
      <c r="Y745" s="1" t="s">
        <v>174</v>
      </c>
      <c r="Z745" s="1" t="s">
        <v>175</v>
      </c>
      <c r="AA745" s="1" t="s">
        <v>30</v>
      </c>
      <c r="AB745" s="1" t="s">
        <v>54</v>
      </c>
      <c r="AC745" s="1" t="s">
        <v>67</v>
      </c>
      <c r="AD745" s="1" t="s">
        <v>34</v>
      </c>
      <c r="AE745" s="1" t="s">
        <v>35</v>
      </c>
      <c r="AF745" s="5">
        <f t="shared" si="66"/>
        <v>45700</v>
      </c>
      <c r="AG745" s="5">
        <f t="shared" si="67"/>
        <v>45702</v>
      </c>
      <c r="AH745" s="5" t="b">
        <f t="shared" si="68"/>
        <v>1</v>
      </c>
      <c r="AI745" s="5" t="b">
        <f t="shared" si="69"/>
        <v>1</v>
      </c>
      <c r="AJ745" t="str">
        <f t="shared" si="70"/>
        <v>OK</v>
      </c>
      <c r="AK745">
        <f t="shared" si="71"/>
        <v>2</v>
      </c>
    </row>
    <row r="746" spans="1:37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  <c r="V746" s="1" t="s">
        <v>40</v>
      </c>
      <c r="W746" s="1" t="s">
        <v>115</v>
      </c>
      <c r="X746" s="1" t="s">
        <v>27</v>
      </c>
      <c r="Y746" s="1" t="s">
        <v>154</v>
      </c>
      <c r="Z746" s="1" t="s">
        <v>155</v>
      </c>
      <c r="AA746" s="1" t="s">
        <v>30</v>
      </c>
      <c r="AB746" s="1" t="s">
        <v>198</v>
      </c>
      <c r="AC746" s="1" t="s">
        <v>56</v>
      </c>
      <c r="AD746" s="1" t="s">
        <v>34</v>
      </c>
      <c r="AE746" s="1" t="s">
        <v>78</v>
      </c>
      <c r="AF746" s="5">
        <f t="shared" si="66"/>
        <v>45886</v>
      </c>
      <c r="AG746" s="5">
        <f t="shared" si="67"/>
        <v>45889</v>
      </c>
      <c r="AH746" s="5" t="b">
        <f t="shared" si="68"/>
        <v>1</v>
      </c>
      <c r="AI746" s="5" t="b">
        <f t="shared" si="69"/>
        <v>1</v>
      </c>
      <c r="AJ746" t="str">
        <f t="shared" si="70"/>
        <v>OK</v>
      </c>
      <c r="AK746">
        <f t="shared" si="71"/>
        <v>3</v>
      </c>
    </row>
    <row r="747" spans="1:37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  <c r="V747" s="1" t="s">
        <v>40</v>
      </c>
      <c r="W747" s="1" t="s">
        <v>41</v>
      </c>
      <c r="X747" s="1" t="s">
        <v>42</v>
      </c>
      <c r="Y747" s="1" t="s">
        <v>216</v>
      </c>
      <c r="Z747" s="1" t="s">
        <v>217</v>
      </c>
      <c r="AA747" s="1" t="s">
        <v>86</v>
      </c>
      <c r="AB747" s="1" t="s">
        <v>94</v>
      </c>
      <c r="AC747" s="1" t="s">
        <v>67</v>
      </c>
      <c r="AD747" s="1" t="s">
        <v>34</v>
      </c>
      <c r="AE747" s="1" t="s">
        <v>35</v>
      </c>
      <c r="AF747" s="5">
        <f t="shared" si="66"/>
        <v>45589</v>
      </c>
      <c r="AG747" s="5" t="e">
        <f t="shared" si="67"/>
        <v>#N/A</v>
      </c>
      <c r="AH747" s="5" t="b">
        <f t="shared" si="68"/>
        <v>1</v>
      </c>
      <c r="AI747" s="5" t="b">
        <f t="shared" si="69"/>
        <v>0</v>
      </c>
      <c r="AJ747" t="e">
        <f t="shared" si="70"/>
        <v>#N/A</v>
      </c>
      <c r="AK747" t="e">
        <f t="shared" si="71"/>
        <v>#N/A</v>
      </c>
    </row>
    <row r="748" spans="1:37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  <c r="V748" s="1" t="s">
        <v>162</v>
      </c>
      <c r="W748" s="1" t="s">
        <v>115</v>
      </c>
      <c r="X748" s="1" t="s">
        <v>42</v>
      </c>
      <c r="Y748" s="1" t="s">
        <v>121</v>
      </c>
      <c r="Z748" s="1" t="s">
        <v>122</v>
      </c>
      <c r="AA748" s="1" t="s">
        <v>30</v>
      </c>
      <c r="AB748" s="1" t="s">
        <v>31</v>
      </c>
      <c r="AC748" s="1" t="s">
        <v>67</v>
      </c>
      <c r="AD748" s="1" t="s">
        <v>34</v>
      </c>
      <c r="AE748" s="1" t="s">
        <v>35</v>
      </c>
      <c r="AF748" s="5">
        <f t="shared" si="66"/>
        <v>45661</v>
      </c>
      <c r="AG748" s="5">
        <f t="shared" si="67"/>
        <v>45931</v>
      </c>
      <c r="AH748" s="5" t="b">
        <f t="shared" si="68"/>
        <v>1</v>
      </c>
      <c r="AI748" s="5" t="b">
        <f t="shared" si="69"/>
        <v>1</v>
      </c>
      <c r="AJ748" t="str">
        <f t="shared" si="70"/>
        <v>OK</v>
      </c>
      <c r="AK748">
        <f t="shared" si="71"/>
        <v>270</v>
      </c>
    </row>
    <row r="749" spans="1:37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  <c r="V749" s="1" t="s">
        <v>53</v>
      </c>
      <c r="W749" s="1" t="s">
        <v>115</v>
      </c>
      <c r="X749" s="1" t="s">
        <v>42</v>
      </c>
      <c r="Y749" s="1" t="s">
        <v>43</v>
      </c>
      <c r="Z749" s="1" t="s">
        <v>44</v>
      </c>
      <c r="AA749" s="1" t="s">
        <v>30</v>
      </c>
      <c r="AB749" s="1" t="s">
        <v>31</v>
      </c>
      <c r="AC749" s="1" t="s">
        <v>48</v>
      </c>
      <c r="AD749" s="1" t="s">
        <v>34</v>
      </c>
      <c r="AE749" s="1" t="s">
        <v>35</v>
      </c>
      <c r="AF749" s="5">
        <f t="shared" si="66"/>
        <v>45413</v>
      </c>
      <c r="AG749" s="5">
        <f t="shared" si="67"/>
        <v>45419</v>
      </c>
      <c r="AH749" s="5" t="b">
        <f t="shared" si="68"/>
        <v>1</v>
      </c>
      <c r="AI749" s="5" t="b">
        <f t="shared" si="69"/>
        <v>1</v>
      </c>
      <c r="AJ749" t="str">
        <f t="shared" si="70"/>
        <v>OK</v>
      </c>
      <c r="AK749">
        <f t="shared" si="71"/>
        <v>6</v>
      </c>
    </row>
    <row r="750" spans="1:37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  <c r="V750" s="1" t="s">
        <v>210</v>
      </c>
      <c r="W750" s="1" t="s">
        <v>115</v>
      </c>
      <c r="X750" s="1" t="s">
        <v>27</v>
      </c>
      <c r="Y750" s="1" t="s">
        <v>323</v>
      </c>
      <c r="Z750" s="1" t="s">
        <v>324</v>
      </c>
      <c r="AA750" s="1" t="s">
        <v>86</v>
      </c>
      <c r="AB750" s="1" t="s">
        <v>223</v>
      </c>
      <c r="AC750" s="1" t="s">
        <v>33</v>
      </c>
      <c r="AD750" s="1" t="s">
        <v>34</v>
      </c>
      <c r="AE750" s="1" t="s">
        <v>35</v>
      </c>
      <c r="AF750" s="5" t="e">
        <f t="shared" si="66"/>
        <v>#N/A</v>
      </c>
      <c r="AG750" s="5">
        <f t="shared" si="67"/>
        <v>45442</v>
      </c>
      <c r="AH750" s="5" t="b">
        <f t="shared" si="68"/>
        <v>0</v>
      </c>
      <c r="AI750" s="5" t="b">
        <f t="shared" si="69"/>
        <v>1</v>
      </c>
      <c r="AJ750" t="e">
        <f t="shared" si="70"/>
        <v>#N/A</v>
      </c>
      <c r="AK750" t="e">
        <f t="shared" si="71"/>
        <v>#N/A</v>
      </c>
    </row>
    <row r="751" spans="1:37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  <c r="V751" s="1" t="s">
        <v>107</v>
      </c>
      <c r="W751" s="1" t="s">
        <v>115</v>
      </c>
      <c r="X751" s="1" t="s">
        <v>42</v>
      </c>
      <c r="Y751" s="1" t="s">
        <v>216</v>
      </c>
      <c r="Z751" s="1" t="s">
        <v>217</v>
      </c>
      <c r="AA751" s="1" t="s">
        <v>86</v>
      </c>
      <c r="AB751" s="1" t="s">
        <v>382</v>
      </c>
      <c r="AC751" s="1" t="s">
        <v>67</v>
      </c>
      <c r="AD751" s="1" t="s">
        <v>34</v>
      </c>
      <c r="AE751" s="1" t="s">
        <v>35</v>
      </c>
      <c r="AF751" s="5">
        <f t="shared" si="66"/>
        <v>45372</v>
      </c>
      <c r="AG751" s="5">
        <f t="shared" si="67"/>
        <v>45376</v>
      </c>
      <c r="AH751" s="5" t="b">
        <f t="shared" si="68"/>
        <v>1</v>
      </c>
      <c r="AI751" s="5" t="b">
        <f t="shared" si="69"/>
        <v>1</v>
      </c>
      <c r="AJ751" t="str">
        <f t="shared" si="70"/>
        <v>OK</v>
      </c>
      <c r="AK751">
        <f t="shared" si="71"/>
        <v>4</v>
      </c>
    </row>
    <row r="752" spans="1:37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  <c r="V752" s="1" t="s">
        <v>162</v>
      </c>
      <c r="W752" s="1" t="s">
        <v>115</v>
      </c>
      <c r="X752" s="1" t="s">
        <v>62</v>
      </c>
      <c r="Y752" s="1" t="s">
        <v>63</v>
      </c>
      <c r="Z752" s="1" t="s">
        <v>64</v>
      </c>
      <c r="AA752" s="1" t="s">
        <v>86</v>
      </c>
      <c r="AB752" s="1" t="s">
        <v>87</v>
      </c>
      <c r="AC752" s="1" t="s">
        <v>56</v>
      </c>
      <c r="AD752" s="1" t="s">
        <v>34</v>
      </c>
      <c r="AE752" s="1" t="s">
        <v>35</v>
      </c>
      <c r="AF752" s="5">
        <f t="shared" si="66"/>
        <v>45810</v>
      </c>
      <c r="AG752" s="5">
        <f t="shared" si="67"/>
        <v>45810</v>
      </c>
      <c r="AH752" s="5" t="b">
        <f t="shared" si="68"/>
        <v>1</v>
      </c>
      <c r="AI752" s="5" t="b">
        <f t="shared" si="69"/>
        <v>1</v>
      </c>
      <c r="AJ752" t="str">
        <f t="shared" si="70"/>
        <v>OK</v>
      </c>
      <c r="AK752">
        <f t="shared" si="71"/>
        <v>0</v>
      </c>
    </row>
    <row r="753" spans="1:37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  <c r="V753" s="1" t="s">
        <v>142</v>
      </c>
      <c r="W753" s="1" t="s">
        <v>115</v>
      </c>
      <c r="X753" s="1" t="s">
        <v>4119</v>
      </c>
      <c r="Y753" s="1" t="s">
        <v>174</v>
      </c>
      <c r="Z753" s="1" t="s">
        <v>175</v>
      </c>
      <c r="AA753" s="1" t="s">
        <v>86</v>
      </c>
      <c r="AB753" s="1" t="s">
        <v>382</v>
      </c>
      <c r="AC753" s="1" t="s">
        <v>4119</v>
      </c>
      <c r="AD753" s="1" t="s">
        <v>34</v>
      </c>
      <c r="AE753" s="1" t="s">
        <v>35</v>
      </c>
      <c r="AF753" s="5" t="e">
        <f t="shared" si="66"/>
        <v>#N/A</v>
      </c>
      <c r="AG753" s="5" t="e">
        <f t="shared" si="67"/>
        <v>#N/A</v>
      </c>
      <c r="AH753" s="5" t="b">
        <f t="shared" si="68"/>
        <v>0</v>
      </c>
      <c r="AI753" s="5" t="b">
        <f t="shared" si="69"/>
        <v>0</v>
      </c>
      <c r="AJ753" t="e">
        <f t="shared" si="70"/>
        <v>#N/A</v>
      </c>
      <c r="AK753" t="e">
        <f t="shared" si="71"/>
        <v>#N/A</v>
      </c>
    </row>
    <row r="754" spans="1:37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  <c r="V754" s="1" t="s">
        <v>107</v>
      </c>
      <c r="W754" s="1" t="s">
        <v>108</v>
      </c>
      <c r="X754" s="1" t="s">
        <v>73</v>
      </c>
      <c r="Y754" s="1" t="s">
        <v>235</v>
      </c>
      <c r="Z754" s="1" t="s">
        <v>236</v>
      </c>
      <c r="AA754" s="1" t="s">
        <v>30</v>
      </c>
      <c r="AB754" s="1" t="s">
        <v>156</v>
      </c>
      <c r="AC754" s="1" t="s">
        <v>56</v>
      </c>
      <c r="AD754" s="1" t="s">
        <v>34</v>
      </c>
      <c r="AE754" s="1" t="s">
        <v>35</v>
      </c>
      <c r="AF754" s="5" t="e">
        <f t="shared" si="66"/>
        <v>#N/A</v>
      </c>
      <c r="AG754" s="5" t="e">
        <f t="shared" si="67"/>
        <v>#N/A</v>
      </c>
      <c r="AH754" s="5" t="b">
        <f t="shared" si="68"/>
        <v>0</v>
      </c>
      <c r="AI754" s="5" t="b">
        <f t="shared" si="69"/>
        <v>0</v>
      </c>
      <c r="AJ754" t="e">
        <f t="shared" si="70"/>
        <v>#N/A</v>
      </c>
      <c r="AK754" t="e">
        <f t="shared" si="71"/>
        <v>#N/A</v>
      </c>
    </row>
    <row r="755" spans="1:37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  <c r="V755" s="1" t="s">
        <v>107</v>
      </c>
      <c r="W755" s="1" t="s">
        <v>108</v>
      </c>
      <c r="X755" s="1" t="s">
        <v>27</v>
      </c>
      <c r="Y755" s="1" t="s">
        <v>506</v>
      </c>
      <c r="Z755" s="1" t="s">
        <v>507</v>
      </c>
      <c r="AA755" s="1" t="s">
        <v>45</v>
      </c>
      <c r="AB755" s="1" t="s">
        <v>65</v>
      </c>
      <c r="AC755" s="1" t="s">
        <v>33</v>
      </c>
      <c r="AD755" s="1" t="s">
        <v>200</v>
      </c>
      <c r="AE755" s="1" t="s">
        <v>125</v>
      </c>
      <c r="AF755" s="5">
        <f t="shared" si="66"/>
        <v>45515</v>
      </c>
      <c r="AG755" s="5">
        <f t="shared" si="67"/>
        <v>45573</v>
      </c>
      <c r="AH755" s="5" t="b">
        <f t="shared" si="68"/>
        <v>1</v>
      </c>
      <c r="AI755" s="5" t="b">
        <f t="shared" si="69"/>
        <v>1</v>
      </c>
      <c r="AJ755" t="str">
        <f t="shared" si="70"/>
        <v>OK</v>
      </c>
      <c r="AK755">
        <f t="shared" si="71"/>
        <v>58</v>
      </c>
    </row>
    <row r="756" spans="1:37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  <c r="V756" s="1" t="s">
        <v>93</v>
      </c>
      <c r="W756" s="1" t="s">
        <v>108</v>
      </c>
      <c r="X756" s="1" t="s">
        <v>62</v>
      </c>
      <c r="Y756" s="1" t="s">
        <v>242</v>
      </c>
      <c r="Z756" s="1" t="s">
        <v>243</v>
      </c>
      <c r="AA756" s="1" t="s">
        <v>30</v>
      </c>
      <c r="AB756" s="1" t="s">
        <v>156</v>
      </c>
      <c r="AC756" s="1" t="s">
        <v>67</v>
      </c>
      <c r="AD756" s="1" t="s">
        <v>34</v>
      </c>
      <c r="AE756" s="1" t="s">
        <v>35</v>
      </c>
      <c r="AF756" s="5">
        <f t="shared" si="66"/>
        <v>45812</v>
      </c>
      <c r="AG756" s="5">
        <f t="shared" si="67"/>
        <v>45812</v>
      </c>
      <c r="AH756" s="5" t="b">
        <f t="shared" si="68"/>
        <v>1</v>
      </c>
      <c r="AI756" s="5" t="b">
        <f t="shared" si="69"/>
        <v>1</v>
      </c>
      <c r="AJ756" t="str">
        <f t="shared" si="70"/>
        <v>OK</v>
      </c>
      <c r="AK756">
        <f t="shared" si="71"/>
        <v>0</v>
      </c>
    </row>
    <row r="757" spans="1:37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  <c r="V757" s="1" t="s">
        <v>142</v>
      </c>
      <c r="W757" s="1" t="s">
        <v>115</v>
      </c>
      <c r="X757" s="1" t="s">
        <v>73</v>
      </c>
      <c r="Y757" s="1" t="s">
        <v>84</v>
      </c>
      <c r="Z757" s="1" t="s">
        <v>85</v>
      </c>
      <c r="AA757" s="1" t="s">
        <v>30</v>
      </c>
      <c r="AB757" s="1" t="s">
        <v>156</v>
      </c>
      <c r="AC757" s="1" t="s">
        <v>33</v>
      </c>
      <c r="AD757" s="1" t="s">
        <v>34</v>
      </c>
      <c r="AE757" s="1" t="s">
        <v>35</v>
      </c>
      <c r="AF757" s="5" t="e">
        <f t="shared" si="66"/>
        <v>#N/A</v>
      </c>
      <c r="AG757" s="5" t="e">
        <f t="shared" si="67"/>
        <v>#N/A</v>
      </c>
      <c r="AH757" s="5" t="b">
        <f t="shared" si="68"/>
        <v>0</v>
      </c>
      <c r="AI757" s="5" t="b">
        <f t="shared" si="69"/>
        <v>0</v>
      </c>
      <c r="AJ757" t="e">
        <f t="shared" si="70"/>
        <v>#N/A</v>
      </c>
      <c r="AK757" t="e">
        <f t="shared" si="71"/>
        <v>#N/A</v>
      </c>
    </row>
    <row r="758" spans="1:37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  <c r="V758" s="1" t="s">
        <v>180</v>
      </c>
      <c r="W758" s="1" t="s">
        <v>26</v>
      </c>
      <c r="X758" s="1" t="s">
        <v>27</v>
      </c>
      <c r="Y758" s="1" t="s">
        <v>28</v>
      </c>
      <c r="Z758" s="1" t="s">
        <v>29</v>
      </c>
      <c r="AA758" s="1" t="s">
        <v>86</v>
      </c>
      <c r="AB758" s="1" t="s">
        <v>87</v>
      </c>
      <c r="AC758" s="1" t="s">
        <v>48</v>
      </c>
      <c r="AD758" s="1" t="s">
        <v>34</v>
      </c>
      <c r="AE758" s="1" t="s">
        <v>125</v>
      </c>
      <c r="AF758" s="5">
        <f t="shared" si="66"/>
        <v>45592</v>
      </c>
      <c r="AG758" s="5">
        <f t="shared" si="67"/>
        <v>45597</v>
      </c>
      <c r="AH758" s="5" t="b">
        <f t="shared" si="68"/>
        <v>1</v>
      </c>
      <c r="AI758" s="5" t="b">
        <f t="shared" si="69"/>
        <v>1</v>
      </c>
      <c r="AJ758" t="str">
        <f t="shared" si="70"/>
        <v>OK</v>
      </c>
      <c r="AK758">
        <f t="shared" si="71"/>
        <v>5</v>
      </c>
    </row>
    <row r="759" spans="1:37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  <c r="V759" s="1" t="s">
        <v>107</v>
      </c>
      <c r="W759" s="1" t="s">
        <v>41</v>
      </c>
      <c r="X759" s="1" t="s">
        <v>62</v>
      </c>
      <c r="Y759" s="1" t="s">
        <v>242</v>
      </c>
      <c r="Z759" s="1" t="s">
        <v>243</v>
      </c>
      <c r="AA759" s="1" t="s">
        <v>45</v>
      </c>
      <c r="AB759" s="1" t="s">
        <v>204</v>
      </c>
      <c r="AC759" s="1" t="s">
        <v>67</v>
      </c>
      <c r="AD759" s="1" t="s">
        <v>200</v>
      </c>
      <c r="AE759" s="1" t="s">
        <v>78</v>
      </c>
      <c r="AF759" s="5">
        <f t="shared" si="66"/>
        <v>45870</v>
      </c>
      <c r="AG759" s="5">
        <f t="shared" si="67"/>
        <v>45872</v>
      </c>
      <c r="AH759" s="5" t="b">
        <f t="shared" si="68"/>
        <v>1</v>
      </c>
      <c r="AI759" s="5" t="b">
        <f t="shared" si="69"/>
        <v>1</v>
      </c>
      <c r="AJ759" t="str">
        <f t="shared" si="70"/>
        <v>OK</v>
      </c>
      <c r="AK759">
        <f t="shared" si="71"/>
        <v>2</v>
      </c>
    </row>
    <row r="760" spans="1:37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  <c r="V760" s="1" t="s">
        <v>162</v>
      </c>
      <c r="W760" s="1" t="s">
        <v>41</v>
      </c>
      <c r="X760" s="1" t="s">
        <v>62</v>
      </c>
      <c r="Y760" s="1" t="s">
        <v>229</v>
      </c>
      <c r="Z760" s="1" t="s">
        <v>230</v>
      </c>
      <c r="AA760" s="1" t="s">
        <v>45</v>
      </c>
      <c r="AB760" s="1" t="s">
        <v>76</v>
      </c>
      <c r="AC760" s="1" t="s">
        <v>67</v>
      </c>
      <c r="AD760" s="1" t="s">
        <v>34</v>
      </c>
      <c r="AE760" s="1" t="s">
        <v>35</v>
      </c>
      <c r="AF760" s="5">
        <f t="shared" si="66"/>
        <v>45414</v>
      </c>
      <c r="AG760" s="5">
        <f t="shared" si="67"/>
        <v>45422</v>
      </c>
      <c r="AH760" s="5" t="b">
        <f t="shared" si="68"/>
        <v>1</v>
      </c>
      <c r="AI760" s="5" t="b">
        <f t="shared" si="69"/>
        <v>1</v>
      </c>
      <c r="AJ760" t="str">
        <f t="shared" si="70"/>
        <v>OK</v>
      </c>
      <c r="AK760">
        <f t="shared" si="71"/>
        <v>8</v>
      </c>
    </row>
    <row r="761" spans="1:37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  <c r="V761" s="1" t="s">
        <v>61</v>
      </c>
      <c r="W761" s="1" t="s">
        <v>115</v>
      </c>
      <c r="X761" s="1" t="s">
        <v>62</v>
      </c>
      <c r="Y761" s="1" t="s">
        <v>229</v>
      </c>
      <c r="Z761" s="1" t="s">
        <v>230</v>
      </c>
      <c r="AA761" s="1" t="s">
        <v>45</v>
      </c>
      <c r="AB761" s="1" t="s">
        <v>46</v>
      </c>
      <c r="AC761" s="1" t="s">
        <v>33</v>
      </c>
      <c r="AD761" s="1" t="s">
        <v>34</v>
      </c>
      <c r="AE761" s="1" t="s">
        <v>35</v>
      </c>
      <c r="AF761" s="5">
        <f t="shared" si="66"/>
        <v>45492</v>
      </c>
      <c r="AG761" s="5" t="e">
        <f t="shared" si="67"/>
        <v>#N/A</v>
      </c>
      <c r="AH761" s="5" t="b">
        <f t="shared" si="68"/>
        <v>1</v>
      </c>
      <c r="AI761" s="5" t="b">
        <f t="shared" si="69"/>
        <v>0</v>
      </c>
      <c r="AJ761" t="e">
        <f t="shared" si="70"/>
        <v>#N/A</v>
      </c>
      <c r="AK761" t="e">
        <f t="shared" si="71"/>
        <v>#N/A</v>
      </c>
    </row>
    <row r="762" spans="1:37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  <c r="V762" s="1" t="s">
        <v>107</v>
      </c>
      <c r="W762" s="1" t="s">
        <v>115</v>
      </c>
      <c r="X762" s="1" t="s">
        <v>42</v>
      </c>
      <c r="Y762" s="1" t="s">
        <v>216</v>
      </c>
      <c r="Z762" s="1" t="s">
        <v>217</v>
      </c>
      <c r="AA762" s="1" t="s">
        <v>30</v>
      </c>
      <c r="AB762" s="1" t="s">
        <v>54</v>
      </c>
      <c r="AC762" s="1" t="s">
        <v>33</v>
      </c>
      <c r="AD762" s="1" t="s">
        <v>137</v>
      </c>
      <c r="AE762" s="1" t="s">
        <v>125</v>
      </c>
      <c r="AF762" s="5" t="e">
        <f t="shared" si="66"/>
        <v>#N/A</v>
      </c>
      <c r="AG762" s="5">
        <f t="shared" si="67"/>
        <v>45537</v>
      </c>
      <c r="AH762" s="5" t="b">
        <f t="shared" si="68"/>
        <v>0</v>
      </c>
      <c r="AI762" s="5" t="b">
        <f t="shared" si="69"/>
        <v>1</v>
      </c>
      <c r="AJ762" t="e">
        <f t="shared" si="70"/>
        <v>#N/A</v>
      </c>
      <c r="AK762" t="e">
        <f t="shared" si="71"/>
        <v>#N/A</v>
      </c>
    </row>
    <row r="763" spans="1:37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  <c r="V763" s="1" t="s">
        <v>53</v>
      </c>
      <c r="W763" s="1" t="s">
        <v>26</v>
      </c>
      <c r="X763" s="1" t="s">
        <v>62</v>
      </c>
      <c r="Y763" s="1" t="s">
        <v>229</v>
      </c>
      <c r="Z763" s="1" t="s">
        <v>230</v>
      </c>
      <c r="AA763" s="1" t="s">
        <v>86</v>
      </c>
      <c r="AB763" s="1" t="s">
        <v>382</v>
      </c>
      <c r="AC763" s="1" t="s">
        <v>56</v>
      </c>
      <c r="AD763" s="1" t="s">
        <v>34</v>
      </c>
      <c r="AE763" s="1" t="s">
        <v>35</v>
      </c>
      <c r="AF763" s="5">
        <f t="shared" si="66"/>
        <v>45896</v>
      </c>
      <c r="AG763" s="5">
        <f t="shared" si="67"/>
        <v>45900</v>
      </c>
      <c r="AH763" s="5" t="b">
        <f t="shared" si="68"/>
        <v>1</v>
      </c>
      <c r="AI763" s="5" t="b">
        <f t="shared" si="69"/>
        <v>1</v>
      </c>
      <c r="AJ763" t="str">
        <f t="shared" si="70"/>
        <v>OK</v>
      </c>
      <c r="AK763">
        <f t="shared" si="71"/>
        <v>4</v>
      </c>
    </row>
    <row r="764" spans="1:37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  <c r="V764" s="1" t="s">
        <v>210</v>
      </c>
      <c r="W764" s="1" t="s">
        <v>108</v>
      </c>
      <c r="X764" s="1" t="s">
        <v>73</v>
      </c>
      <c r="Y764" s="1" t="s">
        <v>84</v>
      </c>
      <c r="Z764" s="1" t="s">
        <v>85</v>
      </c>
      <c r="AA764" s="1" t="s">
        <v>86</v>
      </c>
      <c r="AB764" s="1" t="s">
        <v>382</v>
      </c>
      <c r="AC764" s="1" t="s">
        <v>33</v>
      </c>
      <c r="AD764" s="1" t="s">
        <v>124</v>
      </c>
      <c r="AE764" s="1" t="s">
        <v>125</v>
      </c>
      <c r="AF764" s="5">
        <f t="shared" si="66"/>
        <v>45292</v>
      </c>
      <c r="AG764" s="5">
        <f t="shared" si="67"/>
        <v>45296</v>
      </c>
      <c r="AH764" s="5" t="b">
        <f t="shared" si="68"/>
        <v>1</v>
      </c>
      <c r="AI764" s="5" t="b">
        <f t="shared" si="69"/>
        <v>1</v>
      </c>
      <c r="AJ764" t="str">
        <f t="shared" si="70"/>
        <v>OK</v>
      </c>
      <c r="AK764">
        <f t="shared" si="71"/>
        <v>4</v>
      </c>
    </row>
    <row r="765" spans="1:37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  <c r="V765" s="1" t="s">
        <v>210</v>
      </c>
      <c r="W765" s="1" t="s">
        <v>26</v>
      </c>
      <c r="X765" s="1" t="s">
        <v>27</v>
      </c>
      <c r="Y765" s="1" t="s">
        <v>28</v>
      </c>
      <c r="Z765" s="1" t="s">
        <v>29</v>
      </c>
      <c r="AA765" s="1" t="s">
        <v>45</v>
      </c>
      <c r="AB765" s="1" t="s">
        <v>65</v>
      </c>
      <c r="AC765" s="1" t="s">
        <v>48</v>
      </c>
      <c r="AD765" s="1" t="s">
        <v>34</v>
      </c>
      <c r="AE765" s="1" t="s">
        <v>35</v>
      </c>
      <c r="AF765" s="5">
        <f t="shared" si="66"/>
        <v>45892</v>
      </c>
      <c r="AG765" s="5">
        <f t="shared" si="67"/>
        <v>45894</v>
      </c>
      <c r="AH765" s="5" t="b">
        <f t="shared" si="68"/>
        <v>1</v>
      </c>
      <c r="AI765" s="5" t="b">
        <f t="shared" si="69"/>
        <v>1</v>
      </c>
      <c r="AJ765" t="str">
        <f t="shared" si="70"/>
        <v>OK</v>
      </c>
      <c r="AK765">
        <f t="shared" si="71"/>
        <v>2</v>
      </c>
    </row>
    <row r="766" spans="1:37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  <c r="V766" s="1" t="s">
        <v>142</v>
      </c>
      <c r="W766" s="1" t="s">
        <v>108</v>
      </c>
      <c r="X766" s="1" t="s">
        <v>62</v>
      </c>
      <c r="Y766" s="1" t="s">
        <v>242</v>
      </c>
      <c r="Z766" s="1" t="s">
        <v>243</v>
      </c>
      <c r="AA766" s="1" t="s">
        <v>45</v>
      </c>
      <c r="AB766" s="1" t="s">
        <v>204</v>
      </c>
      <c r="AC766" s="1" t="s">
        <v>56</v>
      </c>
      <c r="AD766" s="1" t="s">
        <v>34</v>
      </c>
      <c r="AE766" s="1" t="s">
        <v>35</v>
      </c>
      <c r="AF766" s="5">
        <f t="shared" si="66"/>
        <v>45760</v>
      </c>
      <c r="AG766" s="5" t="e">
        <f t="shared" si="67"/>
        <v>#N/A</v>
      </c>
      <c r="AH766" s="5" t="b">
        <f t="shared" si="68"/>
        <v>1</v>
      </c>
      <c r="AI766" s="5" t="b">
        <f t="shared" si="69"/>
        <v>0</v>
      </c>
      <c r="AJ766" t="e">
        <f t="shared" si="70"/>
        <v>#N/A</v>
      </c>
      <c r="AK766" t="e">
        <f t="shared" si="71"/>
        <v>#N/A</v>
      </c>
    </row>
    <row r="767" spans="1:37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  <c r="V767" s="1" t="s">
        <v>83</v>
      </c>
      <c r="W767" s="1" t="s">
        <v>108</v>
      </c>
      <c r="X767" s="1" t="s">
        <v>42</v>
      </c>
      <c r="Y767" s="1" t="s">
        <v>311</v>
      </c>
      <c r="Z767" s="1" t="s">
        <v>312</v>
      </c>
      <c r="AA767" s="1" t="s">
        <v>30</v>
      </c>
      <c r="AB767" s="1" t="s">
        <v>109</v>
      </c>
      <c r="AC767" s="1" t="s">
        <v>56</v>
      </c>
      <c r="AD767" s="1" t="s">
        <v>34</v>
      </c>
      <c r="AE767" s="1" t="s">
        <v>35</v>
      </c>
      <c r="AF767" s="5" t="e">
        <f t="shared" si="66"/>
        <v>#N/A</v>
      </c>
      <c r="AG767" s="5">
        <f t="shared" si="67"/>
        <v>45841</v>
      </c>
      <c r="AH767" s="5" t="b">
        <f t="shared" si="68"/>
        <v>0</v>
      </c>
      <c r="AI767" s="5" t="b">
        <f t="shared" si="69"/>
        <v>1</v>
      </c>
      <c r="AJ767" t="e">
        <f t="shared" si="70"/>
        <v>#N/A</v>
      </c>
      <c r="AK767" t="e">
        <f t="shared" si="71"/>
        <v>#N/A</v>
      </c>
    </row>
    <row r="768" spans="1:37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  <c r="V768" s="1" t="s">
        <v>40</v>
      </c>
      <c r="W768" s="1" t="s">
        <v>108</v>
      </c>
      <c r="X768" s="1" t="s">
        <v>73</v>
      </c>
      <c r="Y768" s="1" t="s">
        <v>235</v>
      </c>
      <c r="Z768" s="1" t="s">
        <v>236</v>
      </c>
      <c r="AA768" s="1" t="s">
        <v>30</v>
      </c>
      <c r="AB768" s="1" t="s">
        <v>54</v>
      </c>
      <c r="AC768" s="1" t="s">
        <v>33</v>
      </c>
      <c r="AD768" s="1" t="s">
        <v>34</v>
      </c>
      <c r="AE768" s="1" t="s">
        <v>78</v>
      </c>
      <c r="AF768" s="5">
        <f t="shared" si="66"/>
        <v>45552</v>
      </c>
      <c r="AG768" s="5">
        <f t="shared" si="67"/>
        <v>45559</v>
      </c>
      <c r="AH768" s="5" t="b">
        <f t="shared" si="68"/>
        <v>1</v>
      </c>
      <c r="AI768" s="5" t="b">
        <f t="shared" si="69"/>
        <v>1</v>
      </c>
      <c r="AJ768" t="str">
        <f t="shared" si="70"/>
        <v>OK</v>
      </c>
      <c r="AK768">
        <f t="shared" si="71"/>
        <v>7</v>
      </c>
    </row>
    <row r="769" spans="1:37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  <c r="V769" s="1" t="s">
        <v>72</v>
      </c>
      <c r="W769" s="1" t="s">
        <v>115</v>
      </c>
      <c r="X769" s="1" t="s">
        <v>27</v>
      </c>
      <c r="Y769" s="1" t="s">
        <v>174</v>
      </c>
      <c r="Z769" s="1" t="s">
        <v>175</v>
      </c>
      <c r="AA769" s="1" t="s">
        <v>30</v>
      </c>
      <c r="AB769" s="1" t="s">
        <v>198</v>
      </c>
      <c r="AC769" s="1" t="s">
        <v>67</v>
      </c>
      <c r="AD769" s="1" t="s">
        <v>34</v>
      </c>
      <c r="AE769" s="1" t="s">
        <v>35</v>
      </c>
      <c r="AF769" s="5">
        <f t="shared" si="66"/>
        <v>45415</v>
      </c>
      <c r="AG769" s="5">
        <f t="shared" si="67"/>
        <v>45418</v>
      </c>
      <c r="AH769" s="5" t="b">
        <f t="shared" si="68"/>
        <v>1</v>
      </c>
      <c r="AI769" s="5" t="b">
        <f t="shared" si="69"/>
        <v>1</v>
      </c>
      <c r="AJ769" t="str">
        <f t="shared" si="70"/>
        <v>OK</v>
      </c>
      <c r="AK769">
        <f t="shared" si="71"/>
        <v>3</v>
      </c>
    </row>
    <row r="770" spans="1:37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  <c r="V770" s="1" t="s">
        <v>168</v>
      </c>
      <c r="W770" s="1" t="s">
        <v>115</v>
      </c>
      <c r="X770" s="1" t="s">
        <v>42</v>
      </c>
      <c r="Y770" s="1" t="s">
        <v>311</v>
      </c>
      <c r="Z770" s="1" t="s">
        <v>312</v>
      </c>
      <c r="AA770" s="1" t="s">
        <v>30</v>
      </c>
      <c r="AB770" s="1" t="s">
        <v>31</v>
      </c>
      <c r="AC770" s="1" t="s">
        <v>48</v>
      </c>
      <c r="AD770" s="1" t="s">
        <v>34</v>
      </c>
      <c r="AE770" s="1" t="s">
        <v>35</v>
      </c>
      <c r="AF770" s="5">
        <f t="shared" si="66"/>
        <v>45749</v>
      </c>
      <c r="AG770" s="5">
        <f t="shared" si="67"/>
        <v>45751</v>
      </c>
      <c r="AH770" s="5" t="b">
        <f t="shared" si="68"/>
        <v>1</v>
      </c>
      <c r="AI770" s="5" t="b">
        <f t="shared" si="69"/>
        <v>1</v>
      </c>
      <c r="AJ770" t="str">
        <f t="shared" si="70"/>
        <v>OK</v>
      </c>
      <c r="AK770">
        <f t="shared" si="71"/>
        <v>2</v>
      </c>
    </row>
    <row r="771" spans="1:37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  <c r="V771" s="1" t="s">
        <v>142</v>
      </c>
      <c r="W771" s="1" t="s">
        <v>115</v>
      </c>
      <c r="X771" s="1" t="s">
        <v>73</v>
      </c>
      <c r="Y771" s="1" t="s">
        <v>249</v>
      </c>
      <c r="Z771" s="1" t="s">
        <v>250</v>
      </c>
      <c r="AA771" s="1" t="s">
        <v>45</v>
      </c>
      <c r="AB771" s="1" t="s">
        <v>204</v>
      </c>
      <c r="AC771" s="1" t="s">
        <v>48</v>
      </c>
      <c r="AD771" s="1" t="s">
        <v>34</v>
      </c>
      <c r="AE771" s="1" t="s">
        <v>35</v>
      </c>
      <c r="AF771" s="5">
        <f t="shared" ref="AF771:AF834" si="72">IFERROR(DATEVALUE(B771),IFERROR(DATE(VALUE(RIGHT(B771,4)),VALUE(MID(SUBSTITUTE(B771,"-","/"),6,2)),VALUE(LEFT(B771,2))),NA()))</f>
        <v>45423</v>
      </c>
      <c r="AG771" s="5">
        <f t="shared" ref="AG771:AG834" si="73">IFERROR(DATEVALUE(C771),IFERROR(DATE(VALUE(RIGHT(C771,4)),VALUE(MID(SUBSTITUTE(C771,"-","/"),6,2)),VALUE(LEFT(C771,2))),NA()))</f>
        <v>45425</v>
      </c>
      <c r="AH771" s="5" t="b">
        <f t="shared" ref="AH771:AH834" si="74">ISNUMBER(AF771)</f>
        <v>1</v>
      </c>
      <c r="AI771" s="5" t="b">
        <f t="shared" ref="AI771:AI834" si="75">ISNUMBER(AG771)</f>
        <v>1</v>
      </c>
      <c r="AJ771" t="str">
        <f t="shared" ref="AJ771:AJ834" si="76">IF(AG771&lt;AF771,"Invalid: Ship before Order","OK")</f>
        <v>OK</v>
      </c>
      <c r="AK771">
        <f t="shared" ref="AK771:AK834" si="77">DATEDIF(AF771, AG771, "D")</f>
        <v>2</v>
      </c>
    </row>
    <row r="772" spans="1:37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  <c r="V772" s="1" t="s">
        <v>93</v>
      </c>
      <c r="W772" s="1" t="s">
        <v>26</v>
      </c>
      <c r="X772" s="1" t="s">
        <v>27</v>
      </c>
      <c r="Y772" s="1" t="s">
        <v>174</v>
      </c>
      <c r="Z772" s="1" t="s">
        <v>175</v>
      </c>
      <c r="AA772" s="1" t="s">
        <v>86</v>
      </c>
      <c r="AB772" s="1" t="s">
        <v>94</v>
      </c>
      <c r="AC772" s="1" t="s">
        <v>56</v>
      </c>
      <c r="AD772" s="1" t="s">
        <v>34</v>
      </c>
      <c r="AE772" s="1" t="s">
        <v>35</v>
      </c>
      <c r="AF772" s="5">
        <f t="shared" si="72"/>
        <v>45337</v>
      </c>
      <c r="AG772" s="5" t="e">
        <f t="shared" si="73"/>
        <v>#N/A</v>
      </c>
      <c r="AH772" s="5" t="b">
        <f t="shared" si="74"/>
        <v>1</v>
      </c>
      <c r="AI772" s="5" t="b">
        <f t="shared" si="75"/>
        <v>0</v>
      </c>
      <c r="AJ772" t="e">
        <f t="shared" si="76"/>
        <v>#N/A</v>
      </c>
      <c r="AK772" t="e">
        <f t="shared" si="77"/>
        <v>#N/A</v>
      </c>
    </row>
    <row r="773" spans="1:37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  <c r="V773" s="1" t="s">
        <v>72</v>
      </c>
      <c r="W773" s="1" t="s">
        <v>26</v>
      </c>
      <c r="X773" s="1" t="s">
        <v>27</v>
      </c>
      <c r="Y773" s="1" t="s">
        <v>323</v>
      </c>
      <c r="Z773" s="1" t="s">
        <v>324</v>
      </c>
      <c r="AA773" s="1" t="s">
        <v>86</v>
      </c>
      <c r="AB773" s="1" t="s">
        <v>382</v>
      </c>
      <c r="AC773" s="1" t="s">
        <v>33</v>
      </c>
      <c r="AD773" s="1" t="s">
        <v>34</v>
      </c>
      <c r="AE773" s="1" t="s">
        <v>35</v>
      </c>
      <c r="AF773" s="5">
        <f t="shared" si="72"/>
        <v>45485</v>
      </c>
      <c r="AG773" s="5">
        <f t="shared" si="73"/>
        <v>45487</v>
      </c>
      <c r="AH773" s="5" t="b">
        <f t="shared" si="74"/>
        <v>1</v>
      </c>
      <c r="AI773" s="5" t="b">
        <f t="shared" si="75"/>
        <v>1</v>
      </c>
      <c r="AJ773" t="str">
        <f t="shared" si="76"/>
        <v>OK</v>
      </c>
      <c r="AK773">
        <f t="shared" si="77"/>
        <v>2</v>
      </c>
    </row>
    <row r="774" spans="1:37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  <c r="V774" s="1" t="s">
        <v>210</v>
      </c>
      <c r="W774" s="1" t="s">
        <v>26</v>
      </c>
      <c r="X774" s="1" t="s">
        <v>62</v>
      </c>
      <c r="Y774" s="1" t="s">
        <v>339</v>
      </c>
      <c r="Z774" s="1" t="s">
        <v>340</v>
      </c>
      <c r="AA774" s="1" t="s">
        <v>45</v>
      </c>
      <c r="AB774" s="1" t="s">
        <v>76</v>
      </c>
      <c r="AC774" s="1" t="s">
        <v>48</v>
      </c>
      <c r="AD774" s="1" t="s">
        <v>137</v>
      </c>
      <c r="AE774" s="1" t="s">
        <v>78</v>
      </c>
      <c r="AF774" s="5">
        <f t="shared" si="72"/>
        <v>45853</v>
      </c>
      <c r="AG774" s="5">
        <f t="shared" si="73"/>
        <v>45857</v>
      </c>
      <c r="AH774" s="5" t="b">
        <f t="shared" si="74"/>
        <v>1</v>
      </c>
      <c r="AI774" s="5" t="b">
        <f t="shared" si="75"/>
        <v>1</v>
      </c>
      <c r="AJ774" t="str">
        <f t="shared" si="76"/>
        <v>OK</v>
      </c>
      <c r="AK774">
        <f t="shared" si="77"/>
        <v>4</v>
      </c>
    </row>
    <row r="775" spans="1:37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  <c r="V775" s="1" t="s">
        <v>25</v>
      </c>
      <c r="W775" s="1" t="s">
        <v>115</v>
      </c>
      <c r="X775" s="1" t="s">
        <v>73</v>
      </c>
      <c r="Y775" s="1" t="s">
        <v>235</v>
      </c>
      <c r="Z775" s="1" t="s">
        <v>236</v>
      </c>
      <c r="AA775" s="1" t="s">
        <v>86</v>
      </c>
      <c r="AB775" s="1" t="s">
        <v>223</v>
      </c>
      <c r="AC775" s="1" t="s">
        <v>4119</v>
      </c>
      <c r="AD775" s="1" t="s">
        <v>34</v>
      </c>
      <c r="AE775" s="1" t="s">
        <v>35</v>
      </c>
      <c r="AF775" s="5">
        <f t="shared" si="72"/>
        <v>45709</v>
      </c>
      <c r="AG775" s="5">
        <f t="shared" si="73"/>
        <v>45709</v>
      </c>
      <c r="AH775" s="5" t="b">
        <f t="shared" si="74"/>
        <v>1</v>
      </c>
      <c r="AI775" s="5" t="b">
        <f t="shared" si="75"/>
        <v>1</v>
      </c>
      <c r="AJ775" t="str">
        <f t="shared" si="76"/>
        <v>OK</v>
      </c>
      <c r="AK775">
        <f t="shared" si="77"/>
        <v>0</v>
      </c>
    </row>
    <row r="776" spans="1:37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  <c r="V776" s="1" t="s">
        <v>366</v>
      </c>
      <c r="W776" s="1" t="s">
        <v>26</v>
      </c>
      <c r="X776" s="1" t="s">
        <v>73</v>
      </c>
      <c r="Y776" s="1" t="s">
        <v>28</v>
      </c>
      <c r="Z776" s="1" t="s">
        <v>135</v>
      </c>
      <c r="AA776" s="1" t="s">
        <v>86</v>
      </c>
      <c r="AB776" s="1" t="s">
        <v>382</v>
      </c>
      <c r="AC776" s="1" t="s">
        <v>4119</v>
      </c>
      <c r="AD776" s="1" t="s">
        <v>34</v>
      </c>
      <c r="AE776" s="1" t="s">
        <v>35</v>
      </c>
      <c r="AF776" s="5">
        <f t="shared" si="72"/>
        <v>45846</v>
      </c>
      <c r="AG776" s="5">
        <f t="shared" si="73"/>
        <v>45876</v>
      </c>
      <c r="AH776" s="5" t="b">
        <f t="shared" si="74"/>
        <v>1</v>
      </c>
      <c r="AI776" s="5" t="b">
        <f t="shared" si="75"/>
        <v>1</v>
      </c>
      <c r="AJ776" t="str">
        <f t="shared" si="76"/>
        <v>OK</v>
      </c>
      <c r="AK776">
        <f t="shared" si="77"/>
        <v>30</v>
      </c>
    </row>
    <row r="777" spans="1:37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  <c r="V777" s="1" t="s">
        <v>61</v>
      </c>
      <c r="W777" s="1" t="s">
        <v>26</v>
      </c>
      <c r="X777" s="1" t="s">
        <v>27</v>
      </c>
      <c r="Y777" s="1" t="s">
        <v>323</v>
      </c>
      <c r="Z777" s="1" t="s">
        <v>324</v>
      </c>
      <c r="AA777" s="1" t="s">
        <v>86</v>
      </c>
      <c r="AB777" s="1" t="s">
        <v>87</v>
      </c>
      <c r="AC777" s="1" t="s">
        <v>67</v>
      </c>
      <c r="AD777" s="1" t="s">
        <v>34</v>
      </c>
      <c r="AE777" s="1" t="s">
        <v>35</v>
      </c>
      <c r="AF777" s="5">
        <f t="shared" si="72"/>
        <v>45396</v>
      </c>
      <c r="AG777" s="5" t="e">
        <f t="shared" si="73"/>
        <v>#N/A</v>
      </c>
      <c r="AH777" s="5" t="b">
        <f t="shared" si="74"/>
        <v>1</v>
      </c>
      <c r="AI777" s="5" t="b">
        <f t="shared" si="75"/>
        <v>0</v>
      </c>
      <c r="AJ777" t="e">
        <f t="shared" si="76"/>
        <v>#N/A</v>
      </c>
      <c r="AK777" t="e">
        <f t="shared" si="77"/>
        <v>#N/A</v>
      </c>
    </row>
    <row r="778" spans="1:37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  <c r="V778" s="1" t="s">
        <v>107</v>
      </c>
      <c r="W778" s="1" t="s">
        <v>41</v>
      </c>
      <c r="X778" s="1" t="s">
        <v>27</v>
      </c>
      <c r="Y778" s="1" t="s">
        <v>28</v>
      </c>
      <c r="Z778" s="1" t="s">
        <v>29</v>
      </c>
      <c r="AA778" s="1" t="s">
        <v>86</v>
      </c>
      <c r="AB778" s="1" t="s">
        <v>94</v>
      </c>
      <c r="AC778" s="1" t="s">
        <v>33</v>
      </c>
      <c r="AD778" s="1" t="s">
        <v>34</v>
      </c>
      <c r="AE778" s="1" t="s">
        <v>35</v>
      </c>
      <c r="AF778" s="5">
        <f t="shared" si="72"/>
        <v>45875</v>
      </c>
      <c r="AG778" s="5">
        <f t="shared" si="73"/>
        <v>45821</v>
      </c>
      <c r="AH778" s="5" t="b">
        <f t="shared" si="74"/>
        <v>1</v>
      </c>
      <c r="AI778" s="5" t="b">
        <f t="shared" si="75"/>
        <v>1</v>
      </c>
      <c r="AJ778" t="str">
        <f t="shared" si="76"/>
        <v>Invalid: Ship before Order</v>
      </c>
      <c r="AK778" t="e">
        <f t="shared" si="77"/>
        <v>#NUM!</v>
      </c>
    </row>
    <row r="779" spans="1:37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  <c r="V779" s="1" t="s">
        <v>366</v>
      </c>
      <c r="W779" s="1" t="s">
        <v>41</v>
      </c>
      <c r="X779" s="1" t="s">
        <v>73</v>
      </c>
      <c r="Y779" s="1" t="s">
        <v>84</v>
      </c>
      <c r="Z779" s="1" t="s">
        <v>85</v>
      </c>
      <c r="AA779" s="1" t="s">
        <v>86</v>
      </c>
      <c r="AB779" s="1" t="s">
        <v>87</v>
      </c>
      <c r="AC779" s="1" t="s">
        <v>33</v>
      </c>
      <c r="AD779" s="1" t="s">
        <v>200</v>
      </c>
      <c r="AE779" s="1" t="s">
        <v>78</v>
      </c>
      <c r="AF779" s="5">
        <f t="shared" si="72"/>
        <v>45384</v>
      </c>
      <c r="AG779" s="5">
        <f t="shared" si="73"/>
        <v>45328</v>
      </c>
      <c r="AH779" s="5" t="b">
        <f t="shared" si="74"/>
        <v>1</v>
      </c>
      <c r="AI779" s="5" t="b">
        <f t="shared" si="75"/>
        <v>1</v>
      </c>
      <c r="AJ779" t="str">
        <f t="shared" si="76"/>
        <v>Invalid: Ship before Order</v>
      </c>
      <c r="AK779" t="e">
        <f t="shared" si="77"/>
        <v>#NUM!</v>
      </c>
    </row>
    <row r="780" spans="1:37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  <c r="V780" s="1" t="s">
        <v>25</v>
      </c>
      <c r="W780" s="1" t="s">
        <v>41</v>
      </c>
      <c r="X780" s="1" t="s">
        <v>27</v>
      </c>
      <c r="Y780" s="1" t="s">
        <v>323</v>
      </c>
      <c r="Z780" s="1" t="s">
        <v>324</v>
      </c>
      <c r="AA780" s="1" t="s">
        <v>86</v>
      </c>
      <c r="AB780" s="1" t="s">
        <v>94</v>
      </c>
      <c r="AC780" s="1" t="s">
        <v>33</v>
      </c>
      <c r="AD780" s="1" t="s">
        <v>34</v>
      </c>
      <c r="AE780" s="1" t="s">
        <v>35</v>
      </c>
      <c r="AF780" s="5">
        <f t="shared" si="72"/>
        <v>45497</v>
      </c>
      <c r="AG780" s="5" t="e">
        <f t="shared" si="73"/>
        <v>#N/A</v>
      </c>
      <c r="AH780" s="5" t="b">
        <f t="shared" si="74"/>
        <v>1</v>
      </c>
      <c r="AI780" s="5" t="b">
        <f t="shared" si="75"/>
        <v>0</v>
      </c>
      <c r="AJ780" t="e">
        <f t="shared" si="76"/>
        <v>#N/A</v>
      </c>
      <c r="AK780" t="e">
        <f t="shared" si="77"/>
        <v>#N/A</v>
      </c>
    </row>
    <row r="781" spans="1:37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  <c r="V781" s="1" t="s">
        <v>142</v>
      </c>
      <c r="W781" s="1" t="s">
        <v>41</v>
      </c>
      <c r="X781" s="1" t="s">
        <v>62</v>
      </c>
      <c r="Y781" s="1" t="s">
        <v>100</v>
      </c>
      <c r="Z781" s="1" t="s">
        <v>101</v>
      </c>
      <c r="AA781" s="1" t="s">
        <v>45</v>
      </c>
      <c r="AB781" s="1" t="s">
        <v>76</v>
      </c>
      <c r="AC781" s="1" t="s">
        <v>67</v>
      </c>
      <c r="AD781" s="1" t="s">
        <v>34</v>
      </c>
      <c r="AE781" s="1" t="s">
        <v>35</v>
      </c>
      <c r="AF781" s="5">
        <f t="shared" si="72"/>
        <v>45306</v>
      </c>
      <c r="AG781" s="5" t="e">
        <f t="shared" si="73"/>
        <v>#N/A</v>
      </c>
      <c r="AH781" s="5" t="b">
        <f t="shared" si="74"/>
        <v>1</v>
      </c>
      <c r="AI781" s="5" t="b">
        <f t="shared" si="75"/>
        <v>0</v>
      </c>
      <c r="AJ781" t="e">
        <f t="shared" si="76"/>
        <v>#N/A</v>
      </c>
      <c r="AK781" t="e">
        <f t="shared" si="77"/>
        <v>#N/A</v>
      </c>
    </row>
    <row r="782" spans="1:37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  <c r="V782" s="1" t="s">
        <v>210</v>
      </c>
      <c r="W782" s="1" t="s">
        <v>41</v>
      </c>
      <c r="X782" s="1" t="s">
        <v>73</v>
      </c>
      <c r="Y782" s="1" t="s">
        <v>28</v>
      </c>
      <c r="Z782" s="1" t="s">
        <v>135</v>
      </c>
      <c r="AA782" s="1" t="s">
        <v>45</v>
      </c>
      <c r="AB782" s="1" t="s">
        <v>76</v>
      </c>
      <c r="AC782" s="1" t="s">
        <v>48</v>
      </c>
      <c r="AD782" s="1" t="s">
        <v>34</v>
      </c>
      <c r="AE782" s="1" t="s">
        <v>35</v>
      </c>
      <c r="AF782" s="5">
        <f t="shared" si="72"/>
        <v>45508</v>
      </c>
      <c r="AG782" s="5">
        <f t="shared" si="73"/>
        <v>45514</v>
      </c>
      <c r="AH782" s="5" t="b">
        <f t="shared" si="74"/>
        <v>1</v>
      </c>
      <c r="AI782" s="5" t="b">
        <f t="shared" si="75"/>
        <v>1</v>
      </c>
      <c r="AJ782" t="str">
        <f t="shared" si="76"/>
        <v>OK</v>
      </c>
      <c r="AK782">
        <f t="shared" si="77"/>
        <v>6</v>
      </c>
    </row>
    <row r="783" spans="1:37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  <c r="V783" s="1" t="s">
        <v>25</v>
      </c>
      <c r="W783" s="1" t="s">
        <v>115</v>
      </c>
      <c r="X783" s="1" t="s">
        <v>73</v>
      </c>
      <c r="Y783" s="1" t="s">
        <v>28</v>
      </c>
      <c r="Z783" s="1" t="s">
        <v>135</v>
      </c>
      <c r="AA783" s="1" t="s">
        <v>30</v>
      </c>
      <c r="AB783" s="1" t="s">
        <v>109</v>
      </c>
      <c r="AC783" s="1" t="s">
        <v>56</v>
      </c>
      <c r="AD783" s="1" t="s">
        <v>137</v>
      </c>
      <c r="AE783" s="1" t="s">
        <v>125</v>
      </c>
      <c r="AF783" s="5">
        <f t="shared" si="72"/>
        <v>45324</v>
      </c>
      <c r="AG783" s="5">
        <f t="shared" si="73"/>
        <v>45332</v>
      </c>
      <c r="AH783" s="5" t="b">
        <f t="shared" si="74"/>
        <v>1</v>
      </c>
      <c r="AI783" s="5" t="b">
        <f t="shared" si="75"/>
        <v>1</v>
      </c>
      <c r="AJ783" t="str">
        <f t="shared" si="76"/>
        <v>OK</v>
      </c>
      <c r="AK783">
        <f t="shared" si="77"/>
        <v>8</v>
      </c>
    </row>
    <row r="784" spans="1:37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  <c r="V784" s="1" t="s">
        <v>40</v>
      </c>
      <c r="W784" s="1" t="s">
        <v>108</v>
      </c>
      <c r="X784" s="1" t="s">
        <v>42</v>
      </c>
      <c r="Y784" s="1" t="s">
        <v>121</v>
      </c>
      <c r="Z784" s="1" t="s">
        <v>122</v>
      </c>
      <c r="AA784" s="1" t="s">
        <v>86</v>
      </c>
      <c r="AB784" s="1" t="s">
        <v>94</v>
      </c>
      <c r="AC784" s="1" t="s">
        <v>67</v>
      </c>
      <c r="AD784" s="1" t="s">
        <v>34</v>
      </c>
      <c r="AE784" s="1" t="s">
        <v>35</v>
      </c>
      <c r="AF784" s="5">
        <f t="shared" si="72"/>
        <v>45730</v>
      </c>
      <c r="AG784" s="5">
        <f t="shared" si="73"/>
        <v>45738</v>
      </c>
      <c r="AH784" s="5" t="b">
        <f t="shared" si="74"/>
        <v>1</v>
      </c>
      <c r="AI784" s="5" t="b">
        <f t="shared" si="75"/>
        <v>1</v>
      </c>
      <c r="AJ784" t="str">
        <f t="shared" si="76"/>
        <v>OK</v>
      </c>
      <c r="AK784">
        <f t="shared" si="77"/>
        <v>8</v>
      </c>
    </row>
    <row r="785" spans="1:37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  <c r="V785" s="1" t="s">
        <v>162</v>
      </c>
      <c r="W785" s="1" t="s">
        <v>41</v>
      </c>
      <c r="X785" s="1" t="s">
        <v>42</v>
      </c>
      <c r="Y785" s="1" t="s">
        <v>186</v>
      </c>
      <c r="Z785" s="1" t="s">
        <v>187</v>
      </c>
      <c r="AA785" s="1" t="s">
        <v>30</v>
      </c>
      <c r="AB785" s="1" t="s">
        <v>54</v>
      </c>
      <c r="AC785" s="1" t="s">
        <v>33</v>
      </c>
      <c r="AD785" s="1" t="s">
        <v>34</v>
      </c>
      <c r="AE785" s="1" t="s">
        <v>35</v>
      </c>
      <c r="AF785" s="5">
        <f t="shared" si="72"/>
        <v>45450</v>
      </c>
      <c r="AG785" s="5">
        <f t="shared" si="73"/>
        <v>45450</v>
      </c>
      <c r="AH785" s="5" t="b">
        <f t="shared" si="74"/>
        <v>1</v>
      </c>
      <c r="AI785" s="5" t="b">
        <f t="shared" si="75"/>
        <v>1</v>
      </c>
      <c r="AJ785" t="str">
        <f t="shared" si="76"/>
        <v>OK</v>
      </c>
      <c r="AK785">
        <f t="shared" si="77"/>
        <v>0</v>
      </c>
    </row>
    <row r="786" spans="1:37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  <c r="V786" s="1" t="s">
        <v>142</v>
      </c>
      <c r="W786" s="1" t="s">
        <v>108</v>
      </c>
      <c r="X786" s="1" t="s">
        <v>27</v>
      </c>
      <c r="Y786" s="1" t="s">
        <v>154</v>
      </c>
      <c r="Z786" s="1" t="s">
        <v>155</v>
      </c>
      <c r="AA786" s="1" t="s">
        <v>86</v>
      </c>
      <c r="AB786" s="1" t="s">
        <v>94</v>
      </c>
      <c r="AC786" s="1" t="s">
        <v>56</v>
      </c>
      <c r="AD786" s="1" t="s">
        <v>34</v>
      </c>
      <c r="AE786" s="1" t="s">
        <v>35</v>
      </c>
      <c r="AF786" s="5">
        <f t="shared" si="72"/>
        <v>45934</v>
      </c>
      <c r="AG786" s="5">
        <f t="shared" si="73"/>
        <v>45935</v>
      </c>
      <c r="AH786" s="5" t="b">
        <f t="shared" si="74"/>
        <v>1</v>
      </c>
      <c r="AI786" s="5" t="b">
        <f t="shared" si="75"/>
        <v>1</v>
      </c>
      <c r="AJ786" t="str">
        <f t="shared" si="76"/>
        <v>OK</v>
      </c>
      <c r="AK786">
        <f t="shared" si="77"/>
        <v>1</v>
      </c>
    </row>
    <row r="787" spans="1:37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  <c r="V787" s="1" t="s">
        <v>210</v>
      </c>
      <c r="W787" s="1" t="s">
        <v>41</v>
      </c>
      <c r="X787" s="1" t="s">
        <v>27</v>
      </c>
      <c r="Y787" s="1" t="s">
        <v>323</v>
      </c>
      <c r="Z787" s="1" t="s">
        <v>324</v>
      </c>
      <c r="AA787" s="1" t="s">
        <v>30</v>
      </c>
      <c r="AB787" s="1" t="s">
        <v>156</v>
      </c>
      <c r="AC787" s="1" t="s">
        <v>48</v>
      </c>
      <c r="AD787" s="1" t="s">
        <v>200</v>
      </c>
      <c r="AE787" s="1" t="s">
        <v>78</v>
      </c>
      <c r="AF787" s="5" t="e">
        <f t="shared" si="72"/>
        <v>#N/A</v>
      </c>
      <c r="AG787" s="5" t="e">
        <f t="shared" si="73"/>
        <v>#N/A</v>
      </c>
      <c r="AH787" s="5" t="b">
        <f t="shared" si="74"/>
        <v>0</v>
      </c>
      <c r="AI787" s="5" t="b">
        <f t="shared" si="75"/>
        <v>0</v>
      </c>
      <c r="AJ787" t="e">
        <f t="shared" si="76"/>
        <v>#N/A</v>
      </c>
      <c r="AK787" t="e">
        <f t="shared" si="77"/>
        <v>#N/A</v>
      </c>
    </row>
    <row r="788" spans="1:37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  <c r="V788" s="1" t="s">
        <v>72</v>
      </c>
      <c r="W788" s="1" t="s">
        <v>108</v>
      </c>
      <c r="X788" s="1" t="s">
        <v>27</v>
      </c>
      <c r="Y788" s="1" t="s">
        <v>28</v>
      </c>
      <c r="Z788" s="1" t="s">
        <v>29</v>
      </c>
      <c r="AA788" s="1" t="s">
        <v>45</v>
      </c>
      <c r="AB788" s="1" t="s">
        <v>65</v>
      </c>
      <c r="AC788" s="1" t="s">
        <v>4119</v>
      </c>
      <c r="AD788" s="1" t="s">
        <v>124</v>
      </c>
      <c r="AE788" s="1" t="s">
        <v>125</v>
      </c>
      <c r="AF788" s="5">
        <f t="shared" si="72"/>
        <v>45844</v>
      </c>
      <c r="AG788" s="5">
        <f t="shared" si="73"/>
        <v>45846</v>
      </c>
      <c r="AH788" s="5" t="b">
        <f t="shared" si="74"/>
        <v>1</v>
      </c>
      <c r="AI788" s="5" t="b">
        <f t="shared" si="75"/>
        <v>1</v>
      </c>
      <c r="AJ788" t="str">
        <f t="shared" si="76"/>
        <v>OK</v>
      </c>
      <c r="AK788">
        <f t="shared" si="77"/>
        <v>2</v>
      </c>
    </row>
    <row r="789" spans="1:37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  <c r="V789" s="1" t="s">
        <v>72</v>
      </c>
      <c r="W789" s="1" t="s">
        <v>115</v>
      </c>
      <c r="X789" s="1" t="s">
        <v>42</v>
      </c>
      <c r="Y789" s="1" t="s">
        <v>186</v>
      </c>
      <c r="Z789" s="1" t="s">
        <v>187</v>
      </c>
      <c r="AA789" s="1" t="s">
        <v>30</v>
      </c>
      <c r="AB789" s="1" t="s">
        <v>31</v>
      </c>
      <c r="AC789" s="1" t="s">
        <v>33</v>
      </c>
      <c r="AD789" s="1" t="s">
        <v>34</v>
      </c>
      <c r="AE789" s="1" t="s">
        <v>35</v>
      </c>
      <c r="AF789" s="5">
        <f t="shared" si="72"/>
        <v>45547</v>
      </c>
      <c r="AG789" s="5">
        <f t="shared" si="73"/>
        <v>45553</v>
      </c>
      <c r="AH789" s="5" t="b">
        <f t="shared" si="74"/>
        <v>1</v>
      </c>
      <c r="AI789" s="5" t="b">
        <f t="shared" si="75"/>
        <v>1</v>
      </c>
      <c r="AJ789" t="str">
        <f t="shared" si="76"/>
        <v>OK</v>
      </c>
      <c r="AK789">
        <f t="shared" si="77"/>
        <v>6</v>
      </c>
    </row>
    <row r="790" spans="1:37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  <c r="V790" s="1" t="s">
        <v>53</v>
      </c>
      <c r="W790" s="1" t="s">
        <v>108</v>
      </c>
      <c r="X790" s="1" t="s">
        <v>27</v>
      </c>
      <c r="Y790" s="1" t="s">
        <v>174</v>
      </c>
      <c r="Z790" s="1" t="s">
        <v>175</v>
      </c>
      <c r="AA790" s="1" t="s">
        <v>45</v>
      </c>
      <c r="AB790" s="1" t="s">
        <v>76</v>
      </c>
      <c r="AC790" s="1" t="s">
        <v>67</v>
      </c>
      <c r="AD790" s="1" t="s">
        <v>200</v>
      </c>
      <c r="AE790" s="1" t="s">
        <v>125</v>
      </c>
      <c r="AF790" s="5">
        <f t="shared" si="72"/>
        <v>45505</v>
      </c>
      <c r="AG790" s="5">
        <f t="shared" si="73"/>
        <v>45330</v>
      </c>
      <c r="AH790" s="5" t="b">
        <f t="shared" si="74"/>
        <v>1</v>
      </c>
      <c r="AI790" s="5" t="b">
        <f t="shared" si="75"/>
        <v>1</v>
      </c>
      <c r="AJ790" t="str">
        <f t="shared" si="76"/>
        <v>Invalid: Ship before Order</v>
      </c>
      <c r="AK790" t="e">
        <f t="shared" si="77"/>
        <v>#NUM!</v>
      </c>
    </row>
    <row r="791" spans="1:37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  <c r="V791" s="1" t="s">
        <v>142</v>
      </c>
      <c r="W791" s="1" t="s">
        <v>115</v>
      </c>
      <c r="X791" s="1" t="s">
        <v>4119</v>
      </c>
      <c r="Y791" s="1" t="s">
        <v>28</v>
      </c>
      <c r="Z791" s="1" t="s">
        <v>135</v>
      </c>
      <c r="AA791" s="1" t="s">
        <v>86</v>
      </c>
      <c r="AB791" s="1" t="s">
        <v>94</v>
      </c>
      <c r="AC791" s="1" t="s">
        <v>48</v>
      </c>
      <c r="AD791" s="1" t="s">
        <v>34</v>
      </c>
      <c r="AE791" s="1" t="s">
        <v>35</v>
      </c>
      <c r="AF791" s="5">
        <f t="shared" si="72"/>
        <v>45723</v>
      </c>
      <c r="AG791" s="5">
        <f t="shared" si="73"/>
        <v>45724</v>
      </c>
      <c r="AH791" s="5" t="b">
        <f t="shared" si="74"/>
        <v>1</v>
      </c>
      <c r="AI791" s="5" t="b">
        <f t="shared" si="75"/>
        <v>1</v>
      </c>
      <c r="AJ791" t="str">
        <f t="shared" si="76"/>
        <v>OK</v>
      </c>
      <c r="AK791">
        <f t="shared" si="77"/>
        <v>1</v>
      </c>
    </row>
    <row r="792" spans="1:37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  <c r="V792" s="1" t="s">
        <v>148</v>
      </c>
      <c r="W792" s="1" t="s">
        <v>108</v>
      </c>
      <c r="X792" s="1" t="s">
        <v>62</v>
      </c>
      <c r="Y792" s="1" t="s">
        <v>100</v>
      </c>
      <c r="Z792" s="1" t="s">
        <v>101</v>
      </c>
      <c r="AA792" s="1" t="s">
        <v>30</v>
      </c>
      <c r="AB792" s="1" t="s">
        <v>54</v>
      </c>
      <c r="AC792" s="1" t="s">
        <v>67</v>
      </c>
      <c r="AD792" s="1" t="s">
        <v>34</v>
      </c>
      <c r="AE792" s="1" t="s">
        <v>35</v>
      </c>
      <c r="AF792" s="5">
        <f t="shared" si="72"/>
        <v>45443</v>
      </c>
      <c r="AG792" s="5">
        <f t="shared" si="73"/>
        <v>45445</v>
      </c>
      <c r="AH792" s="5" t="b">
        <f t="shared" si="74"/>
        <v>1</v>
      </c>
      <c r="AI792" s="5" t="b">
        <f t="shared" si="75"/>
        <v>1</v>
      </c>
      <c r="AJ792" t="str">
        <f t="shared" si="76"/>
        <v>OK</v>
      </c>
      <c r="AK792">
        <f t="shared" si="77"/>
        <v>2</v>
      </c>
    </row>
    <row r="793" spans="1:37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  <c r="V793" s="1" t="s">
        <v>148</v>
      </c>
      <c r="W793" s="1" t="s">
        <v>115</v>
      </c>
      <c r="X793" s="1" t="s">
        <v>62</v>
      </c>
      <c r="Y793" s="1" t="s">
        <v>229</v>
      </c>
      <c r="Z793" s="1" t="s">
        <v>230</v>
      </c>
      <c r="AA793" s="1" t="s">
        <v>45</v>
      </c>
      <c r="AB793" s="1" t="s">
        <v>204</v>
      </c>
      <c r="AC793" s="1" t="s">
        <v>48</v>
      </c>
      <c r="AD793" s="1" t="s">
        <v>34</v>
      </c>
      <c r="AE793" s="1" t="s">
        <v>35</v>
      </c>
      <c r="AF793" s="5">
        <f t="shared" si="72"/>
        <v>45567</v>
      </c>
      <c r="AG793" s="5">
        <f t="shared" si="73"/>
        <v>45571</v>
      </c>
      <c r="AH793" s="5" t="b">
        <f t="shared" si="74"/>
        <v>1</v>
      </c>
      <c r="AI793" s="5" t="b">
        <f t="shared" si="75"/>
        <v>1</v>
      </c>
      <c r="AJ793" t="str">
        <f t="shared" si="76"/>
        <v>OK</v>
      </c>
      <c r="AK793">
        <f t="shared" si="77"/>
        <v>4</v>
      </c>
    </row>
    <row r="794" spans="1:37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  <c r="V794" s="1" t="s">
        <v>61</v>
      </c>
      <c r="W794" s="1" t="s">
        <v>41</v>
      </c>
      <c r="X794" s="1" t="s">
        <v>42</v>
      </c>
      <c r="Y794" s="1" t="s">
        <v>216</v>
      </c>
      <c r="Z794" s="1" t="s">
        <v>217</v>
      </c>
      <c r="AA794" s="1" t="s">
        <v>45</v>
      </c>
      <c r="AB794" s="1" t="s">
        <v>65</v>
      </c>
      <c r="AC794" s="1" t="s">
        <v>33</v>
      </c>
      <c r="AD794" s="1" t="s">
        <v>34</v>
      </c>
      <c r="AE794" s="1" t="s">
        <v>125</v>
      </c>
      <c r="AF794" s="5">
        <f t="shared" si="72"/>
        <v>45812</v>
      </c>
      <c r="AG794" s="5">
        <f t="shared" si="73"/>
        <v>45816</v>
      </c>
      <c r="AH794" s="5" t="b">
        <f t="shared" si="74"/>
        <v>1</v>
      </c>
      <c r="AI794" s="5" t="b">
        <f t="shared" si="75"/>
        <v>1</v>
      </c>
      <c r="AJ794" t="str">
        <f t="shared" si="76"/>
        <v>OK</v>
      </c>
      <c r="AK794">
        <f t="shared" si="77"/>
        <v>4</v>
      </c>
    </row>
    <row r="795" spans="1:37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  <c r="V795" s="1" t="s">
        <v>83</v>
      </c>
      <c r="W795" s="1" t="s">
        <v>108</v>
      </c>
      <c r="X795" s="1" t="s">
        <v>27</v>
      </c>
      <c r="Y795" s="1" t="s">
        <v>28</v>
      </c>
      <c r="Z795" s="1" t="s">
        <v>29</v>
      </c>
      <c r="AA795" s="1" t="s">
        <v>86</v>
      </c>
      <c r="AB795" s="1" t="s">
        <v>94</v>
      </c>
      <c r="AC795" s="1" t="s">
        <v>33</v>
      </c>
      <c r="AD795" s="1" t="s">
        <v>34</v>
      </c>
      <c r="AE795" s="1" t="s">
        <v>35</v>
      </c>
      <c r="AF795" s="5" t="e">
        <f t="shared" si="72"/>
        <v>#N/A</v>
      </c>
      <c r="AG795" s="5">
        <f t="shared" si="73"/>
        <v>45446</v>
      </c>
      <c r="AH795" s="5" t="b">
        <f t="shared" si="74"/>
        <v>0</v>
      </c>
      <c r="AI795" s="5" t="b">
        <f t="shared" si="75"/>
        <v>1</v>
      </c>
      <c r="AJ795" t="e">
        <f t="shared" si="76"/>
        <v>#N/A</v>
      </c>
      <c r="AK795" t="e">
        <f t="shared" si="77"/>
        <v>#N/A</v>
      </c>
    </row>
    <row r="796" spans="1:37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  <c r="V796" s="1" t="s">
        <v>168</v>
      </c>
      <c r="W796" s="1" t="s">
        <v>108</v>
      </c>
      <c r="X796" s="1" t="s">
        <v>42</v>
      </c>
      <c r="Y796" s="1" t="s">
        <v>216</v>
      </c>
      <c r="Z796" s="1" t="s">
        <v>217</v>
      </c>
      <c r="AA796" s="1" t="s">
        <v>30</v>
      </c>
      <c r="AB796" s="1" t="s">
        <v>31</v>
      </c>
      <c r="AC796" s="1" t="s">
        <v>67</v>
      </c>
      <c r="AD796" s="1" t="s">
        <v>34</v>
      </c>
      <c r="AE796" s="1" t="s">
        <v>35</v>
      </c>
      <c r="AF796" s="5">
        <f t="shared" si="72"/>
        <v>45830</v>
      </c>
      <c r="AG796" s="5">
        <f t="shared" si="73"/>
        <v>45832</v>
      </c>
      <c r="AH796" s="5" t="b">
        <f t="shared" si="74"/>
        <v>1</v>
      </c>
      <c r="AI796" s="5" t="b">
        <f t="shared" si="75"/>
        <v>1</v>
      </c>
      <c r="AJ796" t="str">
        <f t="shared" si="76"/>
        <v>OK</v>
      </c>
      <c r="AK796">
        <f t="shared" si="77"/>
        <v>2</v>
      </c>
    </row>
    <row r="797" spans="1:37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  <c r="V797" s="1" t="s">
        <v>210</v>
      </c>
      <c r="W797" s="1" t="s">
        <v>115</v>
      </c>
      <c r="X797" s="1" t="s">
        <v>42</v>
      </c>
      <c r="Y797" s="1" t="s">
        <v>43</v>
      </c>
      <c r="Z797" s="1" t="s">
        <v>44</v>
      </c>
      <c r="AA797" s="1" t="s">
        <v>86</v>
      </c>
      <c r="AB797" s="1" t="s">
        <v>94</v>
      </c>
      <c r="AC797" s="1" t="s">
        <v>48</v>
      </c>
      <c r="AD797" s="1" t="s">
        <v>124</v>
      </c>
      <c r="AE797" s="1" t="s">
        <v>78</v>
      </c>
      <c r="AF797" s="5" t="e">
        <f t="shared" si="72"/>
        <v>#N/A</v>
      </c>
      <c r="AG797" s="5">
        <f t="shared" si="73"/>
        <v>45503</v>
      </c>
      <c r="AH797" s="5" t="b">
        <f t="shared" si="74"/>
        <v>0</v>
      </c>
      <c r="AI797" s="5" t="b">
        <f t="shared" si="75"/>
        <v>1</v>
      </c>
      <c r="AJ797" t="e">
        <f t="shared" si="76"/>
        <v>#N/A</v>
      </c>
      <c r="AK797" t="e">
        <f t="shared" si="77"/>
        <v>#N/A</v>
      </c>
    </row>
    <row r="798" spans="1:37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  <c r="V798" s="1" t="s">
        <v>180</v>
      </c>
      <c r="W798" s="1" t="s">
        <v>41</v>
      </c>
      <c r="X798" s="1" t="s">
        <v>62</v>
      </c>
      <c r="Y798" s="1" t="s">
        <v>100</v>
      </c>
      <c r="Z798" s="1" t="s">
        <v>101</v>
      </c>
      <c r="AA798" s="1" t="s">
        <v>86</v>
      </c>
      <c r="AB798" s="1" t="s">
        <v>382</v>
      </c>
      <c r="AC798" s="1" t="s">
        <v>56</v>
      </c>
      <c r="AD798" s="1" t="s">
        <v>34</v>
      </c>
      <c r="AE798" s="1" t="s">
        <v>35</v>
      </c>
      <c r="AF798" s="5">
        <f t="shared" si="72"/>
        <v>45374</v>
      </c>
      <c r="AG798" s="5" t="e">
        <f t="shared" si="73"/>
        <v>#N/A</v>
      </c>
      <c r="AH798" s="5" t="b">
        <f t="shared" si="74"/>
        <v>1</v>
      </c>
      <c r="AI798" s="5" t="b">
        <f t="shared" si="75"/>
        <v>0</v>
      </c>
      <c r="AJ798" t="e">
        <f t="shared" si="76"/>
        <v>#N/A</v>
      </c>
      <c r="AK798" t="e">
        <f t="shared" si="77"/>
        <v>#N/A</v>
      </c>
    </row>
    <row r="799" spans="1:37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  <c r="V799" s="1" t="s">
        <v>162</v>
      </c>
      <c r="W799" s="1" t="s">
        <v>26</v>
      </c>
      <c r="X799" s="1" t="s">
        <v>42</v>
      </c>
      <c r="Y799" s="1" t="s">
        <v>43</v>
      </c>
      <c r="Z799" s="1" t="s">
        <v>44</v>
      </c>
      <c r="AA799" s="1" t="s">
        <v>30</v>
      </c>
      <c r="AB799" s="1" t="s">
        <v>198</v>
      </c>
      <c r="AC799" s="1" t="s">
        <v>56</v>
      </c>
      <c r="AD799" s="1" t="s">
        <v>200</v>
      </c>
      <c r="AE799" s="1" t="s">
        <v>78</v>
      </c>
      <c r="AF799" s="5">
        <f t="shared" si="72"/>
        <v>45400</v>
      </c>
      <c r="AG799" s="5" t="e">
        <f t="shared" si="73"/>
        <v>#N/A</v>
      </c>
      <c r="AH799" s="5" t="b">
        <f t="shared" si="74"/>
        <v>1</v>
      </c>
      <c r="AI799" s="5" t="b">
        <f t="shared" si="75"/>
        <v>0</v>
      </c>
      <c r="AJ799" t="e">
        <f t="shared" si="76"/>
        <v>#N/A</v>
      </c>
      <c r="AK799" t="e">
        <f t="shared" si="77"/>
        <v>#N/A</v>
      </c>
    </row>
    <row r="800" spans="1:37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  <c r="V800" s="1" t="s">
        <v>107</v>
      </c>
      <c r="W800" s="1" t="s">
        <v>108</v>
      </c>
      <c r="X800" s="1" t="s">
        <v>27</v>
      </c>
      <c r="Y800" s="1" t="s">
        <v>506</v>
      </c>
      <c r="Z800" s="1" t="s">
        <v>507</v>
      </c>
      <c r="AA800" s="1" t="s">
        <v>45</v>
      </c>
      <c r="AB800" s="1" t="s">
        <v>65</v>
      </c>
      <c r="AC800" s="1" t="s">
        <v>67</v>
      </c>
      <c r="AD800" s="1" t="s">
        <v>34</v>
      </c>
      <c r="AE800" s="1" t="s">
        <v>35</v>
      </c>
      <c r="AF800" s="5">
        <f t="shared" si="72"/>
        <v>45849</v>
      </c>
      <c r="AG800" s="5">
        <f t="shared" si="73"/>
        <v>45907</v>
      </c>
      <c r="AH800" s="5" t="b">
        <f t="shared" si="74"/>
        <v>1</v>
      </c>
      <c r="AI800" s="5" t="b">
        <f t="shared" si="75"/>
        <v>1</v>
      </c>
      <c r="AJ800" t="str">
        <f t="shared" si="76"/>
        <v>OK</v>
      </c>
      <c r="AK800">
        <f t="shared" si="77"/>
        <v>58</v>
      </c>
    </row>
    <row r="801" spans="1:37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  <c r="V801" s="1" t="s">
        <v>53</v>
      </c>
      <c r="W801" s="1" t="s">
        <v>115</v>
      </c>
      <c r="X801" s="1" t="s">
        <v>27</v>
      </c>
      <c r="Y801" s="1" t="s">
        <v>323</v>
      </c>
      <c r="Z801" s="1" t="s">
        <v>324</v>
      </c>
      <c r="AA801" s="1" t="s">
        <v>86</v>
      </c>
      <c r="AB801" s="1" t="s">
        <v>87</v>
      </c>
      <c r="AC801" s="1" t="s">
        <v>4119</v>
      </c>
      <c r="AD801" s="1" t="s">
        <v>34</v>
      </c>
      <c r="AE801" s="1" t="s">
        <v>125</v>
      </c>
      <c r="AF801" s="5">
        <f t="shared" si="72"/>
        <v>45575</v>
      </c>
      <c r="AG801" s="5">
        <f t="shared" si="73"/>
        <v>45582</v>
      </c>
      <c r="AH801" s="5" t="b">
        <f t="shared" si="74"/>
        <v>1</v>
      </c>
      <c r="AI801" s="5" t="b">
        <f t="shared" si="75"/>
        <v>1</v>
      </c>
      <c r="AJ801" t="str">
        <f t="shared" si="76"/>
        <v>OK</v>
      </c>
      <c r="AK801">
        <f t="shared" si="77"/>
        <v>7</v>
      </c>
    </row>
    <row r="802" spans="1:37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  <c r="V802" s="1" t="s">
        <v>83</v>
      </c>
      <c r="W802" s="1" t="s">
        <v>41</v>
      </c>
      <c r="X802" s="1" t="s">
        <v>73</v>
      </c>
      <c r="Y802" s="1" t="s">
        <v>74</v>
      </c>
      <c r="Z802" s="1" t="s">
        <v>75</v>
      </c>
      <c r="AA802" s="1" t="s">
        <v>30</v>
      </c>
      <c r="AB802" s="1" t="s">
        <v>156</v>
      </c>
      <c r="AC802" s="1" t="s">
        <v>33</v>
      </c>
      <c r="AD802" s="1" t="s">
        <v>34</v>
      </c>
      <c r="AE802" s="1" t="s">
        <v>35</v>
      </c>
      <c r="AF802" s="5">
        <f t="shared" si="72"/>
        <v>45352</v>
      </c>
      <c r="AG802" s="5">
        <f t="shared" si="73"/>
        <v>45358</v>
      </c>
      <c r="AH802" s="5" t="b">
        <f t="shared" si="74"/>
        <v>1</v>
      </c>
      <c r="AI802" s="5" t="b">
        <f t="shared" si="75"/>
        <v>1</v>
      </c>
      <c r="AJ802" t="str">
        <f t="shared" si="76"/>
        <v>OK</v>
      </c>
      <c r="AK802">
        <f t="shared" si="77"/>
        <v>6</v>
      </c>
    </row>
    <row r="803" spans="1:37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  <c r="V803" s="1" t="s">
        <v>162</v>
      </c>
      <c r="W803" s="1" t="s">
        <v>115</v>
      </c>
      <c r="X803" s="1" t="s">
        <v>42</v>
      </c>
      <c r="Y803" s="1" t="s">
        <v>43</v>
      </c>
      <c r="Z803" s="1" t="s">
        <v>44</v>
      </c>
      <c r="AA803" s="1" t="s">
        <v>86</v>
      </c>
      <c r="AB803" s="1" t="s">
        <v>87</v>
      </c>
      <c r="AC803" s="1" t="s">
        <v>33</v>
      </c>
      <c r="AD803" s="1" t="s">
        <v>137</v>
      </c>
      <c r="AE803" s="1" t="s">
        <v>78</v>
      </c>
      <c r="AF803" s="5">
        <f t="shared" si="72"/>
        <v>45938</v>
      </c>
      <c r="AG803" s="5">
        <f t="shared" si="73"/>
        <v>45945</v>
      </c>
      <c r="AH803" s="5" t="b">
        <f t="shared" si="74"/>
        <v>1</v>
      </c>
      <c r="AI803" s="5" t="b">
        <f t="shared" si="75"/>
        <v>1</v>
      </c>
      <c r="AJ803" t="str">
        <f t="shared" si="76"/>
        <v>OK</v>
      </c>
      <c r="AK803">
        <f t="shared" si="77"/>
        <v>7</v>
      </c>
    </row>
    <row r="804" spans="1:37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  <c r="V804" s="1" t="s">
        <v>180</v>
      </c>
      <c r="W804" s="1" t="s">
        <v>41</v>
      </c>
      <c r="X804" s="1" t="s">
        <v>42</v>
      </c>
      <c r="Y804" s="1" t="s">
        <v>216</v>
      </c>
      <c r="Z804" s="1" t="s">
        <v>217</v>
      </c>
      <c r="AA804" s="1" t="s">
        <v>45</v>
      </c>
      <c r="AB804" s="1" t="s">
        <v>65</v>
      </c>
      <c r="AC804" s="1" t="s">
        <v>33</v>
      </c>
      <c r="AD804" s="1" t="s">
        <v>200</v>
      </c>
      <c r="AE804" s="1" t="s">
        <v>125</v>
      </c>
      <c r="AF804" s="5">
        <f t="shared" si="72"/>
        <v>45704</v>
      </c>
      <c r="AG804" s="5">
        <f t="shared" si="73"/>
        <v>45704</v>
      </c>
      <c r="AH804" s="5" t="b">
        <f t="shared" si="74"/>
        <v>1</v>
      </c>
      <c r="AI804" s="5" t="b">
        <f t="shared" si="75"/>
        <v>1</v>
      </c>
      <c r="AJ804" t="str">
        <f t="shared" si="76"/>
        <v>OK</v>
      </c>
      <c r="AK804">
        <f t="shared" si="77"/>
        <v>0</v>
      </c>
    </row>
    <row r="805" spans="1:37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  <c r="V805" s="1" t="s">
        <v>180</v>
      </c>
      <c r="W805" s="1" t="s">
        <v>26</v>
      </c>
      <c r="X805" s="1" t="s">
        <v>4119</v>
      </c>
      <c r="Y805" s="1" t="s">
        <v>311</v>
      </c>
      <c r="Z805" s="1" t="s">
        <v>312</v>
      </c>
      <c r="AA805" s="1" t="s">
        <v>30</v>
      </c>
      <c r="AB805" s="1" t="s">
        <v>109</v>
      </c>
      <c r="AC805" s="1" t="s">
        <v>56</v>
      </c>
      <c r="AD805" s="1" t="s">
        <v>34</v>
      </c>
      <c r="AE805" s="1" t="s">
        <v>35</v>
      </c>
      <c r="AF805" s="5">
        <f t="shared" si="72"/>
        <v>45635</v>
      </c>
      <c r="AG805" s="5">
        <f t="shared" si="73"/>
        <v>45639</v>
      </c>
      <c r="AH805" s="5" t="b">
        <f t="shared" si="74"/>
        <v>1</v>
      </c>
      <c r="AI805" s="5" t="b">
        <f t="shared" si="75"/>
        <v>1</v>
      </c>
      <c r="AJ805" t="str">
        <f t="shared" si="76"/>
        <v>OK</v>
      </c>
      <c r="AK805">
        <f t="shared" si="77"/>
        <v>4</v>
      </c>
    </row>
    <row r="806" spans="1:37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  <c r="V806" s="1" t="s">
        <v>148</v>
      </c>
      <c r="W806" s="1" t="s">
        <v>115</v>
      </c>
      <c r="X806" s="1" t="s">
        <v>62</v>
      </c>
      <c r="Y806" s="1" t="s">
        <v>63</v>
      </c>
      <c r="Z806" s="1" t="s">
        <v>64</v>
      </c>
      <c r="AA806" s="1" t="s">
        <v>45</v>
      </c>
      <c r="AB806" s="1" t="s">
        <v>65</v>
      </c>
      <c r="AC806" s="1" t="s">
        <v>67</v>
      </c>
      <c r="AD806" s="1" t="s">
        <v>34</v>
      </c>
      <c r="AE806" s="1" t="s">
        <v>35</v>
      </c>
      <c r="AF806" s="5">
        <f t="shared" si="72"/>
        <v>45939</v>
      </c>
      <c r="AG806" s="5" t="e">
        <f t="shared" si="73"/>
        <v>#N/A</v>
      </c>
      <c r="AH806" s="5" t="b">
        <f t="shared" si="74"/>
        <v>1</v>
      </c>
      <c r="AI806" s="5" t="b">
        <f t="shared" si="75"/>
        <v>0</v>
      </c>
      <c r="AJ806" t="e">
        <f t="shared" si="76"/>
        <v>#N/A</v>
      </c>
      <c r="AK806" t="e">
        <f t="shared" si="77"/>
        <v>#N/A</v>
      </c>
    </row>
    <row r="807" spans="1:37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  <c r="V807" s="1" t="s">
        <v>142</v>
      </c>
      <c r="W807" s="1" t="s">
        <v>115</v>
      </c>
      <c r="X807" s="1" t="s">
        <v>42</v>
      </c>
      <c r="Y807" s="1" t="s">
        <v>216</v>
      </c>
      <c r="Z807" s="1" t="s">
        <v>217</v>
      </c>
      <c r="AA807" s="1" t="s">
        <v>30</v>
      </c>
      <c r="AB807" s="1" t="s">
        <v>198</v>
      </c>
      <c r="AC807" s="1" t="s">
        <v>33</v>
      </c>
      <c r="AD807" s="1" t="s">
        <v>34</v>
      </c>
      <c r="AE807" s="1" t="s">
        <v>35</v>
      </c>
      <c r="AF807" s="5">
        <f t="shared" si="72"/>
        <v>45753</v>
      </c>
      <c r="AG807" s="5">
        <f t="shared" si="73"/>
        <v>45842</v>
      </c>
      <c r="AH807" s="5" t="b">
        <f t="shared" si="74"/>
        <v>1</v>
      </c>
      <c r="AI807" s="5" t="b">
        <f t="shared" si="75"/>
        <v>1</v>
      </c>
      <c r="AJ807" t="str">
        <f t="shared" si="76"/>
        <v>OK</v>
      </c>
      <c r="AK807">
        <f t="shared" si="77"/>
        <v>89</v>
      </c>
    </row>
    <row r="808" spans="1:37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  <c r="V808" s="1" t="s">
        <v>53</v>
      </c>
      <c r="W808" s="1" t="s">
        <v>115</v>
      </c>
      <c r="X808" s="1" t="s">
        <v>27</v>
      </c>
      <c r="Y808" s="1" t="s">
        <v>28</v>
      </c>
      <c r="Z808" s="1" t="s">
        <v>29</v>
      </c>
      <c r="AA808" s="1" t="s">
        <v>86</v>
      </c>
      <c r="AB808" s="1" t="s">
        <v>94</v>
      </c>
      <c r="AC808" s="1" t="s">
        <v>67</v>
      </c>
      <c r="AD808" s="1" t="s">
        <v>200</v>
      </c>
      <c r="AE808" s="1" t="s">
        <v>78</v>
      </c>
      <c r="AF808" s="5">
        <f t="shared" si="72"/>
        <v>45546</v>
      </c>
      <c r="AG808" s="5">
        <f t="shared" si="73"/>
        <v>45611</v>
      </c>
      <c r="AH808" s="5" t="b">
        <f t="shared" si="74"/>
        <v>1</v>
      </c>
      <c r="AI808" s="5" t="b">
        <f t="shared" si="75"/>
        <v>1</v>
      </c>
      <c r="AJ808" t="str">
        <f t="shared" si="76"/>
        <v>OK</v>
      </c>
      <c r="AK808">
        <f t="shared" si="77"/>
        <v>65</v>
      </c>
    </row>
    <row r="809" spans="1:37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  <c r="V809" s="1" t="s">
        <v>25</v>
      </c>
      <c r="W809" s="1" t="s">
        <v>41</v>
      </c>
      <c r="X809" s="1" t="s">
        <v>62</v>
      </c>
      <c r="Y809" s="1" t="s">
        <v>63</v>
      </c>
      <c r="Z809" s="1" t="s">
        <v>64</v>
      </c>
      <c r="AA809" s="1" t="s">
        <v>30</v>
      </c>
      <c r="AB809" s="1" t="s">
        <v>109</v>
      </c>
      <c r="AC809" s="1" t="s">
        <v>67</v>
      </c>
      <c r="AD809" s="1" t="s">
        <v>34</v>
      </c>
      <c r="AE809" s="1" t="s">
        <v>35</v>
      </c>
      <c r="AF809" s="5">
        <f t="shared" si="72"/>
        <v>45695</v>
      </c>
      <c r="AG809" s="5">
        <f t="shared" si="73"/>
        <v>45696</v>
      </c>
      <c r="AH809" s="5" t="b">
        <f t="shared" si="74"/>
        <v>1</v>
      </c>
      <c r="AI809" s="5" t="b">
        <f t="shared" si="75"/>
        <v>1</v>
      </c>
      <c r="AJ809" t="str">
        <f t="shared" si="76"/>
        <v>OK</v>
      </c>
      <c r="AK809">
        <f t="shared" si="77"/>
        <v>1</v>
      </c>
    </row>
    <row r="810" spans="1:37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  <c r="V810" s="1" t="s">
        <v>162</v>
      </c>
      <c r="W810" s="1" t="s">
        <v>41</v>
      </c>
      <c r="X810" s="1" t="s">
        <v>62</v>
      </c>
      <c r="Y810" s="1" t="s">
        <v>339</v>
      </c>
      <c r="Z810" s="1" t="s">
        <v>340</v>
      </c>
      <c r="AA810" s="1" t="s">
        <v>45</v>
      </c>
      <c r="AB810" s="1" t="s">
        <v>65</v>
      </c>
      <c r="AC810" s="1" t="s">
        <v>56</v>
      </c>
      <c r="AD810" s="1" t="s">
        <v>34</v>
      </c>
      <c r="AE810" s="1" t="s">
        <v>35</v>
      </c>
      <c r="AF810" s="5">
        <f t="shared" si="72"/>
        <v>45900</v>
      </c>
      <c r="AG810" s="5">
        <f t="shared" si="73"/>
        <v>45897</v>
      </c>
      <c r="AH810" s="5" t="b">
        <f t="shared" si="74"/>
        <v>1</v>
      </c>
      <c r="AI810" s="5" t="b">
        <f t="shared" si="75"/>
        <v>1</v>
      </c>
      <c r="AJ810" t="str">
        <f t="shared" si="76"/>
        <v>Invalid: Ship before Order</v>
      </c>
      <c r="AK810" t="e">
        <f t="shared" si="77"/>
        <v>#NUM!</v>
      </c>
    </row>
    <row r="811" spans="1:37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  <c r="V811" s="1" t="s">
        <v>61</v>
      </c>
      <c r="W811" s="1" t="s">
        <v>41</v>
      </c>
      <c r="X811" s="1" t="s">
        <v>4119</v>
      </c>
      <c r="Y811" s="1" t="s">
        <v>154</v>
      </c>
      <c r="Z811" s="1" t="s">
        <v>155</v>
      </c>
      <c r="AA811" s="1" t="s">
        <v>30</v>
      </c>
      <c r="AB811" s="1" t="s">
        <v>198</v>
      </c>
      <c r="AC811" s="1" t="s">
        <v>33</v>
      </c>
      <c r="AD811" s="1" t="s">
        <v>34</v>
      </c>
      <c r="AE811" s="1" t="s">
        <v>35</v>
      </c>
      <c r="AF811" s="5">
        <f t="shared" si="72"/>
        <v>45833</v>
      </c>
      <c r="AG811" s="5">
        <f t="shared" si="73"/>
        <v>45833</v>
      </c>
      <c r="AH811" s="5" t="b">
        <f t="shared" si="74"/>
        <v>1</v>
      </c>
      <c r="AI811" s="5" t="b">
        <f t="shared" si="75"/>
        <v>1</v>
      </c>
      <c r="AJ811" t="str">
        <f t="shared" si="76"/>
        <v>OK</v>
      </c>
      <c r="AK811">
        <f t="shared" si="77"/>
        <v>0</v>
      </c>
    </row>
    <row r="812" spans="1:37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  <c r="V812" s="1" t="s">
        <v>366</v>
      </c>
      <c r="W812" s="1" t="s">
        <v>115</v>
      </c>
      <c r="X812" s="1" t="s">
        <v>73</v>
      </c>
      <c r="Y812" s="1" t="s">
        <v>235</v>
      </c>
      <c r="Z812" s="1" t="s">
        <v>236</v>
      </c>
      <c r="AA812" s="1" t="s">
        <v>86</v>
      </c>
      <c r="AB812" s="1" t="s">
        <v>94</v>
      </c>
      <c r="AC812" s="1" t="s">
        <v>56</v>
      </c>
      <c r="AD812" s="1" t="s">
        <v>34</v>
      </c>
      <c r="AE812" s="1" t="s">
        <v>35</v>
      </c>
      <c r="AF812" s="5">
        <f t="shared" si="72"/>
        <v>45385</v>
      </c>
      <c r="AG812" s="5">
        <f t="shared" si="73"/>
        <v>45508</v>
      </c>
      <c r="AH812" s="5" t="b">
        <f t="shared" si="74"/>
        <v>1</v>
      </c>
      <c r="AI812" s="5" t="b">
        <f t="shared" si="75"/>
        <v>1</v>
      </c>
      <c r="AJ812" t="str">
        <f t="shared" si="76"/>
        <v>OK</v>
      </c>
      <c r="AK812">
        <f t="shared" si="77"/>
        <v>123</v>
      </c>
    </row>
    <row r="813" spans="1:37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  <c r="V813" s="1" t="s">
        <v>180</v>
      </c>
      <c r="W813" s="1" t="s">
        <v>115</v>
      </c>
      <c r="X813" s="1" t="s">
        <v>27</v>
      </c>
      <c r="Y813" s="1" t="s">
        <v>323</v>
      </c>
      <c r="Z813" s="1" t="s">
        <v>324</v>
      </c>
      <c r="AA813" s="1" t="s">
        <v>86</v>
      </c>
      <c r="AB813" s="1" t="s">
        <v>87</v>
      </c>
      <c r="AC813" s="1" t="s">
        <v>56</v>
      </c>
      <c r="AD813" s="1" t="s">
        <v>34</v>
      </c>
      <c r="AE813" s="1" t="s">
        <v>35</v>
      </c>
      <c r="AF813" s="5">
        <f t="shared" si="72"/>
        <v>45638</v>
      </c>
      <c r="AG813" s="5">
        <f t="shared" si="73"/>
        <v>45645</v>
      </c>
      <c r="AH813" s="5" t="b">
        <f t="shared" si="74"/>
        <v>1</v>
      </c>
      <c r="AI813" s="5" t="b">
        <f t="shared" si="75"/>
        <v>1</v>
      </c>
      <c r="AJ813" t="str">
        <f t="shared" si="76"/>
        <v>OK</v>
      </c>
      <c r="AK813">
        <f t="shared" si="77"/>
        <v>7</v>
      </c>
    </row>
    <row r="814" spans="1:37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  <c r="V814" s="1" t="s">
        <v>168</v>
      </c>
      <c r="W814" s="1" t="s">
        <v>41</v>
      </c>
      <c r="X814" s="1" t="s">
        <v>42</v>
      </c>
      <c r="Y814" s="1" t="s">
        <v>311</v>
      </c>
      <c r="Z814" s="1" t="s">
        <v>312</v>
      </c>
      <c r="AA814" s="1" t="s">
        <v>45</v>
      </c>
      <c r="AB814" s="1" t="s">
        <v>46</v>
      </c>
      <c r="AC814" s="1" t="s">
        <v>56</v>
      </c>
      <c r="AD814" s="1" t="s">
        <v>34</v>
      </c>
      <c r="AE814" s="1" t="s">
        <v>35</v>
      </c>
      <c r="AF814" s="5">
        <f t="shared" si="72"/>
        <v>45458</v>
      </c>
      <c r="AG814" s="5" t="e">
        <f t="shared" si="73"/>
        <v>#N/A</v>
      </c>
      <c r="AH814" s="5" t="b">
        <f t="shared" si="74"/>
        <v>1</v>
      </c>
      <c r="AI814" s="5" t="b">
        <f t="shared" si="75"/>
        <v>0</v>
      </c>
      <c r="AJ814" t="e">
        <f t="shared" si="76"/>
        <v>#N/A</v>
      </c>
      <c r="AK814" t="e">
        <f t="shared" si="77"/>
        <v>#N/A</v>
      </c>
    </row>
    <row r="815" spans="1:37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  <c r="V815" s="1" t="s">
        <v>180</v>
      </c>
      <c r="W815" s="1" t="s">
        <v>26</v>
      </c>
      <c r="X815" s="1" t="s">
        <v>42</v>
      </c>
      <c r="Y815" s="1" t="s">
        <v>43</v>
      </c>
      <c r="Z815" s="1" t="s">
        <v>44</v>
      </c>
      <c r="AA815" s="1" t="s">
        <v>45</v>
      </c>
      <c r="AB815" s="1" t="s">
        <v>204</v>
      </c>
      <c r="AC815" s="1" t="s">
        <v>67</v>
      </c>
      <c r="AD815" s="1" t="s">
        <v>34</v>
      </c>
      <c r="AE815" s="1" t="s">
        <v>35</v>
      </c>
      <c r="AF815" s="5">
        <f t="shared" si="72"/>
        <v>45753</v>
      </c>
      <c r="AG815" s="5">
        <f t="shared" si="73"/>
        <v>45757</v>
      </c>
      <c r="AH815" s="5" t="b">
        <f t="shared" si="74"/>
        <v>1</v>
      </c>
      <c r="AI815" s="5" t="b">
        <f t="shared" si="75"/>
        <v>1</v>
      </c>
      <c r="AJ815" t="str">
        <f t="shared" si="76"/>
        <v>OK</v>
      </c>
      <c r="AK815">
        <f t="shared" si="77"/>
        <v>4</v>
      </c>
    </row>
    <row r="816" spans="1:37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  <c r="V816" s="1" t="s">
        <v>61</v>
      </c>
      <c r="W816" s="1" t="s">
        <v>26</v>
      </c>
      <c r="X816" s="1" t="s">
        <v>73</v>
      </c>
      <c r="Y816" s="1" t="s">
        <v>84</v>
      </c>
      <c r="Z816" s="1" t="s">
        <v>85</v>
      </c>
      <c r="AA816" s="1" t="s">
        <v>30</v>
      </c>
      <c r="AB816" s="1" t="s">
        <v>109</v>
      </c>
      <c r="AC816" s="1" t="s">
        <v>56</v>
      </c>
      <c r="AD816" s="1" t="s">
        <v>34</v>
      </c>
      <c r="AE816" s="1" t="s">
        <v>35</v>
      </c>
      <c r="AF816" s="5">
        <f t="shared" si="72"/>
        <v>45875</v>
      </c>
      <c r="AG816" s="5">
        <f t="shared" si="73"/>
        <v>45880</v>
      </c>
      <c r="AH816" s="5" t="b">
        <f t="shared" si="74"/>
        <v>1</v>
      </c>
      <c r="AI816" s="5" t="b">
        <f t="shared" si="75"/>
        <v>1</v>
      </c>
      <c r="AJ816" t="str">
        <f t="shared" si="76"/>
        <v>OK</v>
      </c>
      <c r="AK816">
        <f t="shared" si="77"/>
        <v>5</v>
      </c>
    </row>
    <row r="817" spans="1:37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  <c r="V817" s="1" t="s">
        <v>210</v>
      </c>
      <c r="W817" s="1" t="s">
        <v>26</v>
      </c>
      <c r="X817" s="1" t="s">
        <v>42</v>
      </c>
      <c r="Y817" s="1" t="s">
        <v>43</v>
      </c>
      <c r="Z817" s="1" t="s">
        <v>44</v>
      </c>
      <c r="AA817" s="1" t="s">
        <v>86</v>
      </c>
      <c r="AB817" s="1" t="s">
        <v>382</v>
      </c>
      <c r="AC817" s="1" t="s">
        <v>67</v>
      </c>
      <c r="AD817" s="1" t="s">
        <v>137</v>
      </c>
      <c r="AE817" s="1" t="s">
        <v>78</v>
      </c>
      <c r="AF817" s="5">
        <f t="shared" si="72"/>
        <v>45383</v>
      </c>
      <c r="AG817" s="5">
        <f t="shared" si="73"/>
        <v>45390</v>
      </c>
      <c r="AH817" s="5" t="b">
        <f t="shared" si="74"/>
        <v>1</v>
      </c>
      <c r="AI817" s="5" t="b">
        <f t="shared" si="75"/>
        <v>1</v>
      </c>
      <c r="AJ817" t="str">
        <f t="shared" si="76"/>
        <v>OK</v>
      </c>
      <c r="AK817">
        <f t="shared" si="77"/>
        <v>7</v>
      </c>
    </row>
    <row r="818" spans="1:37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  <c r="V818" s="1" t="s">
        <v>148</v>
      </c>
      <c r="W818" s="1" t="s">
        <v>41</v>
      </c>
      <c r="X818" s="1" t="s">
        <v>42</v>
      </c>
      <c r="Y818" s="1" t="s">
        <v>311</v>
      </c>
      <c r="Z818" s="1" t="s">
        <v>312</v>
      </c>
      <c r="AA818" s="1" t="s">
        <v>45</v>
      </c>
      <c r="AB818" s="1" t="s">
        <v>65</v>
      </c>
      <c r="AC818" s="1" t="s">
        <v>56</v>
      </c>
      <c r="AD818" s="1" t="s">
        <v>34</v>
      </c>
      <c r="AE818" s="1" t="s">
        <v>35</v>
      </c>
      <c r="AF818" s="5">
        <f t="shared" si="72"/>
        <v>45623</v>
      </c>
      <c r="AG818" s="5">
        <f t="shared" si="73"/>
        <v>45626</v>
      </c>
      <c r="AH818" s="5" t="b">
        <f t="shared" si="74"/>
        <v>1</v>
      </c>
      <c r="AI818" s="5" t="b">
        <f t="shared" si="75"/>
        <v>1</v>
      </c>
      <c r="AJ818" t="str">
        <f t="shared" si="76"/>
        <v>OK</v>
      </c>
      <c r="AK818">
        <f t="shared" si="77"/>
        <v>3</v>
      </c>
    </row>
    <row r="819" spans="1:37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  <c r="V819" s="1" t="s">
        <v>168</v>
      </c>
      <c r="W819" s="1" t="s">
        <v>26</v>
      </c>
      <c r="X819" s="1" t="s">
        <v>42</v>
      </c>
      <c r="Y819" s="1" t="s">
        <v>186</v>
      </c>
      <c r="Z819" s="1" t="s">
        <v>187</v>
      </c>
      <c r="AA819" s="1" t="s">
        <v>30</v>
      </c>
      <c r="AB819" s="1" t="s">
        <v>198</v>
      </c>
      <c r="AC819" s="1" t="s">
        <v>67</v>
      </c>
      <c r="AD819" s="1" t="s">
        <v>34</v>
      </c>
      <c r="AE819" s="1" t="s">
        <v>35</v>
      </c>
      <c r="AF819" s="5">
        <f t="shared" si="72"/>
        <v>45752</v>
      </c>
      <c r="AG819" s="5">
        <f t="shared" si="73"/>
        <v>45752</v>
      </c>
      <c r="AH819" s="5" t="b">
        <f t="shared" si="74"/>
        <v>1</v>
      </c>
      <c r="AI819" s="5" t="b">
        <f t="shared" si="75"/>
        <v>1</v>
      </c>
      <c r="AJ819" t="str">
        <f t="shared" si="76"/>
        <v>OK</v>
      </c>
      <c r="AK819">
        <f t="shared" si="77"/>
        <v>0</v>
      </c>
    </row>
    <row r="820" spans="1:37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  <c r="V820" s="1" t="s">
        <v>142</v>
      </c>
      <c r="W820" s="1" t="s">
        <v>41</v>
      </c>
      <c r="X820" s="1" t="s">
        <v>73</v>
      </c>
      <c r="Y820" s="1" t="s">
        <v>74</v>
      </c>
      <c r="Z820" s="1" t="s">
        <v>75</v>
      </c>
      <c r="AA820" s="1" t="s">
        <v>30</v>
      </c>
      <c r="AB820" s="1" t="s">
        <v>109</v>
      </c>
      <c r="AC820" s="1" t="s">
        <v>56</v>
      </c>
      <c r="AD820" s="1" t="s">
        <v>34</v>
      </c>
      <c r="AE820" s="1" t="s">
        <v>35</v>
      </c>
      <c r="AF820" s="5">
        <f t="shared" si="72"/>
        <v>45564</v>
      </c>
      <c r="AG820" s="5">
        <f t="shared" si="73"/>
        <v>45422</v>
      </c>
      <c r="AH820" s="5" t="b">
        <f t="shared" si="74"/>
        <v>1</v>
      </c>
      <c r="AI820" s="5" t="b">
        <f t="shared" si="75"/>
        <v>1</v>
      </c>
      <c r="AJ820" t="str">
        <f t="shared" si="76"/>
        <v>Invalid: Ship before Order</v>
      </c>
      <c r="AK820" t="e">
        <f t="shared" si="77"/>
        <v>#NUM!</v>
      </c>
    </row>
    <row r="821" spans="1:37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  <c r="V821" s="1" t="s">
        <v>25</v>
      </c>
      <c r="W821" s="1" t="s">
        <v>115</v>
      </c>
      <c r="X821" s="1" t="s">
        <v>62</v>
      </c>
      <c r="Y821" s="1" t="s">
        <v>242</v>
      </c>
      <c r="Z821" s="1" t="s">
        <v>243</v>
      </c>
      <c r="AA821" s="1" t="s">
        <v>86</v>
      </c>
      <c r="AB821" s="1" t="s">
        <v>382</v>
      </c>
      <c r="AC821" s="1" t="s">
        <v>67</v>
      </c>
      <c r="AD821" s="1" t="s">
        <v>200</v>
      </c>
      <c r="AE821" s="1" t="s">
        <v>78</v>
      </c>
      <c r="AF821" s="5">
        <f t="shared" si="72"/>
        <v>45504</v>
      </c>
      <c r="AG821" s="5" t="e">
        <f t="shared" si="73"/>
        <v>#N/A</v>
      </c>
      <c r="AH821" s="5" t="b">
        <f t="shared" si="74"/>
        <v>1</v>
      </c>
      <c r="AI821" s="5" t="b">
        <f t="shared" si="75"/>
        <v>0</v>
      </c>
      <c r="AJ821" t="e">
        <f t="shared" si="76"/>
        <v>#N/A</v>
      </c>
      <c r="AK821" t="e">
        <f t="shared" si="77"/>
        <v>#N/A</v>
      </c>
    </row>
    <row r="822" spans="1:37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  <c r="V822" s="1" t="s">
        <v>72</v>
      </c>
      <c r="W822" s="1" t="s">
        <v>115</v>
      </c>
      <c r="X822" s="1" t="s">
        <v>27</v>
      </c>
      <c r="Y822" s="1" t="s">
        <v>174</v>
      </c>
      <c r="Z822" s="1" t="s">
        <v>175</v>
      </c>
      <c r="AA822" s="1" t="s">
        <v>45</v>
      </c>
      <c r="AB822" s="1" t="s">
        <v>204</v>
      </c>
      <c r="AC822" s="1" t="s">
        <v>67</v>
      </c>
      <c r="AD822" s="1" t="s">
        <v>34</v>
      </c>
      <c r="AE822" s="1" t="s">
        <v>35</v>
      </c>
      <c r="AF822" s="5">
        <f t="shared" si="72"/>
        <v>45810</v>
      </c>
      <c r="AG822" s="5">
        <f t="shared" si="73"/>
        <v>45932</v>
      </c>
      <c r="AH822" s="5" t="b">
        <f t="shared" si="74"/>
        <v>1</v>
      </c>
      <c r="AI822" s="5" t="b">
        <f t="shared" si="75"/>
        <v>1</v>
      </c>
      <c r="AJ822" t="str">
        <f t="shared" si="76"/>
        <v>OK</v>
      </c>
      <c r="AK822">
        <f t="shared" si="77"/>
        <v>122</v>
      </c>
    </row>
    <row r="823" spans="1:37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  <c r="V823" s="1" t="s">
        <v>162</v>
      </c>
      <c r="W823" s="1" t="s">
        <v>108</v>
      </c>
      <c r="X823" s="1" t="s">
        <v>62</v>
      </c>
      <c r="Y823" s="1" t="s">
        <v>229</v>
      </c>
      <c r="Z823" s="1" t="s">
        <v>230</v>
      </c>
      <c r="AA823" s="1" t="s">
        <v>86</v>
      </c>
      <c r="AB823" s="1" t="s">
        <v>87</v>
      </c>
      <c r="AC823" s="1" t="s">
        <v>56</v>
      </c>
      <c r="AD823" s="1" t="s">
        <v>34</v>
      </c>
      <c r="AE823" s="1" t="s">
        <v>35</v>
      </c>
      <c r="AF823" s="5">
        <f t="shared" si="72"/>
        <v>45476</v>
      </c>
      <c r="AG823" s="5">
        <f t="shared" si="73"/>
        <v>45450</v>
      </c>
      <c r="AH823" s="5" t="b">
        <f t="shared" si="74"/>
        <v>1</v>
      </c>
      <c r="AI823" s="5" t="b">
        <f t="shared" si="75"/>
        <v>1</v>
      </c>
      <c r="AJ823" t="str">
        <f t="shared" si="76"/>
        <v>Invalid: Ship before Order</v>
      </c>
      <c r="AK823" t="e">
        <f t="shared" si="77"/>
        <v>#NUM!</v>
      </c>
    </row>
    <row r="824" spans="1:37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  <c r="V824" s="1" t="s">
        <v>40</v>
      </c>
      <c r="W824" s="1" t="s">
        <v>108</v>
      </c>
      <c r="X824" s="1" t="s">
        <v>42</v>
      </c>
      <c r="Y824" s="1" t="s">
        <v>216</v>
      </c>
      <c r="Z824" s="1" t="s">
        <v>217</v>
      </c>
      <c r="AA824" s="1" t="s">
        <v>45</v>
      </c>
      <c r="AB824" s="1" t="s">
        <v>65</v>
      </c>
      <c r="AC824" s="1" t="s">
        <v>33</v>
      </c>
      <c r="AD824" s="1" t="s">
        <v>137</v>
      </c>
      <c r="AE824" s="1" t="s">
        <v>125</v>
      </c>
      <c r="AF824" s="5">
        <f t="shared" si="72"/>
        <v>45577</v>
      </c>
      <c r="AG824" s="5">
        <f t="shared" si="73"/>
        <v>45573</v>
      </c>
      <c r="AH824" s="5" t="b">
        <f t="shared" si="74"/>
        <v>1</v>
      </c>
      <c r="AI824" s="5" t="b">
        <f t="shared" si="75"/>
        <v>1</v>
      </c>
      <c r="AJ824" t="str">
        <f t="shared" si="76"/>
        <v>Invalid: Ship before Order</v>
      </c>
      <c r="AK824" t="e">
        <f t="shared" si="77"/>
        <v>#NUM!</v>
      </c>
    </row>
    <row r="825" spans="1:37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  <c r="V825" s="1" t="s">
        <v>40</v>
      </c>
      <c r="W825" s="1" t="s">
        <v>115</v>
      </c>
      <c r="X825" s="1" t="s">
        <v>73</v>
      </c>
      <c r="Y825" s="1" t="s">
        <v>249</v>
      </c>
      <c r="Z825" s="1" t="s">
        <v>250</v>
      </c>
      <c r="AA825" s="1" t="s">
        <v>30</v>
      </c>
      <c r="AB825" s="1" t="s">
        <v>31</v>
      </c>
      <c r="AC825" s="1" t="s">
        <v>48</v>
      </c>
      <c r="AD825" s="1" t="s">
        <v>34</v>
      </c>
      <c r="AE825" s="1" t="s">
        <v>35</v>
      </c>
      <c r="AF825" s="5">
        <f t="shared" si="72"/>
        <v>45663</v>
      </c>
      <c r="AG825" s="5">
        <f t="shared" si="73"/>
        <v>45669</v>
      </c>
      <c r="AH825" s="5" t="b">
        <f t="shared" si="74"/>
        <v>1</v>
      </c>
      <c r="AI825" s="5" t="b">
        <f t="shared" si="75"/>
        <v>1</v>
      </c>
      <c r="AJ825" t="str">
        <f t="shared" si="76"/>
        <v>OK</v>
      </c>
      <c r="AK825">
        <f t="shared" si="77"/>
        <v>6</v>
      </c>
    </row>
    <row r="826" spans="1:37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  <c r="V826" s="1" t="s">
        <v>142</v>
      </c>
      <c r="W826" s="1" t="s">
        <v>26</v>
      </c>
      <c r="X826" s="1" t="s">
        <v>73</v>
      </c>
      <c r="Y826" s="1" t="s">
        <v>249</v>
      </c>
      <c r="Z826" s="1" t="s">
        <v>250</v>
      </c>
      <c r="AA826" s="1" t="s">
        <v>30</v>
      </c>
      <c r="AB826" s="1" t="s">
        <v>31</v>
      </c>
      <c r="AC826" s="1" t="s">
        <v>56</v>
      </c>
      <c r="AD826" s="1" t="s">
        <v>34</v>
      </c>
      <c r="AE826" s="1" t="s">
        <v>35</v>
      </c>
      <c r="AF826" s="5" t="e">
        <f t="shared" si="72"/>
        <v>#N/A</v>
      </c>
      <c r="AG826" s="5">
        <f t="shared" si="73"/>
        <v>45738</v>
      </c>
      <c r="AH826" s="5" t="b">
        <f t="shared" si="74"/>
        <v>0</v>
      </c>
      <c r="AI826" s="5" t="b">
        <f t="shared" si="75"/>
        <v>1</v>
      </c>
      <c r="AJ826" t="e">
        <f t="shared" si="76"/>
        <v>#N/A</v>
      </c>
      <c r="AK826" t="e">
        <f t="shared" si="77"/>
        <v>#N/A</v>
      </c>
    </row>
    <row r="827" spans="1:37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  <c r="V827" s="1" t="s">
        <v>83</v>
      </c>
      <c r="W827" s="1" t="s">
        <v>41</v>
      </c>
      <c r="X827" s="1" t="s">
        <v>27</v>
      </c>
      <c r="Y827" s="1" t="s">
        <v>174</v>
      </c>
      <c r="Z827" s="1" t="s">
        <v>175</v>
      </c>
      <c r="AA827" s="1" t="s">
        <v>86</v>
      </c>
      <c r="AB827" s="1" t="s">
        <v>382</v>
      </c>
      <c r="AC827" s="1" t="s">
        <v>56</v>
      </c>
      <c r="AD827" s="1" t="s">
        <v>34</v>
      </c>
      <c r="AE827" s="1" t="s">
        <v>35</v>
      </c>
      <c r="AF827" s="5">
        <f t="shared" si="72"/>
        <v>45763</v>
      </c>
      <c r="AG827" s="5" t="e">
        <f t="shared" si="73"/>
        <v>#N/A</v>
      </c>
      <c r="AH827" s="5" t="b">
        <f t="shared" si="74"/>
        <v>1</v>
      </c>
      <c r="AI827" s="5" t="b">
        <f t="shared" si="75"/>
        <v>0</v>
      </c>
      <c r="AJ827" t="e">
        <f t="shared" si="76"/>
        <v>#N/A</v>
      </c>
      <c r="AK827" t="e">
        <f t="shared" si="77"/>
        <v>#N/A</v>
      </c>
    </row>
    <row r="828" spans="1:37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  <c r="V828" s="1" t="s">
        <v>107</v>
      </c>
      <c r="W828" s="1" t="s">
        <v>26</v>
      </c>
      <c r="X828" s="1" t="s">
        <v>73</v>
      </c>
      <c r="Y828" s="1" t="s">
        <v>28</v>
      </c>
      <c r="Z828" s="1" t="s">
        <v>135</v>
      </c>
      <c r="AA828" s="1" t="s">
        <v>86</v>
      </c>
      <c r="AB828" s="1" t="s">
        <v>87</v>
      </c>
      <c r="AC828" s="1" t="s">
        <v>67</v>
      </c>
      <c r="AD828" s="1" t="s">
        <v>34</v>
      </c>
      <c r="AE828" s="1" t="s">
        <v>35</v>
      </c>
      <c r="AF828" s="5">
        <f t="shared" si="72"/>
        <v>45879</v>
      </c>
      <c r="AG828" s="5">
        <f t="shared" si="73"/>
        <v>45883</v>
      </c>
      <c r="AH828" s="5" t="b">
        <f t="shared" si="74"/>
        <v>1</v>
      </c>
      <c r="AI828" s="5" t="b">
        <f t="shared" si="75"/>
        <v>1</v>
      </c>
      <c r="AJ828" t="str">
        <f t="shared" si="76"/>
        <v>OK</v>
      </c>
      <c r="AK828">
        <f t="shared" si="77"/>
        <v>4</v>
      </c>
    </row>
    <row r="829" spans="1:37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  <c r="V829" s="1" t="s">
        <v>142</v>
      </c>
      <c r="W829" s="1" t="s">
        <v>115</v>
      </c>
      <c r="X829" s="1" t="s">
        <v>62</v>
      </c>
      <c r="Y829" s="1" t="s">
        <v>339</v>
      </c>
      <c r="Z829" s="1" t="s">
        <v>340</v>
      </c>
      <c r="AA829" s="1" t="s">
        <v>30</v>
      </c>
      <c r="AB829" s="1" t="s">
        <v>31</v>
      </c>
      <c r="AC829" s="1" t="s">
        <v>48</v>
      </c>
      <c r="AD829" s="1" t="s">
        <v>34</v>
      </c>
      <c r="AE829" s="1" t="s">
        <v>78</v>
      </c>
      <c r="AF829" s="5">
        <f t="shared" si="72"/>
        <v>45620</v>
      </c>
      <c r="AG829" s="5">
        <f t="shared" si="73"/>
        <v>45303</v>
      </c>
      <c r="AH829" s="5" t="b">
        <f t="shared" si="74"/>
        <v>1</v>
      </c>
      <c r="AI829" s="5" t="b">
        <f t="shared" si="75"/>
        <v>1</v>
      </c>
      <c r="AJ829" t="str">
        <f t="shared" si="76"/>
        <v>Invalid: Ship before Order</v>
      </c>
      <c r="AK829" t="e">
        <f t="shared" si="77"/>
        <v>#NUM!</v>
      </c>
    </row>
    <row r="830" spans="1:37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  <c r="V830" s="1" t="s">
        <v>25</v>
      </c>
      <c r="W830" s="1" t="s">
        <v>108</v>
      </c>
      <c r="X830" s="1" t="s">
        <v>42</v>
      </c>
      <c r="Y830" s="1" t="s">
        <v>43</v>
      </c>
      <c r="Z830" s="1" t="s">
        <v>44</v>
      </c>
      <c r="AA830" s="1" t="s">
        <v>45</v>
      </c>
      <c r="AB830" s="1" t="s">
        <v>76</v>
      </c>
      <c r="AC830" s="1" t="s">
        <v>33</v>
      </c>
      <c r="AD830" s="1" t="s">
        <v>200</v>
      </c>
      <c r="AE830" s="1" t="s">
        <v>78</v>
      </c>
      <c r="AF830" s="5">
        <f t="shared" si="72"/>
        <v>45940</v>
      </c>
      <c r="AG830" s="5">
        <f t="shared" si="73"/>
        <v>45971</v>
      </c>
      <c r="AH830" s="5" t="b">
        <f t="shared" si="74"/>
        <v>1</v>
      </c>
      <c r="AI830" s="5" t="b">
        <f t="shared" si="75"/>
        <v>1</v>
      </c>
      <c r="AJ830" t="str">
        <f t="shared" si="76"/>
        <v>OK</v>
      </c>
      <c r="AK830">
        <f t="shared" si="77"/>
        <v>31</v>
      </c>
    </row>
    <row r="831" spans="1:37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  <c r="V831" s="1" t="s">
        <v>107</v>
      </c>
      <c r="W831" s="1" t="s">
        <v>41</v>
      </c>
      <c r="X831" s="1" t="s">
        <v>73</v>
      </c>
      <c r="Y831" s="1" t="s">
        <v>249</v>
      </c>
      <c r="Z831" s="1" t="s">
        <v>250</v>
      </c>
      <c r="AA831" s="1" t="s">
        <v>45</v>
      </c>
      <c r="AB831" s="1" t="s">
        <v>65</v>
      </c>
      <c r="AC831" s="1" t="s">
        <v>33</v>
      </c>
      <c r="AD831" s="1" t="s">
        <v>34</v>
      </c>
      <c r="AE831" s="1" t="s">
        <v>35</v>
      </c>
      <c r="AF831" s="5">
        <f t="shared" si="72"/>
        <v>45348</v>
      </c>
      <c r="AG831" s="5" t="e">
        <f t="shared" si="73"/>
        <v>#N/A</v>
      </c>
      <c r="AH831" s="5" t="b">
        <f t="shared" si="74"/>
        <v>1</v>
      </c>
      <c r="AI831" s="5" t="b">
        <f t="shared" si="75"/>
        <v>0</v>
      </c>
      <c r="AJ831" t="e">
        <f t="shared" si="76"/>
        <v>#N/A</v>
      </c>
      <c r="AK831" t="e">
        <f t="shared" si="77"/>
        <v>#N/A</v>
      </c>
    </row>
    <row r="832" spans="1:37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  <c r="V832" s="1" t="s">
        <v>107</v>
      </c>
      <c r="W832" s="1" t="s">
        <v>41</v>
      </c>
      <c r="X832" s="1" t="s">
        <v>4119</v>
      </c>
      <c r="Y832" s="1" t="s">
        <v>339</v>
      </c>
      <c r="Z832" s="1" t="s">
        <v>340</v>
      </c>
      <c r="AA832" s="1" t="s">
        <v>86</v>
      </c>
      <c r="AB832" s="1" t="s">
        <v>382</v>
      </c>
      <c r="AC832" s="1" t="s">
        <v>56</v>
      </c>
      <c r="AD832" s="1" t="s">
        <v>34</v>
      </c>
      <c r="AE832" s="1" t="s">
        <v>35</v>
      </c>
      <c r="AF832" s="5">
        <f t="shared" si="72"/>
        <v>45853</v>
      </c>
      <c r="AG832" s="5" t="e">
        <f t="shared" si="73"/>
        <v>#N/A</v>
      </c>
      <c r="AH832" s="5" t="b">
        <f t="shared" si="74"/>
        <v>1</v>
      </c>
      <c r="AI832" s="5" t="b">
        <f t="shared" si="75"/>
        <v>0</v>
      </c>
      <c r="AJ832" t="e">
        <f t="shared" si="76"/>
        <v>#N/A</v>
      </c>
      <c r="AK832" t="e">
        <f t="shared" si="77"/>
        <v>#N/A</v>
      </c>
    </row>
    <row r="833" spans="1:37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  <c r="V833" s="1" t="s">
        <v>210</v>
      </c>
      <c r="W833" s="1" t="s">
        <v>115</v>
      </c>
      <c r="X833" s="1" t="s">
        <v>4119</v>
      </c>
      <c r="Y833" s="1" t="s">
        <v>323</v>
      </c>
      <c r="Z833" s="1" t="s">
        <v>324</v>
      </c>
      <c r="AA833" s="1" t="s">
        <v>45</v>
      </c>
      <c r="AB833" s="1" t="s">
        <v>76</v>
      </c>
      <c r="AC833" s="1" t="s">
        <v>56</v>
      </c>
      <c r="AD833" s="1" t="s">
        <v>200</v>
      </c>
      <c r="AE833" s="1" t="s">
        <v>125</v>
      </c>
      <c r="AF833" s="5">
        <f t="shared" si="72"/>
        <v>45750</v>
      </c>
      <c r="AG833" s="5">
        <f t="shared" si="73"/>
        <v>45720</v>
      </c>
      <c r="AH833" s="5" t="b">
        <f t="shared" si="74"/>
        <v>1</v>
      </c>
      <c r="AI833" s="5" t="b">
        <f t="shared" si="75"/>
        <v>1</v>
      </c>
      <c r="AJ833" t="str">
        <f t="shared" si="76"/>
        <v>Invalid: Ship before Order</v>
      </c>
      <c r="AK833" t="e">
        <f t="shared" si="77"/>
        <v>#NUM!</v>
      </c>
    </row>
    <row r="834" spans="1:37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  <c r="V834" s="1" t="s">
        <v>366</v>
      </c>
      <c r="W834" s="1" t="s">
        <v>41</v>
      </c>
      <c r="X834" s="1" t="s">
        <v>62</v>
      </c>
      <c r="Y834" s="1" t="s">
        <v>100</v>
      </c>
      <c r="Z834" s="1" t="s">
        <v>101</v>
      </c>
      <c r="AA834" s="1" t="s">
        <v>86</v>
      </c>
      <c r="AB834" s="1" t="s">
        <v>223</v>
      </c>
      <c r="AC834" s="1" t="s">
        <v>33</v>
      </c>
      <c r="AD834" s="1" t="s">
        <v>34</v>
      </c>
      <c r="AE834" s="1" t="s">
        <v>35</v>
      </c>
      <c r="AF834" s="5">
        <f t="shared" si="72"/>
        <v>45803</v>
      </c>
      <c r="AG834" s="5" t="e">
        <f t="shared" si="73"/>
        <v>#N/A</v>
      </c>
      <c r="AH834" s="5" t="b">
        <f t="shared" si="74"/>
        <v>1</v>
      </c>
      <c r="AI834" s="5" t="b">
        <f t="shared" si="75"/>
        <v>0</v>
      </c>
      <c r="AJ834" t="e">
        <f t="shared" si="76"/>
        <v>#N/A</v>
      </c>
      <c r="AK834" t="e">
        <f t="shared" si="77"/>
        <v>#N/A</v>
      </c>
    </row>
    <row r="835" spans="1:37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  <c r="V835" s="1" t="s">
        <v>148</v>
      </c>
      <c r="W835" s="1" t="s">
        <v>115</v>
      </c>
      <c r="X835" s="1" t="s">
        <v>42</v>
      </c>
      <c r="Y835" s="1" t="s">
        <v>121</v>
      </c>
      <c r="Z835" s="1" t="s">
        <v>122</v>
      </c>
      <c r="AA835" s="1" t="s">
        <v>45</v>
      </c>
      <c r="AB835" s="1" t="s">
        <v>204</v>
      </c>
      <c r="AC835" s="1" t="s">
        <v>56</v>
      </c>
      <c r="AD835" s="1" t="s">
        <v>34</v>
      </c>
      <c r="AE835" s="1" t="s">
        <v>35</v>
      </c>
      <c r="AF835" s="5">
        <f t="shared" ref="AF835:AF898" si="78">IFERROR(DATEVALUE(B835),IFERROR(DATE(VALUE(RIGHT(B835,4)),VALUE(MID(SUBSTITUTE(B835,"-","/"),6,2)),VALUE(LEFT(B835,2))),NA()))</f>
        <v>45447</v>
      </c>
      <c r="AG835" s="5">
        <f t="shared" ref="AG835:AG898" si="79">IFERROR(DATEVALUE(C835),IFERROR(DATE(VALUE(RIGHT(C835,4)),VALUE(MID(SUBSTITUTE(C835,"-","/"),6,2)),VALUE(LEFT(C835,2))),NA()))</f>
        <v>45447</v>
      </c>
      <c r="AH835" s="5" t="b">
        <f t="shared" ref="AH835:AH898" si="80">ISNUMBER(AF835)</f>
        <v>1</v>
      </c>
      <c r="AI835" s="5" t="b">
        <f t="shared" ref="AI835:AI898" si="81">ISNUMBER(AG835)</f>
        <v>1</v>
      </c>
      <c r="AJ835" t="str">
        <f t="shared" ref="AJ835:AJ898" si="82">IF(AG835&lt;AF835,"Invalid: Ship before Order","OK")</f>
        <v>OK</v>
      </c>
      <c r="AK835">
        <f t="shared" ref="AK835:AK898" si="83">DATEDIF(AF835, AG835, "D")</f>
        <v>0</v>
      </c>
    </row>
    <row r="836" spans="1:37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  <c r="V836" s="1" t="s">
        <v>162</v>
      </c>
      <c r="W836" s="1" t="s">
        <v>115</v>
      </c>
      <c r="X836" s="1" t="s">
        <v>62</v>
      </c>
      <c r="Y836" s="1" t="s">
        <v>63</v>
      </c>
      <c r="Z836" s="1" t="s">
        <v>64</v>
      </c>
      <c r="AA836" s="1" t="s">
        <v>30</v>
      </c>
      <c r="AB836" s="1" t="s">
        <v>54</v>
      </c>
      <c r="AC836" s="1" t="s">
        <v>56</v>
      </c>
      <c r="AD836" s="1" t="s">
        <v>34</v>
      </c>
      <c r="AE836" s="1" t="s">
        <v>35</v>
      </c>
      <c r="AF836" s="5" t="e">
        <f t="shared" si="78"/>
        <v>#N/A</v>
      </c>
      <c r="AG836" s="5">
        <f t="shared" si="79"/>
        <v>45587</v>
      </c>
      <c r="AH836" s="5" t="b">
        <f t="shared" si="80"/>
        <v>0</v>
      </c>
      <c r="AI836" s="5" t="b">
        <f t="shared" si="81"/>
        <v>1</v>
      </c>
      <c r="AJ836" t="e">
        <f t="shared" si="82"/>
        <v>#N/A</v>
      </c>
      <c r="AK836" t="e">
        <f t="shared" si="83"/>
        <v>#N/A</v>
      </c>
    </row>
    <row r="837" spans="1:37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  <c r="V837" s="1" t="s">
        <v>142</v>
      </c>
      <c r="W837" s="1" t="s">
        <v>41</v>
      </c>
      <c r="X837" s="1" t="s">
        <v>42</v>
      </c>
      <c r="Y837" s="1" t="s">
        <v>216</v>
      </c>
      <c r="Z837" s="1" t="s">
        <v>217</v>
      </c>
      <c r="AA837" s="1" t="s">
        <v>86</v>
      </c>
      <c r="AB837" s="1" t="s">
        <v>223</v>
      </c>
      <c r="AC837" s="1" t="s">
        <v>33</v>
      </c>
      <c r="AD837" s="1" t="s">
        <v>34</v>
      </c>
      <c r="AE837" s="1" t="s">
        <v>35</v>
      </c>
      <c r="AF837" s="5">
        <f t="shared" si="78"/>
        <v>45926</v>
      </c>
      <c r="AG837" s="5">
        <f t="shared" si="79"/>
        <v>45757</v>
      </c>
      <c r="AH837" s="5" t="b">
        <f t="shared" si="80"/>
        <v>1</v>
      </c>
      <c r="AI837" s="5" t="b">
        <f t="shared" si="81"/>
        <v>1</v>
      </c>
      <c r="AJ837" t="str">
        <f t="shared" si="82"/>
        <v>Invalid: Ship before Order</v>
      </c>
      <c r="AK837" t="e">
        <f t="shared" si="83"/>
        <v>#NUM!</v>
      </c>
    </row>
    <row r="838" spans="1:37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  <c r="V838" s="1" t="s">
        <v>53</v>
      </c>
      <c r="W838" s="1" t="s">
        <v>41</v>
      </c>
      <c r="X838" s="1" t="s">
        <v>27</v>
      </c>
      <c r="Y838" s="1" t="s">
        <v>28</v>
      </c>
      <c r="Z838" s="1" t="s">
        <v>29</v>
      </c>
      <c r="AA838" s="1" t="s">
        <v>30</v>
      </c>
      <c r="AB838" s="1" t="s">
        <v>109</v>
      </c>
      <c r="AC838" s="1" t="s">
        <v>33</v>
      </c>
      <c r="AD838" s="1" t="s">
        <v>34</v>
      </c>
      <c r="AE838" s="1" t="s">
        <v>35</v>
      </c>
      <c r="AF838" s="5">
        <f t="shared" si="78"/>
        <v>45641</v>
      </c>
      <c r="AG838" s="5">
        <f t="shared" si="79"/>
        <v>45644</v>
      </c>
      <c r="AH838" s="5" t="b">
        <f t="shared" si="80"/>
        <v>1</v>
      </c>
      <c r="AI838" s="5" t="b">
        <f t="shared" si="81"/>
        <v>1</v>
      </c>
      <c r="AJ838" t="str">
        <f t="shared" si="82"/>
        <v>OK</v>
      </c>
      <c r="AK838">
        <f t="shared" si="83"/>
        <v>3</v>
      </c>
    </row>
    <row r="839" spans="1:37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  <c r="V839" s="1" t="s">
        <v>25</v>
      </c>
      <c r="W839" s="1" t="s">
        <v>115</v>
      </c>
      <c r="X839" s="1" t="s">
        <v>73</v>
      </c>
      <c r="Y839" s="1" t="s">
        <v>74</v>
      </c>
      <c r="Z839" s="1" t="s">
        <v>75</v>
      </c>
      <c r="AA839" s="1" t="s">
        <v>30</v>
      </c>
      <c r="AB839" s="1" t="s">
        <v>31</v>
      </c>
      <c r="AC839" s="1" t="s">
        <v>56</v>
      </c>
      <c r="AD839" s="1" t="s">
        <v>34</v>
      </c>
      <c r="AE839" s="1" t="s">
        <v>35</v>
      </c>
      <c r="AF839" s="5">
        <f t="shared" si="78"/>
        <v>45927</v>
      </c>
      <c r="AG839" s="5">
        <f t="shared" si="79"/>
        <v>45928</v>
      </c>
      <c r="AH839" s="5" t="b">
        <f t="shared" si="80"/>
        <v>1</v>
      </c>
      <c r="AI839" s="5" t="b">
        <f t="shared" si="81"/>
        <v>1</v>
      </c>
      <c r="AJ839" t="str">
        <f t="shared" si="82"/>
        <v>OK</v>
      </c>
      <c r="AK839">
        <f t="shared" si="83"/>
        <v>1</v>
      </c>
    </row>
    <row r="840" spans="1:37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  <c r="V840" s="1" t="s">
        <v>72</v>
      </c>
      <c r="W840" s="1" t="s">
        <v>41</v>
      </c>
      <c r="X840" s="1" t="s">
        <v>73</v>
      </c>
      <c r="Y840" s="1" t="s">
        <v>249</v>
      </c>
      <c r="Z840" s="1" t="s">
        <v>250</v>
      </c>
      <c r="AA840" s="1" t="s">
        <v>30</v>
      </c>
      <c r="AB840" s="1" t="s">
        <v>31</v>
      </c>
      <c r="AC840" s="1" t="s">
        <v>48</v>
      </c>
      <c r="AD840" s="1" t="s">
        <v>34</v>
      </c>
      <c r="AE840" s="1" t="s">
        <v>125</v>
      </c>
      <c r="AF840" s="5">
        <f t="shared" si="78"/>
        <v>45750</v>
      </c>
      <c r="AG840" s="5">
        <f t="shared" si="79"/>
        <v>45754</v>
      </c>
      <c r="AH840" s="5" t="b">
        <f t="shared" si="80"/>
        <v>1</v>
      </c>
      <c r="AI840" s="5" t="b">
        <f t="shared" si="81"/>
        <v>1</v>
      </c>
      <c r="AJ840" t="str">
        <f t="shared" si="82"/>
        <v>OK</v>
      </c>
      <c r="AK840">
        <f t="shared" si="83"/>
        <v>4</v>
      </c>
    </row>
    <row r="841" spans="1:37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  <c r="V841" s="1" t="s">
        <v>180</v>
      </c>
      <c r="W841" s="1" t="s">
        <v>115</v>
      </c>
      <c r="X841" s="1" t="s">
        <v>42</v>
      </c>
      <c r="Y841" s="1" t="s">
        <v>43</v>
      </c>
      <c r="Z841" s="1" t="s">
        <v>44</v>
      </c>
      <c r="AA841" s="1" t="s">
        <v>86</v>
      </c>
      <c r="AB841" s="1" t="s">
        <v>223</v>
      </c>
      <c r="AC841" s="1" t="s">
        <v>67</v>
      </c>
      <c r="AD841" s="1" t="s">
        <v>34</v>
      </c>
      <c r="AE841" s="1" t="s">
        <v>35</v>
      </c>
      <c r="AF841" s="5">
        <f t="shared" si="78"/>
        <v>45555</v>
      </c>
      <c r="AG841" s="5" t="e">
        <f t="shared" si="79"/>
        <v>#N/A</v>
      </c>
      <c r="AH841" s="5" t="b">
        <f t="shared" si="80"/>
        <v>1</v>
      </c>
      <c r="AI841" s="5" t="b">
        <f t="shared" si="81"/>
        <v>0</v>
      </c>
      <c r="AJ841" t="e">
        <f t="shared" si="82"/>
        <v>#N/A</v>
      </c>
      <c r="AK841" t="e">
        <f t="shared" si="83"/>
        <v>#N/A</v>
      </c>
    </row>
    <row r="842" spans="1:37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  <c r="V842" s="1" t="s">
        <v>93</v>
      </c>
      <c r="W842" s="1" t="s">
        <v>115</v>
      </c>
      <c r="X842" s="1" t="s">
        <v>27</v>
      </c>
      <c r="Y842" s="1" t="s">
        <v>506</v>
      </c>
      <c r="Z842" s="1" t="s">
        <v>507</v>
      </c>
      <c r="AA842" s="1" t="s">
        <v>45</v>
      </c>
      <c r="AB842" s="1" t="s">
        <v>76</v>
      </c>
      <c r="AC842" s="1" t="s">
        <v>48</v>
      </c>
      <c r="AD842" s="1" t="s">
        <v>34</v>
      </c>
      <c r="AE842" s="1" t="s">
        <v>35</v>
      </c>
      <c r="AF842" s="5">
        <f t="shared" si="78"/>
        <v>45919</v>
      </c>
      <c r="AG842" s="5" t="e">
        <f t="shared" si="79"/>
        <v>#N/A</v>
      </c>
      <c r="AH842" s="5" t="b">
        <f t="shared" si="80"/>
        <v>1</v>
      </c>
      <c r="AI842" s="5" t="b">
        <f t="shared" si="81"/>
        <v>0</v>
      </c>
      <c r="AJ842" t="e">
        <f t="shared" si="82"/>
        <v>#N/A</v>
      </c>
      <c r="AK842" t="e">
        <f t="shared" si="83"/>
        <v>#N/A</v>
      </c>
    </row>
    <row r="843" spans="1:37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  <c r="V843" s="1" t="s">
        <v>72</v>
      </c>
      <c r="W843" s="1" t="s">
        <v>41</v>
      </c>
      <c r="X843" s="1" t="s">
        <v>42</v>
      </c>
      <c r="Y843" s="1" t="s">
        <v>186</v>
      </c>
      <c r="Z843" s="1" t="s">
        <v>187</v>
      </c>
      <c r="AA843" s="1" t="s">
        <v>30</v>
      </c>
      <c r="AB843" s="1" t="s">
        <v>54</v>
      </c>
      <c r="AC843" s="1" t="s">
        <v>67</v>
      </c>
      <c r="AD843" s="1" t="s">
        <v>34</v>
      </c>
      <c r="AE843" s="1" t="s">
        <v>35</v>
      </c>
      <c r="AF843" s="5">
        <f t="shared" si="78"/>
        <v>45694</v>
      </c>
      <c r="AG843" s="5">
        <f t="shared" si="79"/>
        <v>45700</v>
      </c>
      <c r="AH843" s="5" t="b">
        <f t="shared" si="80"/>
        <v>1</v>
      </c>
      <c r="AI843" s="5" t="b">
        <f t="shared" si="81"/>
        <v>1</v>
      </c>
      <c r="AJ843" t="str">
        <f t="shared" si="82"/>
        <v>OK</v>
      </c>
      <c r="AK843">
        <f t="shared" si="83"/>
        <v>6</v>
      </c>
    </row>
    <row r="844" spans="1:37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  <c r="V844" s="1" t="s">
        <v>366</v>
      </c>
      <c r="W844" s="1" t="s">
        <v>26</v>
      </c>
      <c r="X844" s="1" t="s">
        <v>27</v>
      </c>
      <c r="Y844" s="1" t="s">
        <v>323</v>
      </c>
      <c r="Z844" s="1" t="s">
        <v>324</v>
      </c>
      <c r="AA844" s="1" t="s">
        <v>86</v>
      </c>
      <c r="AB844" s="1" t="s">
        <v>382</v>
      </c>
      <c r="AC844" s="1" t="s">
        <v>56</v>
      </c>
      <c r="AD844" s="1" t="s">
        <v>34</v>
      </c>
      <c r="AE844" s="1" t="s">
        <v>125</v>
      </c>
      <c r="AF844" s="5" t="e">
        <f t="shared" si="78"/>
        <v>#N/A</v>
      </c>
      <c r="AG844" s="5">
        <f t="shared" si="79"/>
        <v>45381</v>
      </c>
      <c r="AH844" s="5" t="b">
        <f t="shared" si="80"/>
        <v>0</v>
      </c>
      <c r="AI844" s="5" t="b">
        <f t="shared" si="81"/>
        <v>1</v>
      </c>
      <c r="AJ844" t="e">
        <f t="shared" si="82"/>
        <v>#N/A</v>
      </c>
      <c r="AK844" t="e">
        <f t="shared" si="83"/>
        <v>#N/A</v>
      </c>
    </row>
    <row r="845" spans="1:37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  <c r="V845" s="1" t="s">
        <v>142</v>
      </c>
      <c r="W845" s="1" t="s">
        <v>41</v>
      </c>
      <c r="X845" s="1" t="s">
        <v>27</v>
      </c>
      <c r="Y845" s="1" t="s">
        <v>174</v>
      </c>
      <c r="Z845" s="1" t="s">
        <v>175</v>
      </c>
      <c r="AA845" s="1" t="s">
        <v>86</v>
      </c>
      <c r="AB845" s="1" t="s">
        <v>223</v>
      </c>
      <c r="AC845" s="1" t="s">
        <v>56</v>
      </c>
      <c r="AD845" s="1" t="s">
        <v>34</v>
      </c>
      <c r="AE845" s="1" t="s">
        <v>35</v>
      </c>
      <c r="AF845" s="5">
        <f t="shared" si="78"/>
        <v>45856</v>
      </c>
      <c r="AG845" s="5">
        <f t="shared" si="79"/>
        <v>45863</v>
      </c>
      <c r="AH845" s="5" t="b">
        <f t="shared" si="80"/>
        <v>1</v>
      </c>
      <c r="AI845" s="5" t="b">
        <f t="shared" si="81"/>
        <v>1</v>
      </c>
      <c r="AJ845" t="str">
        <f t="shared" si="82"/>
        <v>OK</v>
      </c>
      <c r="AK845">
        <f t="shared" si="83"/>
        <v>7</v>
      </c>
    </row>
    <row r="846" spans="1:37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  <c r="V846" s="1" t="s">
        <v>107</v>
      </c>
      <c r="W846" s="1" t="s">
        <v>115</v>
      </c>
      <c r="X846" s="1" t="s">
        <v>73</v>
      </c>
      <c r="Y846" s="1" t="s">
        <v>249</v>
      </c>
      <c r="Z846" s="1" t="s">
        <v>250</v>
      </c>
      <c r="AA846" s="1" t="s">
        <v>30</v>
      </c>
      <c r="AB846" s="1" t="s">
        <v>54</v>
      </c>
      <c r="AC846" s="1" t="s">
        <v>56</v>
      </c>
      <c r="AD846" s="1" t="s">
        <v>34</v>
      </c>
      <c r="AE846" s="1" t="s">
        <v>35</v>
      </c>
      <c r="AF846" s="5" t="e">
        <f t="shared" si="78"/>
        <v>#N/A</v>
      </c>
      <c r="AG846" s="5" t="e">
        <f t="shared" si="79"/>
        <v>#N/A</v>
      </c>
      <c r="AH846" s="5" t="b">
        <f t="shared" si="80"/>
        <v>0</v>
      </c>
      <c r="AI846" s="5" t="b">
        <f t="shared" si="81"/>
        <v>0</v>
      </c>
      <c r="AJ846" t="e">
        <f t="shared" si="82"/>
        <v>#N/A</v>
      </c>
      <c r="AK846" t="e">
        <f t="shared" si="83"/>
        <v>#N/A</v>
      </c>
    </row>
    <row r="847" spans="1:37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  <c r="V847" s="1" t="s">
        <v>25</v>
      </c>
      <c r="W847" s="1" t="s">
        <v>26</v>
      </c>
      <c r="X847" s="1" t="s">
        <v>42</v>
      </c>
      <c r="Y847" s="1" t="s">
        <v>43</v>
      </c>
      <c r="Z847" s="1" t="s">
        <v>44</v>
      </c>
      <c r="AA847" s="1" t="s">
        <v>45</v>
      </c>
      <c r="AB847" s="1" t="s">
        <v>46</v>
      </c>
      <c r="AC847" s="1" t="s">
        <v>56</v>
      </c>
      <c r="AD847" s="1" t="s">
        <v>137</v>
      </c>
      <c r="AE847" s="1" t="s">
        <v>125</v>
      </c>
      <c r="AF847" s="5" t="e">
        <f t="shared" si="78"/>
        <v>#N/A</v>
      </c>
      <c r="AG847" s="5">
        <f t="shared" si="79"/>
        <v>45349</v>
      </c>
      <c r="AH847" s="5" t="b">
        <f t="shared" si="80"/>
        <v>0</v>
      </c>
      <c r="AI847" s="5" t="b">
        <f t="shared" si="81"/>
        <v>1</v>
      </c>
      <c r="AJ847" t="e">
        <f t="shared" si="82"/>
        <v>#N/A</v>
      </c>
      <c r="AK847" t="e">
        <f t="shared" si="83"/>
        <v>#N/A</v>
      </c>
    </row>
    <row r="848" spans="1:37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  <c r="V848" s="1" t="s">
        <v>142</v>
      </c>
      <c r="W848" s="1" t="s">
        <v>41</v>
      </c>
      <c r="X848" s="1" t="s">
        <v>73</v>
      </c>
      <c r="Y848" s="1" t="s">
        <v>235</v>
      </c>
      <c r="Z848" s="1" t="s">
        <v>236</v>
      </c>
      <c r="AA848" s="1" t="s">
        <v>45</v>
      </c>
      <c r="AB848" s="1" t="s">
        <v>204</v>
      </c>
      <c r="AC848" s="1" t="s">
        <v>67</v>
      </c>
      <c r="AD848" s="1" t="s">
        <v>137</v>
      </c>
      <c r="AE848" s="1" t="s">
        <v>125</v>
      </c>
      <c r="AF848" s="5">
        <f t="shared" si="78"/>
        <v>45396</v>
      </c>
      <c r="AG848" s="5">
        <f t="shared" si="79"/>
        <v>45404</v>
      </c>
      <c r="AH848" s="5" t="b">
        <f t="shared" si="80"/>
        <v>1</v>
      </c>
      <c r="AI848" s="5" t="b">
        <f t="shared" si="81"/>
        <v>1</v>
      </c>
      <c r="AJ848" t="str">
        <f t="shared" si="82"/>
        <v>OK</v>
      </c>
      <c r="AK848">
        <f t="shared" si="83"/>
        <v>8</v>
      </c>
    </row>
    <row r="849" spans="1:37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  <c r="V849" s="1" t="s">
        <v>210</v>
      </c>
      <c r="W849" s="1" t="s">
        <v>115</v>
      </c>
      <c r="X849" s="1" t="s">
        <v>42</v>
      </c>
      <c r="Y849" s="1" t="s">
        <v>43</v>
      </c>
      <c r="Z849" s="1" t="s">
        <v>44</v>
      </c>
      <c r="AA849" s="1" t="s">
        <v>45</v>
      </c>
      <c r="AB849" s="1" t="s">
        <v>46</v>
      </c>
      <c r="AC849" s="1" t="s">
        <v>33</v>
      </c>
      <c r="AD849" s="1" t="s">
        <v>34</v>
      </c>
      <c r="AE849" s="1" t="s">
        <v>35</v>
      </c>
      <c r="AF849" s="5">
        <f t="shared" si="78"/>
        <v>45797</v>
      </c>
      <c r="AG849" s="5">
        <f t="shared" si="79"/>
        <v>45799</v>
      </c>
      <c r="AH849" s="5" t="b">
        <f t="shared" si="80"/>
        <v>1</v>
      </c>
      <c r="AI849" s="5" t="b">
        <f t="shared" si="81"/>
        <v>1</v>
      </c>
      <c r="AJ849" t="str">
        <f t="shared" si="82"/>
        <v>OK</v>
      </c>
      <c r="AK849">
        <f t="shared" si="83"/>
        <v>2</v>
      </c>
    </row>
    <row r="850" spans="1:37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  <c r="V850" s="1" t="s">
        <v>148</v>
      </c>
      <c r="W850" s="1" t="s">
        <v>115</v>
      </c>
      <c r="X850" s="1" t="s">
        <v>62</v>
      </c>
      <c r="Y850" s="1" t="s">
        <v>339</v>
      </c>
      <c r="Z850" s="1" t="s">
        <v>340</v>
      </c>
      <c r="AA850" s="1" t="s">
        <v>45</v>
      </c>
      <c r="AB850" s="1" t="s">
        <v>65</v>
      </c>
      <c r="AC850" s="1" t="s">
        <v>33</v>
      </c>
      <c r="AD850" s="1" t="s">
        <v>34</v>
      </c>
      <c r="AE850" s="1" t="s">
        <v>35</v>
      </c>
      <c r="AF850" s="5" t="e">
        <f t="shared" si="78"/>
        <v>#N/A</v>
      </c>
      <c r="AG850" s="5">
        <f t="shared" si="79"/>
        <v>45806</v>
      </c>
      <c r="AH850" s="5" t="b">
        <f t="shared" si="80"/>
        <v>0</v>
      </c>
      <c r="AI850" s="5" t="b">
        <f t="shared" si="81"/>
        <v>1</v>
      </c>
      <c r="AJ850" t="e">
        <f t="shared" si="82"/>
        <v>#N/A</v>
      </c>
      <c r="AK850" t="e">
        <f t="shared" si="83"/>
        <v>#N/A</v>
      </c>
    </row>
    <row r="851" spans="1:37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  <c r="V851" s="1" t="s">
        <v>53</v>
      </c>
      <c r="W851" s="1" t="s">
        <v>115</v>
      </c>
      <c r="X851" s="1" t="s">
        <v>73</v>
      </c>
      <c r="Y851" s="1" t="s">
        <v>235</v>
      </c>
      <c r="Z851" s="1" t="s">
        <v>236</v>
      </c>
      <c r="AA851" s="1" t="s">
        <v>45</v>
      </c>
      <c r="AB851" s="1" t="s">
        <v>204</v>
      </c>
      <c r="AC851" s="1" t="s">
        <v>67</v>
      </c>
      <c r="AD851" s="1" t="s">
        <v>34</v>
      </c>
      <c r="AE851" s="1" t="s">
        <v>35</v>
      </c>
      <c r="AF851" s="5">
        <f t="shared" si="78"/>
        <v>45357</v>
      </c>
      <c r="AG851" s="5">
        <f t="shared" si="79"/>
        <v>45629</v>
      </c>
      <c r="AH851" s="5" t="b">
        <f t="shared" si="80"/>
        <v>1</v>
      </c>
      <c r="AI851" s="5" t="b">
        <f t="shared" si="81"/>
        <v>1</v>
      </c>
      <c r="AJ851" t="str">
        <f t="shared" si="82"/>
        <v>OK</v>
      </c>
      <c r="AK851">
        <f t="shared" si="83"/>
        <v>272</v>
      </c>
    </row>
    <row r="852" spans="1:37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  <c r="V852" s="1" t="s">
        <v>142</v>
      </c>
      <c r="W852" s="1" t="s">
        <v>115</v>
      </c>
      <c r="X852" s="1" t="s">
        <v>42</v>
      </c>
      <c r="Y852" s="1" t="s">
        <v>121</v>
      </c>
      <c r="Z852" s="1" t="s">
        <v>122</v>
      </c>
      <c r="AA852" s="1" t="s">
        <v>30</v>
      </c>
      <c r="AB852" s="1" t="s">
        <v>31</v>
      </c>
      <c r="AC852" s="1" t="s">
        <v>56</v>
      </c>
      <c r="AD852" s="1" t="s">
        <v>34</v>
      </c>
      <c r="AE852" s="1" t="s">
        <v>35</v>
      </c>
      <c r="AF852" s="5" t="e">
        <f t="shared" si="78"/>
        <v>#N/A</v>
      </c>
      <c r="AG852" s="5">
        <f t="shared" si="79"/>
        <v>45476</v>
      </c>
      <c r="AH852" s="5" t="b">
        <f t="shared" si="80"/>
        <v>0</v>
      </c>
      <c r="AI852" s="5" t="b">
        <f t="shared" si="81"/>
        <v>1</v>
      </c>
      <c r="AJ852" t="e">
        <f t="shared" si="82"/>
        <v>#N/A</v>
      </c>
      <c r="AK852" t="e">
        <f t="shared" si="83"/>
        <v>#N/A</v>
      </c>
    </row>
    <row r="853" spans="1:37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  <c r="V853" s="1" t="s">
        <v>25</v>
      </c>
      <c r="W853" s="1" t="s">
        <v>41</v>
      </c>
      <c r="X853" s="1" t="s">
        <v>73</v>
      </c>
      <c r="Y853" s="1" t="s">
        <v>235</v>
      </c>
      <c r="Z853" s="1" t="s">
        <v>236</v>
      </c>
      <c r="AA853" s="1" t="s">
        <v>86</v>
      </c>
      <c r="AB853" s="1" t="s">
        <v>87</v>
      </c>
      <c r="AC853" s="1" t="s">
        <v>56</v>
      </c>
      <c r="AD853" s="1" t="s">
        <v>34</v>
      </c>
      <c r="AE853" s="1" t="s">
        <v>35</v>
      </c>
      <c r="AF853" s="5">
        <f t="shared" si="78"/>
        <v>45377</v>
      </c>
      <c r="AG853" s="5">
        <f t="shared" si="79"/>
        <v>45383</v>
      </c>
      <c r="AH853" s="5" t="b">
        <f t="shared" si="80"/>
        <v>1</v>
      </c>
      <c r="AI853" s="5" t="b">
        <f t="shared" si="81"/>
        <v>1</v>
      </c>
      <c r="AJ853" t="str">
        <f t="shared" si="82"/>
        <v>OK</v>
      </c>
      <c r="AK853">
        <f t="shared" si="83"/>
        <v>6</v>
      </c>
    </row>
    <row r="854" spans="1:37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  <c r="V854" s="1" t="s">
        <v>72</v>
      </c>
      <c r="W854" s="1" t="s">
        <v>26</v>
      </c>
      <c r="X854" s="1" t="s">
        <v>42</v>
      </c>
      <c r="Y854" s="1" t="s">
        <v>216</v>
      </c>
      <c r="Z854" s="1" t="s">
        <v>217</v>
      </c>
      <c r="AA854" s="1" t="s">
        <v>45</v>
      </c>
      <c r="AB854" s="1" t="s">
        <v>46</v>
      </c>
      <c r="AC854" s="1" t="s">
        <v>33</v>
      </c>
      <c r="AD854" s="1" t="s">
        <v>137</v>
      </c>
      <c r="AE854" s="1" t="s">
        <v>78</v>
      </c>
      <c r="AF854" s="5">
        <f t="shared" si="78"/>
        <v>45295</v>
      </c>
      <c r="AG854" s="5">
        <f t="shared" si="79"/>
        <v>45508</v>
      </c>
      <c r="AH854" s="5" t="b">
        <f t="shared" si="80"/>
        <v>1</v>
      </c>
      <c r="AI854" s="5" t="b">
        <f t="shared" si="81"/>
        <v>1</v>
      </c>
      <c r="AJ854" t="str">
        <f t="shared" si="82"/>
        <v>OK</v>
      </c>
      <c r="AK854">
        <f t="shared" si="83"/>
        <v>213</v>
      </c>
    </row>
    <row r="855" spans="1:37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  <c r="V855" s="1" t="s">
        <v>61</v>
      </c>
      <c r="W855" s="1" t="s">
        <v>108</v>
      </c>
      <c r="X855" s="1" t="s">
        <v>62</v>
      </c>
      <c r="Y855" s="1" t="s">
        <v>339</v>
      </c>
      <c r="Z855" s="1" t="s">
        <v>340</v>
      </c>
      <c r="AA855" s="1" t="s">
        <v>86</v>
      </c>
      <c r="AB855" s="1" t="s">
        <v>87</v>
      </c>
      <c r="AC855" s="1" t="s">
        <v>48</v>
      </c>
      <c r="AD855" s="1" t="s">
        <v>34</v>
      </c>
      <c r="AE855" s="1" t="s">
        <v>35</v>
      </c>
      <c r="AF855" s="5">
        <f t="shared" si="78"/>
        <v>45793</v>
      </c>
      <c r="AG855" s="5">
        <f t="shared" si="79"/>
        <v>45799</v>
      </c>
      <c r="AH855" s="5" t="b">
        <f t="shared" si="80"/>
        <v>1</v>
      </c>
      <c r="AI855" s="5" t="b">
        <f t="shared" si="81"/>
        <v>1</v>
      </c>
      <c r="AJ855" t="str">
        <f t="shared" si="82"/>
        <v>OK</v>
      </c>
      <c r="AK855">
        <f t="shared" si="83"/>
        <v>6</v>
      </c>
    </row>
    <row r="856" spans="1:37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  <c r="V856" s="1" t="s">
        <v>142</v>
      </c>
      <c r="W856" s="1" t="s">
        <v>26</v>
      </c>
      <c r="X856" s="1" t="s">
        <v>62</v>
      </c>
      <c r="Y856" s="1" t="s">
        <v>229</v>
      </c>
      <c r="Z856" s="1" t="s">
        <v>230</v>
      </c>
      <c r="AA856" s="1" t="s">
        <v>45</v>
      </c>
      <c r="AB856" s="1" t="s">
        <v>204</v>
      </c>
      <c r="AC856" s="1" t="s">
        <v>33</v>
      </c>
      <c r="AD856" s="1" t="s">
        <v>34</v>
      </c>
      <c r="AE856" s="1" t="s">
        <v>35</v>
      </c>
      <c r="AF856" s="5">
        <f t="shared" si="78"/>
        <v>45741</v>
      </c>
      <c r="AG856" s="5">
        <f t="shared" si="79"/>
        <v>45749</v>
      </c>
      <c r="AH856" s="5" t="b">
        <f t="shared" si="80"/>
        <v>1</v>
      </c>
      <c r="AI856" s="5" t="b">
        <f t="shared" si="81"/>
        <v>1</v>
      </c>
      <c r="AJ856" t="str">
        <f t="shared" si="82"/>
        <v>OK</v>
      </c>
      <c r="AK856">
        <f t="shared" si="83"/>
        <v>8</v>
      </c>
    </row>
    <row r="857" spans="1:37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  <c r="V857" s="1" t="s">
        <v>148</v>
      </c>
      <c r="W857" s="1" t="s">
        <v>26</v>
      </c>
      <c r="X857" s="1" t="s">
        <v>27</v>
      </c>
      <c r="Y857" s="1" t="s">
        <v>28</v>
      </c>
      <c r="Z857" s="1" t="s">
        <v>29</v>
      </c>
      <c r="AA857" s="1" t="s">
        <v>30</v>
      </c>
      <c r="AB857" s="1" t="s">
        <v>109</v>
      </c>
      <c r="AC857" s="1" t="s">
        <v>33</v>
      </c>
      <c r="AD857" s="1" t="s">
        <v>34</v>
      </c>
      <c r="AE857" s="1" t="s">
        <v>35</v>
      </c>
      <c r="AF857" s="5" t="e">
        <f t="shared" si="78"/>
        <v>#N/A</v>
      </c>
      <c r="AG857" s="5">
        <f t="shared" si="79"/>
        <v>45506</v>
      </c>
      <c r="AH857" s="5" t="b">
        <f t="shared" si="80"/>
        <v>0</v>
      </c>
      <c r="AI857" s="5" t="b">
        <f t="shared" si="81"/>
        <v>1</v>
      </c>
      <c r="AJ857" t="e">
        <f t="shared" si="82"/>
        <v>#N/A</v>
      </c>
      <c r="AK857" t="e">
        <f t="shared" si="83"/>
        <v>#N/A</v>
      </c>
    </row>
    <row r="858" spans="1:37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  <c r="V858" s="1" t="s">
        <v>180</v>
      </c>
      <c r="W858" s="1" t="s">
        <v>115</v>
      </c>
      <c r="X858" s="1" t="s">
        <v>62</v>
      </c>
      <c r="Y858" s="1" t="s">
        <v>339</v>
      </c>
      <c r="Z858" s="1" t="s">
        <v>340</v>
      </c>
      <c r="AA858" s="1" t="s">
        <v>30</v>
      </c>
      <c r="AB858" s="1" t="s">
        <v>156</v>
      </c>
      <c r="AC858" s="1" t="s">
        <v>67</v>
      </c>
      <c r="AD858" s="1" t="s">
        <v>200</v>
      </c>
      <c r="AE858" s="1" t="s">
        <v>78</v>
      </c>
      <c r="AF858" s="5">
        <f t="shared" si="78"/>
        <v>45455</v>
      </c>
      <c r="AG858" s="5">
        <f t="shared" si="79"/>
        <v>45462</v>
      </c>
      <c r="AH858" s="5" t="b">
        <f t="shared" si="80"/>
        <v>1</v>
      </c>
      <c r="AI858" s="5" t="b">
        <f t="shared" si="81"/>
        <v>1</v>
      </c>
      <c r="AJ858" t="str">
        <f t="shared" si="82"/>
        <v>OK</v>
      </c>
      <c r="AK858">
        <f t="shared" si="83"/>
        <v>7</v>
      </c>
    </row>
    <row r="859" spans="1:37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  <c r="V859" s="1" t="s">
        <v>168</v>
      </c>
      <c r="W859" s="1" t="s">
        <v>115</v>
      </c>
      <c r="X859" s="1" t="s">
        <v>62</v>
      </c>
      <c r="Y859" s="1" t="s">
        <v>242</v>
      </c>
      <c r="Z859" s="1" t="s">
        <v>243</v>
      </c>
      <c r="AA859" s="1" t="s">
        <v>30</v>
      </c>
      <c r="AB859" s="1" t="s">
        <v>156</v>
      </c>
      <c r="AC859" s="1" t="s">
        <v>56</v>
      </c>
      <c r="AD859" s="1" t="s">
        <v>34</v>
      </c>
      <c r="AE859" s="1" t="s">
        <v>35</v>
      </c>
      <c r="AF859" s="5">
        <f t="shared" si="78"/>
        <v>45447</v>
      </c>
      <c r="AG859" s="5">
        <f t="shared" si="79"/>
        <v>45388</v>
      </c>
      <c r="AH859" s="5" t="b">
        <f t="shared" si="80"/>
        <v>1</v>
      </c>
      <c r="AI859" s="5" t="b">
        <f t="shared" si="81"/>
        <v>1</v>
      </c>
      <c r="AJ859" t="str">
        <f t="shared" si="82"/>
        <v>Invalid: Ship before Order</v>
      </c>
      <c r="AK859" t="e">
        <f t="shared" si="83"/>
        <v>#NUM!</v>
      </c>
    </row>
    <row r="860" spans="1:37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  <c r="V860" s="1" t="s">
        <v>61</v>
      </c>
      <c r="W860" s="1" t="s">
        <v>26</v>
      </c>
      <c r="X860" s="1" t="s">
        <v>42</v>
      </c>
      <c r="Y860" s="1" t="s">
        <v>43</v>
      </c>
      <c r="Z860" s="1" t="s">
        <v>44</v>
      </c>
      <c r="AA860" s="1" t="s">
        <v>86</v>
      </c>
      <c r="AB860" s="1" t="s">
        <v>87</v>
      </c>
      <c r="AC860" s="1" t="s">
        <v>33</v>
      </c>
      <c r="AD860" s="1" t="s">
        <v>34</v>
      </c>
      <c r="AE860" s="1" t="s">
        <v>35</v>
      </c>
      <c r="AF860" s="5">
        <f t="shared" si="78"/>
        <v>45414</v>
      </c>
      <c r="AG860" s="5">
        <f t="shared" si="79"/>
        <v>45421</v>
      </c>
      <c r="AH860" s="5" t="b">
        <f t="shared" si="80"/>
        <v>1</v>
      </c>
      <c r="AI860" s="5" t="b">
        <f t="shared" si="81"/>
        <v>1</v>
      </c>
      <c r="AJ860" t="str">
        <f t="shared" si="82"/>
        <v>OK</v>
      </c>
      <c r="AK860">
        <f t="shared" si="83"/>
        <v>7</v>
      </c>
    </row>
    <row r="861" spans="1:37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  <c r="V861" s="1" t="s">
        <v>107</v>
      </c>
      <c r="W861" s="1" t="s">
        <v>108</v>
      </c>
      <c r="X861" s="1" t="s">
        <v>62</v>
      </c>
      <c r="Y861" s="1" t="s">
        <v>339</v>
      </c>
      <c r="Z861" s="1" t="s">
        <v>340</v>
      </c>
      <c r="AA861" s="1" t="s">
        <v>86</v>
      </c>
      <c r="AB861" s="1" t="s">
        <v>223</v>
      </c>
      <c r="AC861" s="1" t="s">
        <v>67</v>
      </c>
      <c r="AD861" s="1" t="s">
        <v>34</v>
      </c>
      <c r="AE861" s="1" t="s">
        <v>35</v>
      </c>
      <c r="AF861" s="5">
        <f t="shared" si="78"/>
        <v>45592</v>
      </c>
      <c r="AG861" s="5">
        <f t="shared" si="79"/>
        <v>45597</v>
      </c>
      <c r="AH861" s="5" t="b">
        <f t="shared" si="80"/>
        <v>1</v>
      </c>
      <c r="AI861" s="5" t="b">
        <f t="shared" si="81"/>
        <v>1</v>
      </c>
      <c r="AJ861" t="str">
        <f t="shared" si="82"/>
        <v>OK</v>
      </c>
      <c r="AK861">
        <f t="shared" si="83"/>
        <v>5</v>
      </c>
    </row>
    <row r="862" spans="1:37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  <c r="V862" s="1" t="s">
        <v>83</v>
      </c>
      <c r="W862" s="1" t="s">
        <v>115</v>
      </c>
      <c r="X862" s="1" t="s">
        <v>27</v>
      </c>
      <c r="Y862" s="1" t="s">
        <v>174</v>
      </c>
      <c r="Z862" s="1" t="s">
        <v>175</v>
      </c>
      <c r="AA862" s="1" t="s">
        <v>30</v>
      </c>
      <c r="AB862" s="1" t="s">
        <v>156</v>
      </c>
      <c r="AC862" s="1" t="s">
        <v>33</v>
      </c>
      <c r="AD862" s="1" t="s">
        <v>34</v>
      </c>
      <c r="AE862" s="1" t="s">
        <v>35</v>
      </c>
      <c r="AF862" s="5">
        <f t="shared" si="78"/>
        <v>45324</v>
      </c>
      <c r="AG862" s="5">
        <f t="shared" si="79"/>
        <v>45326</v>
      </c>
      <c r="AH862" s="5" t="b">
        <f t="shared" si="80"/>
        <v>1</v>
      </c>
      <c r="AI862" s="5" t="b">
        <f t="shared" si="81"/>
        <v>1</v>
      </c>
      <c r="AJ862" t="str">
        <f t="shared" si="82"/>
        <v>OK</v>
      </c>
      <c r="AK862">
        <f t="shared" si="83"/>
        <v>2</v>
      </c>
    </row>
    <row r="863" spans="1:37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  <c r="V863" s="1" t="s">
        <v>142</v>
      </c>
      <c r="W863" s="1" t="s">
        <v>115</v>
      </c>
      <c r="X863" s="1" t="s">
        <v>27</v>
      </c>
      <c r="Y863" s="1" t="s">
        <v>506</v>
      </c>
      <c r="Z863" s="1" t="s">
        <v>507</v>
      </c>
      <c r="AA863" s="1" t="s">
        <v>45</v>
      </c>
      <c r="AB863" s="1" t="s">
        <v>65</v>
      </c>
      <c r="AC863" s="1" t="s">
        <v>48</v>
      </c>
      <c r="AD863" s="1" t="s">
        <v>34</v>
      </c>
      <c r="AE863" s="1" t="s">
        <v>35</v>
      </c>
      <c r="AF863" s="5">
        <f t="shared" si="78"/>
        <v>45724</v>
      </c>
      <c r="AG863" s="5">
        <f t="shared" si="79"/>
        <v>45725</v>
      </c>
      <c r="AH863" s="5" t="b">
        <f t="shared" si="80"/>
        <v>1</v>
      </c>
      <c r="AI863" s="5" t="b">
        <f t="shared" si="81"/>
        <v>1</v>
      </c>
      <c r="AJ863" t="str">
        <f t="shared" si="82"/>
        <v>OK</v>
      </c>
      <c r="AK863">
        <f t="shared" si="83"/>
        <v>1</v>
      </c>
    </row>
    <row r="864" spans="1:37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  <c r="V864" s="1" t="s">
        <v>142</v>
      </c>
      <c r="W864" s="1" t="s">
        <v>41</v>
      </c>
      <c r="X864" s="1" t="s">
        <v>42</v>
      </c>
      <c r="Y864" s="1" t="s">
        <v>311</v>
      </c>
      <c r="Z864" s="1" t="s">
        <v>312</v>
      </c>
      <c r="AA864" s="1" t="s">
        <v>30</v>
      </c>
      <c r="AB864" s="1" t="s">
        <v>198</v>
      </c>
      <c r="AC864" s="1" t="s">
        <v>56</v>
      </c>
      <c r="AD864" s="1" t="s">
        <v>34</v>
      </c>
      <c r="AE864" s="1" t="s">
        <v>78</v>
      </c>
      <c r="AF864" s="5">
        <f t="shared" si="78"/>
        <v>45742</v>
      </c>
      <c r="AG864" s="5" t="e">
        <f t="shared" si="79"/>
        <v>#N/A</v>
      </c>
      <c r="AH864" s="5" t="b">
        <f t="shared" si="80"/>
        <v>1</v>
      </c>
      <c r="AI864" s="5" t="b">
        <f t="shared" si="81"/>
        <v>0</v>
      </c>
      <c r="AJ864" t="e">
        <f t="shared" si="82"/>
        <v>#N/A</v>
      </c>
      <c r="AK864" t="e">
        <f t="shared" si="83"/>
        <v>#N/A</v>
      </c>
    </row>
    <row r="865" spans="1:37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  <c r="V865" s="1" t="s">
        <v>162</v>
      </c>
      <c r="W865" s="1" t="s">
        <v>115</v>
      </c>
      <c r="X865" s="1" t="s">
        <v>73</v>
      </c>
      <c r="Y865" s="1" t="s">
        <v>84</v>
      </c>
      <c r="Z865" s="1" t="s">
        <v>85</v>
      </c>
      <c r="AA865" s="1" t="s">
        <v>45</v>
      </c>
      <c r="AB865" s="1" t="s">
        <v>65</v>
      </c>
      <c r="AC865" s="1" t="s">
        <v>48</v>
      </c>
      <c r="AD865" s="1" t="s">
        <v>34</v>
      </c>
      <c r="AE865" s="1" t="s">
        <v>35</v>
      </c>
      <c r="AF865" s="5">
        <f t="shared" si="78"/>
        <v>45906</v>
      </c>
      <c r="AG865" s="5">
        <f t="shared" si="79"/>
        <v>45908</v>
      </c>
      <c r="AH865" s="5" t="b">
        <f t="shared" si="80"/>
        <v>1</v>
      </c>
      <c r="AI865" s="5" t="b">
        <f t="shared" si="81"/>
        <v>1</v>
      </c>
      <c r="AJ865" t="str">
        <f t="shared" si="82"/>
        <v>OK</v>
      </c>
      <c r="AK865">
        <f t="shared" si="83"/>
        <v>2</v>
      </c>
    </row>
    <row r="866" spans="1:37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  <c r="V866" s="1" t="s">
        <v>83</v>
      </c>
      <c r="W866" s="1" t="s">
        <v>26</v>
      </c>
      <c r="X866" s="1" t="s">
        <v>62</v>
      </c>
      <c r="Y866" s="1" t="s">
        <v>339</v>
      </c>
      <c r="Z866" s="1" t="s">
        <v>340</v>
      </c>
      <c r="AA866" s="1" t="s">
        <v>86</v>
      </c>
      <c r="AB866" s="1" t="s">
        <v>223</v>
      </c>
      <c r="AC866" s="1" t="s">
        <v>56</v>
      </c>
      <c r="AD866" s="1" t="s">
        <v>34</v>
      </c>
      <c r="AE866" s="1" t="s">
        <v>35</v>
      </c>
      <c r="AF866" s="5">
        <f t="shared" si="78"/>
        <v>45902</v>
      </c>
      <c r="AG866" s="5">
        <f t="shared" si="79"/>
        <v>45786</v>
      </c>
      <c r="AH866" s="5" t="b">
        <f t="shared" si="80"/>
        <v>1</v>
      </c>
      <c r="AI866" s="5" t="b">
        <f t="shared" si="81"/>
        <v>1</v>
      </c>
      <c r="AJ866" t="str">
        <f t="shared" si="82"/>
        <v>Invalid: Ship before Order</v>
      </c>
      <c r="AK866" t="e">
        <f t="shared" si="83"/>
        <v>#NUM!</v>
      </c>
    </row>
    <row r="867" spans="1:37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  <c r="V867" s="1" t="s">
        <v>366</v>
      </c>
      <c r="W867" s="1" t="s">
        <v>26</v>
      </c>
      <c r="X867" s="1" t="s">
        <v>73</v>
      </c>
      <c r="Y867" s="1" t="s">
        <v>74</v>
      </c>
      <c r="Z867" s="1" t="s">
        <v>75</v>
      </c>
      <c r="AA867" s="1" t="s">
        <v>30</v>
      </c>
      <c r="AB867" s="1" t="s">
        <v>109</v>
      </c>
      <c r="AC867" s="1" t="s">
        <v>33</v>
      </c>
      <c r="AD867" s="1" t="s">
        <v>34</v>
      </c>
      <c r="AE867" s="1" t="s">
        <v>35</v>
      </c>
      <c r="AF867" s="5">
        <f t="shared" si="78"/>
        <v>45810</v>
      </c>
      <c r="AG867" s="5" t="e">
        <f t="shared" si="79"/>
        <v>#N/A</v>
      </c>
      <c r="AH867" s="5" t="b">
        <f t="shared" si="80"/>
        <v>1</v>
      </c>
      <c r="AI867" s="5" t="b">
        <f t="shared" si="81"/>
        <v>0</v>
      </c>
      <c r="AJ867" t="e">
        <f t="shared" si="82"/>
        <v>#N/A</v>
      </c>
      <c r="AK867" t="e">
        <f t="shared" si="83"/>
        <v>#N/A</v>
      </c>
    </row>
    <row r="868" spans="1:37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  <c r="V868" s="1" t="s">
        <v>142</v>
      </c>
      <c r="W868" s="1" t="s">
        <v>26</v>
      </c>
      <c r="X868" s="1" t="s">
        <v>42</v>
      </c>
      <c r="Y868" s="1" t="s">
        <v>186</v>
      </c>
      <c r="Z868" s="1" t="s">
        <v>187</v>
      </c>
      <c r="AA868" s="1" t="s">
        <v>45</v>
      </c>
      <c r="AB868" s="1" t="s">
        <v>204</v>
      </c>
      <c r="AC868" s="1" t="s">
        <v>56</v>
      </c>
      <c r="AD868" s="1" t="s">
        <v>137</v>
      </c>
      <c r="AE868" s="1" t="s">
        <v>78</v>
      </c>
      <c r="AF868" s="5">
        <f t="shared" si="78"/>
        <v>45714</v>
      </c>
      <c r="AG868" s="5">
        <f t="shared" si="79"/>
        <v>45722</v>
      </c>
      <c r="AH868" s="5" t="b">
        <f t="shared" si="80"/>
        <v>1</v>
      </c>
      <c r="AI868" s="5" t="b">
        <f t="shared" si="81"/>
        <v>1</v>
      </c>
      <c r="AJ868" t="str">
        <f t="shared" si="82"/>
        <v>OK</v>
      </c>
      <c r="AK868">
        <f t="shared" si="83"/>
        <v>8</v>
      </c>
    </row>
    <row r="869" spans="1:37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  <c r="V869" s="1" t="s">
        <v>148</v>
      </c>
      <c r="W869" s="1" t="s">
        <v>115</v>
      </c>
      <c r="X869" s="1" t="s">
        <v>62</v>
      </c>
      <c r="Y869" s="1" t="s">
        <v>100</v>
      </c>
      <c r="Z869" s="1" t="s">
        <v>101</v>
      </c>
      <c r="AA869" s="1" t="s">
        <v>86</v>
      </c>
      <c r="AB869" s="1" t="s">
        <v>87</v>
      </c>
      <c r="AC869" s="1" t="s">
        <v>48</v>
      </c>
      <c r="AD869" s="1" t="s">
        <v>200</v>
      </c>
      <c r="AE869" s="1" t="s">
        <v>78</v>
      </c>
      <c r="AF869" s="5">
        <f t="shared" si="78"/>
        <v>45617</v>
      </c>
      <c r="AG869" s="5">
        <f t="shared" si="79"/>
        <v>45618</v>
      </c>
      <c r="AH869" s="5" t="b">
        <f t="shared" si="80"/>
        <v>1</v>
      </c>
      <c r="AI869" s="5" t="b">
        <f t="shared" si="81"/>
        <v>1</v>
      </c>
      <c r="AJ869" t="str">
        <f t="shared" si="82"/>
        <v>OK</v>
      </c>
      <c r="AK869">
        <f t="shared" si="83"/>
        <v>1</v>
      </c>
    </row>
    <row r="870" spans="1:37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  <c r="V870" s="1" t="s">
        <v>83</v>
      </c>
      <c r="W870" s="1" t="s">
        <v>115</v>
      </c>
      <c r="X870" s="1" t="s">
        <v>62</v>
      </c>
      <c r="Y870" s="1" t="s">
        <v>229</v>
      </c>
      <c r="Z870" s="1" t="s">
        <v>230</v>
      </c>
      <c r="AA870" s="1" t="s">
        <v>30</v>
      </c>
      <c r="AB870" s="1" t="s">
        <v>156</v>
      </c>
      <c r="AC870" s="1" t="s">
        <v>48</v>
      </c>
      <c r="AD870" s="1" t="s">
        <v>34</v>
      </c>
      <c r="AE870" s="1" t="s">
        <v>35</v>
      </c>
      <c r="AF870" s="5">
        <f t="shared" si="78"/>
        <v>45965</v>
      </c>
      <c r="AG870" s="5">
        <f t="shared" si="79"/>
        <v>45762</v>
      </c>
      <c r="AH870" s="5" t="b">
        <f t="shared" si="80"/>
        <v>1</v>
      </c>
      <c r="AI870" s="5" t="b">
        <f t="shared" si="81"/>
        <v>1</v>
      </c>
      <c r="AJ870" t="str">
        <f t="shared" si="82"/>
        <v>Invalid: Ship before Order</v>
      </c>
      <c r="AK870" t="e">
        <f t="shared" si="83"/>
        <v>#NUM!</v>
      </c>
    </row>
    <row r="871" spans="1:37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  <c r="V871" s="1" t="s">
        <v>180</v>
      </c>
      <c r="W871" s="1" t="s">
        <v>115</v>
      </c>
      <c r="X871" s="1" t="s">
        <v>4119</v>
      </c>
      <c r="Y871" s="1" t="s">
        <v>506</v>
      </c>
      <c r="Z871" s="1" t="s">
        <v>507</v>
      </c>
      <c r="AA871" s="1" t="s">
        <v>45</v>
      </c>
      <c r="AB871" s="1" t="s">
        <v>76</v>
      </c>
      <c r="AC871" s="1" t="s">
        <v>48</v>
      </c>
      <c r="AD871" s="1" t="s">
        <v>34</v>
      </c>
      <c r="AE871" s="1" t="s">
        <v>35</v>
      </c>
      <c r="AF871" s="5">
        <f t="shared" si="78"/>
        <v>45722</v>
      </c>
      <c r="AG871" s="5">
        <f t="shared" si="79"/>
        <v>45841</v>
      </c>
      <c r="AH871" s="5" t="b">
        <f t="shared" si="80"/>
        <v>1</v>
      </c>
      <c r="AI871" s="5" t="b">
        <f t="shared" si="81"/>
        <v>1</v>
      </c>
      <c r="AJ871" t="str">
        <f t="shared" si="82"/>
        <v>OK</v>
      </c>
      <c r="AK871">
        <f t="shared" si="83"/>
        <v>119</v>
      </c>
    </row>
    <row r="872" spans="1:37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  <c r="V872" s="1" t="s">
        <v>83</v>
      </c>
      <c r="W872" s="1" t="s">
        <v>108</v>
      </c>
      <c r="X872" s="1" t="s">
        <v>73</v>
      </c>
      <c r="Y872" s="1" t="s">
        <v>249</v>
      </c>
      <c r="Z872" s="1" t="s">
        <v>250</v>
      </c>
      <c r="AA872" s="1" t="s">
        <v>45</v>
      </c>
      <c r="AB872" s="1" t="s">
        <v>46</v>
      </c>
      <c r="AC872" s="1" t="s">
        <v>67</v>
      </c>
      <c r="AD872" s="1" t="s">
        <v>34</v>
      </c>
      <c r="AE872" s="1" t="s">
        <v>78</v>
      </c>
      <c r="AF872" s="5">
        <f t="shared" si="78"/>
        <v>45814</v>
      </c>
      <c r="AG872" s="5">
        <f t="shared" si="79"/>
        <v>45815</v>
      </c>
      <c r="AH872" s="5" t="b">
        <f t="shared" si="80"/>
        <v>1</v>
      </c>
      <c r="AI872" s="5" t="b">
        <f t="shared" si="81"/>
        <v>1</v>
      </c>
      <c r="AJ872" t="str">
        <f t="shared" si="82"/>
        <v>OK</v>
      </c>
      <c r="AK872">
        <f t="shared" si="83"/>
        <v>1</v>
      </c>
    </row>
    <row r="873" spans="1:37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  <c r="V873" s="1" t="s">
        <v>93</v>
      </c>
      <c r="W873" s="1" t="s">
        <v>41</v>
      </c>
      <c r="X873" s="1" t="s">
        <v>62</v>
      </c>
      <c r="Y873" s="1" t="s">
        <v>63</v>
      </c>
      <c r="Z873" s="1" t="s">
        <v>64</v>
      </c>
      <c r="AA873" s="1" t="s">
        <v>86</v>
      </c>
      <c r="AB873" s="1" t="s">
        <v>87</v>
      </c>
      <c r="AC873" s="1" t="s">
        <v>56</v>
      </c>
      <c r="AD873" s="1" t="s">
        <v>124</v>
      </c>
      <c r="AE873" s="1" t="s">
        <v>78</v>
      </c>
      <c r="AF873" s="5">
        <f t="shared" si="78"/>
        <v>45342</v>
      </c>
      <c r="AG873" s="5">
        <f t="shared" si="79"/>
        <v>45344</v>
      </c>
      <c r="AH873" s="5" t="b">
        <f t="shared" si="80"/>
        <v>1</v>
      </c>
      <c r="AI873" s="5" t="b">
        <f t="shared" si="81"/>
        <v>1</v>
      </c>
      <c r="AJ873" t="str">
        <f t="shared" si="82"/>
        <v>OK</v>
      </c>
      <c r="AK873">
        <f t="shared" si="83"/>
        <v>2</v>
      </c>
    </row>
    <row r="874" spans="1:37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  <c r="V874" s="1" t="s">
        <v>25</v>
      </c>
      <c r="W874" s="1" t="s">
        <v>108</v>
      </c>
      <c r="X874" s="1" t="s">
        <v>42</v>
      </c>
      <c r="Y874" s="1" t="s">
        <v>121</v>
      </c>
      <c r="Z874" s="1" t="s">
        <v>122</v>
      </c>
      <c r="AA874" s="1" t="s">
        <v>45</v>
      </c>
      <c r="AB874" s="1" t="s">
        <v>65</v>
      </c>
      <c r="AC874" s="1" t="s">
        <v>67</v>
      </c>
      <c r="AD874" s="1" t="s">
        <v>34</v>
      </c>
      <c r="AE874" s="1" t="s">
        <v>35</v>
      </c>
      <c r="AF874" s="5">
        <f t="shared" si="78"/>
        <v>45597</v>
      </c>
      <c r="AG874" s="5">
        <f t="shared" si="79"/>
        <v>45598</v>
      </c>
      <c r="AH874" s="5" t="b">
        <f t="shared" si="80"/>
        <v>1</v>
      </c>
      <c r="AI874" s="5" t="b">
        <f t="shared" si="81"/>
        <v>1</v>
      </c>
      <c r="AJ874" t="str">
        <f t="shared" si="82"/>
        <v>OK</v>
      </c>
      <c r="AK874">
        <f t="shared" si="83"/>
        <v>1</v>
      </c>
    </row>
    <row r="875" spans="1:37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  <c r="V875" s="1" t="s">
        <v>107</v>
      </c>
      <c r="W875" s="1" t="s">
        <v>115</v>
      </c>
      <c r="X875" s="1" t="s">
        <v>73</v>
      </c>
      <c r="Y875" s="1" t="s">
        <v>235</v>
      </c>
      <c r="Z875" s="1" t="s">
        <v>236</v>
      </c>
      <c r="AA875" s="1" t="s">
        <v>30</v>
      </c>
      <c r="AB875" s="1" t="s">
        <v>156</v>
      </c>
      <c r="AC875" s="1" t="s">
        <v>33</v>
      </c>
      <c r="AD875" s="1" t="s">
        <v>34</v>
      </c>
      <c r="AE875" s="1" t="s">
        <v>35</v>
      </c>
      <c r="AF875" s="5">
        <f t="shared" si="78"/>
        <v>45689</v>
      </c>
      <c r="AG875" s="5">
        <f t="shared" si="79"/>
        <v>45871</v>
      </c>
      <c r="AH875" s="5" t="b">
        <f t="shared" si="80"/>
        <v>1</v>
      </c>
      <c r="AI875" s="5" t="b">
        <f t="shared" si="81"/>
        <v>1</v>
      </c>
      <c r="AJ875" t="str">
        <f t="shared" si="82"/>
        <v>OK</v>
      </c>
      <c r="AK875">
        <f t="shared" si="83"/>
        <v>182</v>
      </c>
    </row>
    <row r="876" spans="1:37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  <c r="V876" s="1" t="s">
        <v>83</v>
      </c>
      <c r="W876" s="1" t="s">
        <v>41</v>
      </c>
      <c r="X876" s="1" t="s">
        <v>73</v>
      </c>
      <c r="Y876" s="1" t="s">
        <v>74</v>
      </c>
      <c r="Z876" s="1" t="s">
        <v>75</v>
      </c>
      <c r="AA876" s="1" t="s">
        <v>30</v>
      </c>
      <c r="AB876" s="1" t="s">
        <v>31</v>
      </c>
      <c r="AC876" s="1" t="s">
        <v>67</v>
      </c>
      <c r="AD876" s="1" t="s">
        <v>34</v>
      </c>
      <c r="AE876" s="1" t="s">
        <v>35</v>
      </c>
      <c r="AF876" s="5">
        <f t="shared" si="78"/>
        <v>45853</v>
      </c>
      <c r="AG876" s="5">
        <f t="shared" si="79"/>
        <v>45854</v>
      </c>
      <c r="AH876" s="5" t="b">
        <f t="shared" si="80"/>
        <v>1</v>
      </c>
      <c r="AI876" s="5" t="b">
        <f t="shared" si="81"/>
        <v>1</v>
      </c>
      <c r="AJ876" t="str">
        <f t="shared" si="82"/>
        <v>OK</v>
      </c>
      <c r="AK876">
        <f t="shared" si="83"/>
        <v>1</v>
      </c>
    </row>
    <row r="877" spans="1:37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  <c r="V877" s="1" t="s">
        <v>40</v>
      </c>
      <c r="W877" s="1" t="s">
        <v>108</v>
      </c>
      <c r="X877" s="1" t="s">
        <v>73</v>
      </c>
      <c r="Y877" s="1" t="s">
        <v>74</v>
      </c>
      <c r="Z877" s="1" t="s">
        <v>75</v>
      </c>
      <c r="AA877" s="1" t="s">
        <v>86</v>
      </c>
      <c r="AB877" s="1" t="s">
        <v>94</v>
      </c>
      <c r="AC877" s="1" t="s">
        <v>56</v>
      </c>
      <c r="AD877" s="1" t="s">
        <v>34</v>
      </c>
      <c r="AE877" s="1" t="s">
        <v>35</v>
      </c>
      <c r="AF877" s="5">
        <f t="shared" si="78"/>
        <v>45514</v>
      </c>
      <c r="AG877" s="5">
        <f t="shared" si="79"/>
        <v>45515</v>
      </c>
      <c r="AH877" s="5" t="b">
        <f t="shared" si="80"/>
        <v>1</v>
      </c>
      <c r="AI877" s="5" t="b">
        <f t="shared" si="81"/>
        <v>1</v>
      </c>
      <c r="AJ877" t="str">
        <f t="shared" si="82"/>
        <v>OK</v>
      </c>
      <c r="AK877">
        <f t="shared" si="83"/>
        <v>1</v>
      </c>
    </row>
    <row r="878" spans="1:37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  <c r="V878" s="1" t="s">
        <v>142</v>
      </c>
      <c r="W878" s="1" t="s">
        <v>26</v>
      </c>
      <c r="X878" s="1" t="s">
        <v>73</v>
      </c>
      <c r="Y878" s="1" t="s">
        <v>28</v>
      </c>
      <c r="Z878" s="1" t="s">
        <v>135</v>
      </c>
      <c r="AA878" s="1" t="s">
        <v>45</v>
      </c>
      <c r="AB878" s="1" t="s">
        <v>76</v>
      </c>
      <c r="AC878" s="1" t="s">
        <v>56</v>
      </c>
      <c r="AD878" s="1" t="s">
        <v>34</v>
      </c>
      <c r="AE878" s="1" t="s">
        <v>35</v>
      </c>
      <c r="AF878" s="5">
        <f t="shared" si="78"/>
        <v>45614</v>
      </c>
      <c r="AG878" s="5" t="e">
        <f t="shared" si="79"/>
        <v>#N/A</v>
      </c>
      <c r="AH878" s="5" t="b">
        <f t="shared" si="80"/>
        <v>1</v>
      </c>
      <c r="AI878" s="5" t="b">
        <f t="shared" si="81"/>
        <v>0</v>
      </c>
      <c r="AJ878" t="e">
        <f t="shared" si="82"/>
        <v>#N/A</v>
      </c>
      <c r="AK878" t="e">
        <f t="shared" si="83"/>
        <v>#N/A</v>
      </c>
    </row>
    <row r="879" spans="1:37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  <c r="V879" s="1" t="s">
        <v>162</v>
      </c>
      <c r="W879" s="1" t="s">
        <v>26</v>
      </c>
      <c r="X879" s="1" t="s">
        <v>73</v>
      </c>
      <c r="Y879" s="1" t="s">
        <v>28</v>
      </c>
      <c r="Z879" s="1" t="s">
        <v>135</v>
      </c>
      <c r="AA879" s="1" t="s">
        <v>30</v>
      </c>
      <c r="AB879" s="1" t="s">
        <v>156</v>
      </c>
      <c r="AC879" s="1" t="s">
        <v>33</v>
      </c>
      <c r="AD879" s="1" t="s">
        <v>34</v>
      </c>
      <c r="AE879" s="1" t="s">
        <v>35</v>
      </c>
      <c r="AF879" s="5" t="e">
        <f t="shared" si="78"/>
        <v>#N/A</v>
      </c>
      <c r="AG879" s="5">
        <f t="shared" si="79"/>
        <v>45903</v>
      </c>
      <c r="AH879" s="5" t="b">
        <f t="shared" si="80"/>
        <v>0</v>
      </c>
      <c r="AI879" s="5" t="b">
        <f t="shared" si="81"/>
        <v>1</v>
      </c>
      <c r="AJ879" t="e">
        <f t="shared" si="82"/>
        <v>#N/A</v>
      </c>
      <c r="AK879" t="e">
        <f t="shared" si="83"/>
        <v>#N/A</v>
      </c>
    </row>
    <row r="880" spans="1:37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  <c r="V880" s="1" t="s">
        <v>25</v>
      </c>
      <c r="W880" s="1" t="s">
        <v>108</v>
      </c>
      <c r="X880" s="1" t="s">
        <v>42</v>
      </c>
      <c r="Y880" s="1" t="s">
        <v>121</v>
      </c>
      <c r="Z880" s="1" t="s">
        <v>122</v>
      </c>
      <c r="AA880" s="1" t="s">
        <v>30</v>
      </c>
      <c r="AB880" s="1" t="s">
        <v>31</v>
      </c>
      <c r="AC880" s="1" t="s">
        <v>56</v>
      </c>
      <c r="AD880" s="1" t="s">
        <v>34</v>
      </c>
      <c r="AE880" s="1" t="s">
        <v>35</v>
      </c>
      <c r="AF880" s="5">
        <f t="shared" si="78"/>
        <v>45313</v>
      </c>
      <c r="AG880" s="5">
        <f t="shared" si="79"/>
        <v>45313</v>
      </c>
      <c r="AH880" s="5" t="b">
        <f t="shared" si="80"/>
        <v>1</v>
      </c>
      <c r="AI880" s="5" t="b">
        <f t="shared" si="81"/>
        <v>1</v>
      </c>
      <c r="AJ880" t="str">
        <f t="shared" si="82"/>
        <v>OK</v>
      </c>
      <c r="AK880">
        <f t="shared" si="83"/>
        <v>0</v>
      </c>
    </row>
    <row r="881" spans="1:37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  <c r="V881" s="1" t="s">
        <v>72</v>
      </c>
      <c r="W881" s="1" t="s">
        <v>115</v>
      </c>
      <c r="X881" s="1" t="s">
        <v>27</v>
      </c>
      <c r="Y881" s="1" t="s">
        <v>174</v>
      </c>
      <c r="Z881" s="1" t="s">
        <v>175</v>
      </c>
      <c r="AA881" s="1" t="s">
        <v>30</v>
      </c>
      <c r="AB881" s="1" t="s">
        <v>54</v>
      </c>
      <c r="AC881" s="1" t="s">
        <v>67</v>
      </c>
      <c r="AD881" s="1" t="s">
        <v>34</v>
      </c>
      <c r="AE881" s="1" t="s">
        <v>35</v>
      </c>
      <c r="AF881" s="5">
        <f t="shared" si="78"/>
        <v>45896</v>
      </c>
      <c r="AG881" s="5">
        <f t="shared" si="79"/>
        <v>45897</v>
      </c>
      <c r="AH881" s="5" t="b">
        <f t="shared" si="80"/>
        <v>1</v>
      </c>
      <c r="AI881" s="5" t="b">
        <f t="shared" si="81"/>
        <v>1</v>
      </c>
      <c r="AJ881" t="str">
        <f t="shared" si="82"/>
        <v>OK</v>
      </c>
      <c r="AK881">
        <f t="shared" si="83"/>
        <v>1</v>
      </c>
    </row>
    <row r="882" spans="1:37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  <c r="V882" s="1" t="s">
        <v>162</v>
      </c>
      <c r="W882" s="1" t="s">
        <v>41</v>
      </c>
      <c r="X882" s="1" t="s">
        <v>4119</v>
      </c>
      <c r="Y882" s="1" t="s">
        <v>154</v>
      </c>
      <c r="Z882" s="1" t="s">
        <v>155</v>
      </c>
      <c r="AA882" s="1" t="s">
        <v>45</v>
      </c>
      <c r="AB882" s="1" t="s">
        <v>76</v>
      </c>
      <c r="AC882" s="1" t="s">
        <v>56</v>
      </c>
      <c r="AD882" s="1" t="s">
        <v>34</v>
      </c>
      <c r="AE882" s="1" t="s">
        <v>35</v>
      </c>
      <c r="AF882" s="5">
        <f t="shared" si="78"/>
        <v>45507</v>
      </c>
      <c r="AG882" s="5">
        <f t="shared" si="79"/>
        <v>45366</v>
      </c>
      <c r="AH882" s="5" t="b">
        <f t="shared" si="80"/>
        <v>1</v>
      </c>
      <c r="AI882" s="5" t="b">
        <f t="shared" si="81"/>
        <v>1</v>
      </c>
      <c r="AJ882" t="str">
        <f t="shared" si="82"/>
        <v>Invalid: Ship before Order</v>
      </c>
      <c r="AK882" t="e">
        <f t="shared" si="83"/>
        <v>#NUM!</v>
      </c>
    </row>
    <row r="883" spans="1:37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  <c r="V883" s="1" t="s">
        <v>72</v>
      </c>
      <c r="W883" s="1" t="s">
        <v>41</v>
      </c>
      <c r="X883" s="1" t="s">
        <v>62</v>
      </c>
      <c r="Y883" s="1" t="s">
        <v>100</v>
      </c>
      <c r="Z883" s="1" t="s">
        <v>101</v>
      </c>
      <c r="AA883" s="1" t="s">
        <v>86</v>
      </c>
      <c r="AB883" s="1" t="s">
        <v>94</v>
      </c>
      <c r="AC883" s="1" t="s">
        <v>33</v>
      </c>
      <c r="AD883" s="1" t="s">
        <v>34</v>
      </c>
      <c r="AE883" s="1" t="s">
        <v>35</v>
      </c>
      <c r="AF883" s="5">
        <f t="shared" si="78"/>
        <v>45627</v>
      </c>
      <c r="AG883" s="5">
        <f t="shared" si="79"/>
        <v>45424</v>
      </c>
      <c r="AH883" s="5" t="b">
        <f t="shared" si="80"/>
        <v>1</v>
      </c>
      <c r="AI883" s="5" t="b">
        <f t="shared" si="81"/>
        <v>1</v>
      </c>
      <c r="AJ883" t="str">
        <f t="shared" si="82"/>
        <v>Invalid: Ship before Order</v>
      </c>
      <c r="AK883" t="e">
        <f t="shared" si="83"/>
        <v>#NUM!</v>
      </c>
    </row>
    <row r="884" spans="1:37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  <c r="V884" s="1" t="s">
        <v>168</v>
      </c>
      <c r="W884" s="1" t="s">
        <v>108</v>
      </c>
      <c r="X884" s="1" t="s">
        <v>42</v>
      </c>
      <c r="Y884" s="1" t="s">
        <v>186</v>
      </c>
      <c r="Z884" s="1" t="s">
        <v>187</v>
      </c>
      <c r="AA884" s="1" t="s">
        <v>86</v>
      </c>
      <c r="AB884" s="1" t="s">
        <v>87</v>
      </c>
      <c r="AC884" s="1" t="s">
        <v>67</v>
      </c>
      <c r="AD884" s="1" t="s">
        <v>137</v>
      </c>
      <c r="AE884" s="1" t="s">
        <v>125</v>
      </c>
      <c r="AF884" s="5">
        <f t="shared" si="78"/>
        <v>45690</v>
      </c>
      <c r="AG884" s="5">
        <f t="shared" si="79"/>
        <v>45698</v>
      </c>
      <c r="AH884" s="5" t="b">
        <f t="shared" si="80"/>
        <v>1</v>
      </c>
      <c r="AI884" s="5" t="b">
        <f t="shared" si="81"/>
        <v>1</v>
      </c>
      <c r="AJ884" t="str">
        <f t="shared" si="82"/>
        <v>OK</v>
      </c>
      <c r="AK884">
        <f t="shared" si="83"/>
        <v>8</v>
      </c>
    </row>
    <row r="885" spans="1:37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  <c r="V885" s="1" t="s">
        <v>162</v>
      </c>
      <c r="W885" s="1" t="s">
        <v>41</v>
      </c>
      <c r="X885" s="1" t="s">
        <v>73</v>
      </c>
      <c r="Y885" s="1" t="s">
        <v>249</v>
      </c>
      <c r="Z885" s="1" t="s">
        <v>250</v>
      </c>
      <c r="AA885" s="1" t="s">
        <v>30</v>
      </c>
      <c r="AB885" s="1" t="s">
        <v>156</v>
      </c>
      <c r="AC885" s="1" t="s">
        <v>48</v>
      </c>
      <c r="AD885" s="1" t="s">
        <v>34</v>
      </c>
      <c r="AE885" s="1" t="s">
        <v>35</v>
      </c>
      <c r="AF885" s="5">
        <f t="shared" si="78"/>
        <v>45775</v>
      </c>
      <c r="AG885" s="5">
        <f t="shared" si="79"/>
        <v>45778</v>
      </c>
      <c r="AH885" s="5" t="b">
        <f t="shared" si="80"/>
        <v>1</v>
      </c>
      <c r="AI885" s="5" t="b">
        <f t="shared" si="81"/>
        <v>1</v>
      </c>
      <c r="AJ885" t="str">
        <f t="shared" si="82"/>
        <v>OK</v>
      </c>
      <c r="AK885">
        <f t="shared" si="83"/>
        <v>3</v>
      </c>
    </row>
    <row r="886" spans="1:37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  <c r="V886" s="1" t="s">
        <v>93</v>
      </c>
      <c r="W886" s="1" t="s">
        <v>115</v>
      </c>
      <c r="X886" s="1" t="s">
        <v>62</v>
      </c>
      <c r="Y886" s="1" t="s">
        <v>229</v>
      </c>
      <c r="Z886" s="1" t="s">
        <v>230</v>
      </c>
      <c r="AA886" s="1" t="s">
        <v>30</v>
      </c>
      <c r="AB886" s="1" t="s">
        <v>156</v>
      </c>
      <c r="AC886" s="1" t="s">
        <v>48</v>
      </c>
      <c r="AD886" s="1" t="s">
        <v>34</v>
      </c>
      <c r="AE886" s="1" t="s">
        <v>35</v>
      </c>
      <c r="AF886" s="5" t="e">
        <f t="shared" si="78"/>
        <v>#N/A</v>
      </c>
      <c r="AG886" s="5">
        <f t="shared" si="79"/>
        <v>45682</v>
      </c>
      <c r="AH886" s="5" t="b">
        <f t="shared" si="80"/>
        <v>0</v>
      </c>
      <c r="AI886" s="5" t="b">
        <f t="shared" si="81"/>
        <v>1</v>
      </c>
      <c r="AJ886" t="e">
        <f t="shared" si="82"/>
        <v>#N/A</v>
      </c>
      <c r="AK886" t="e">
        <f t="shared" si="83"/>
        <v>#N/A</v>
      </c>
    </row>
    <row r="887" spans="1:37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  <c r="V887" s="1" t="s">
        <v>210</v>
      </c>
      <c r="W887" s="1" t="s">
        <v>26</v>
      </c>
      <c r="X887" s="1" t="s">
        <v>27</v>
      </c>
      <c r="Y887" s="1" t="s">
        <v>28</v>
      </c>
      <c r="Z887" s="1" t="s">
        <v>29</v>
      </c>
      <c r="AA887" s="1" t="s">
        <v>45</v>
      </c>
      <c r="AB887" s="1" t="s">
        <v>46</v>
      </c>
      <c r="AC887" s="1" t="s">
        <v>67</v>
      </c>
      <c r="AD887" s="1" t="s">
        <v>34</v>
      </c>
      <c r="AE887" s="1" t="s">
        <v>35</v>
      </c>
      <c r="AF887" s="5">
        <f t="shared" si="78"/>
        <v>45296</v>
      </c>
      <c r="AG887" s="5">
        <f t="shared" si="79"/>
        <v>45296</v>
      </c>
      <c r="AH887" s="5" t="b">
        <f t="shared" si="80"/>
        <v>1</v>
      </c>
      <c r="AI887" s="5" t="b">
        <f t="shared" si="81"/>
        <v>1</v>
      </c>
      <c r="AJ887" t="str">
        <f t="shared" si="82"/>
        <v>OK</v>
      </c>
      <c r="AK887">
        <f t="shared" si="83"/>
        <v>0</v>
      </c>
    </row>
    <row r="888" spans="1:37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  <c r="V888" s="1" t="s">
        <v>61</v>
      </c>
      <c r="W888" s="1" t="s">
        <v>115</v>
      </c>
      <c r="X888" s="1" t="s">
        <v>62</v>
      </c>
      <c r="Y888" s="1" t="s">
        <v>339</v>
      </c>
      <c r="Z888" s="1" t="s">
        <v>340</v>
      </c>
      <c r="AA888" s="1" t="s">
        <v>86</v>
      </c>
      <c r="AB888" s="1" t="s">
        <v>87</v>
      </c>
      <c r="AC888" s="1" t="s">
        <v>56</v>
      </c>
      <c r="AD888" s="1" t="s">
        <v>34</v>
      </c>
      <c r="AE888" s="1" t="s">
        <v>78</v>
      </c>
      <c r="AF888" s="5" t="e">
        <f t="shared" si="78"/>
        <v>#N/A</v>
      </c>
      <c r="AG888" s="5">
        <f t="shared" si="79"/>
        <v>45721</v>
      </c>
      <c r="AH888" s="5" t="b">
        <f t="shared" si="80"/>
        <v>0</v>
      </c>
      <c r="AI888" s="5" t="b">
        <f t="shared" si="81"/>
        <v>1</v>
      </c>
      <c r="AJ888" t="e">
        <f t="shared" si="82"/>
        <v>#N/A</v>
      </c>
      <c r="AK888" t="e">
        <f t="shared" si="83"/>
        <v>#N/A</v>
      </c>
    </row>
    <row r="889" spans="1:37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  <c r="V889" s="1" t="s">
        <v>162</v>
      </c>
      <c r="W889" s="1" t="s">
        <v>41</v>
      </c>
      <c r="X889" s="1" t="s">
        <v>62</v>
      </c>
      <c r="Y889" s="1" t="s">
        <v>100</v>
      </c>
      <c r="Z889" s="1" t="s">
        <v>101</v>
      </c>
      <c r="AA889" s="1" t="s">
        <v>30</v>
      </c>
      <c r="AB889" s="1" t="s">
        <v>54</v>
      </c>
      <c r="AC889" s="1" t="s">
        <v>67</v>
      </c>
      <c r="AD889" s="1" t="s">
        <v>34</v>
      </c>
      <c r="AE889" s="1" t="s">
        <v>35</v>
      </c>
      <c r="AF889" s="5">
        <f t="shared" si="78"/>
        <v>45455</v>
      </c>
      <c r="AG889" s="5">
        <f t="shared" si="79"/>
        <v>45461</v>
      </c>
      <c r="AH889" s="5" t="b">
        <f t="shared" si="80"/>
        <v>1</v>
      </c>
      <c r="AI889" s="5" t="b">
        <f t="shared" si="81"/>
        <v>1</v>
      </c>
      <c r="AJ889" t="str">
        <f t="shared" si="82"/>
        <v>OK</v>
      </c>
      <c r="AK889">
        <f t="shared" si="83"/>
        <v>6</v>
      </c>
    </row>
    <row r="890" spans="1:37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  <c r="V890" s="1" t="s">
        <v>148</v>
      </c>
      <c r="W890" s="1" t="s">
        <v>41</v>
      </c>
      <c r="X890" s="1" t="s">
        <v>73</v>
      </c>
      <c r="Y890" s="1" t="s">
        <v>74</v>
      </c>
      <c r="Z890" s="1" t="s">
        <v>75</v>
      </c>
      <c r="AA890" s="1" t="s">
        <v>30</v>
      </c>
      <c r="AB890" s="1" t="s">
        <v>54</v>
      </c>
      <c r="AC890" s="1" t="s">
        <v>67</v>
      </c>
      <c r="AD890" s="1" t="s">
        <v>124</v>
      </c>
      <c r="AE890" s="1" t="s">
        <v>78</v>
      </c>
      <c r="AF890" s="5">
        <f t="shared" si="78"/>
        <v>45816</v>
      </c>
      <c r="AG890" s="5">
        <f t="shared" si="79"/>
        <v>45846</v>
      </c>
      <c r="AH890" s="5" t="b">
        <f t="shared" si="80"/>
        <v>1</v>
      </c>
      <c r="AI890" s="5" t="b">
        <f t="shared" si="81"/>
        <v>1</v>
      </c>
      <c r="AJ890" t="str">
        <f t="shared" si="82"/>
        <v>OK</v>
      </c>
      <c r="AK890">
        <f t="shared" si="83"/>
        <v>30</v>
      </c>
    </row>
    <row r="891" spans="1:37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  <c r="V891" s="1" t="s">
        <v>107</v>
      </c>
      <c r="W891" s="1" t="s">
        <v>115</v>
      </c>
      <c r="X891" s="1" t="s">
        <v>73</v>
      </c>
      <c r="Y891" s="1" t="s">
        <v>84</v>
      </c>
      <c r="Z891" s="1" t="s">
        <v>85</v>
      </c>
      <c r="AA891" s="1" t="s">
        <v>30</v>
      </c>
      <c r="AB891" s="1" t="s">
        <v>156</v>
      </c>
      <c r="AC891" s="1" t="s">
        <v>56</v>
      </c>
      <c r="AD891" s="1" t="s">
        <v>34</v>
      </c>
      <c r="AE891" s="1" t="s">
        <v>125</v>
      </c>
      <c r="AF891" s="5">
        <f t="shared" si="78"/>
        <v>45726</v>
      </c>
      <c r="AG891" s="5">
        <f t="shared" si="79"/>
        <v>45727</v>
      </c>
      <c r="AH891" s="5" t="b">
        <f t="shared" si="80"/>
        <v>1</v>
      </c>
      <c r="AI891" s="5" t="b">
        <f t="shared" si="81"/>
        <v>1</v>
      </c>
      <c r="AJ891" t="str">
        <f t="shared" si="82"/>
        <v>OK</v>
      </c>
      <c r="AK891">
        <f t="shared" si="83"/>
        <v>1</v>
      </c>
    </row>
    <row r="892" spans="1:37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  <c r="V892" s="1" t="s">
        <v>25</v>
      </c>
      <c r="W892" s="1" t="s">
        <v>26</v>
      </c>
      <c r="X892" s="1" t="s">
        <v>73</v>
      </c>
      <c r="Y892" s="1" t="s">
        <v>249</v>
      </c>
      <c r="Z892" s="1" t="s">
        <v>250</v>
      </c>
      <c r="AA892" s="1" t="s">
        <v>30</v>
      </c>
      <c r="AB892" s="1" t="s">
        <v>156</v>
      </c>
      <c r="AC892" s="1" t="s">
        <v>67</v>
      </c>
      <c r="AD892" s="1" t="s">
        <v>34</v>
      </c>
      <c r="AE892" s="1" t="s">
        <v>35</v>
      </c>
      <c r="AF892" s="5" t="e">
        <f t="shared" si="78"/>
        <v>#N/A</v>
      </c>
      <c r="AG892" s="5" t="e">
        <f t="shared" si="79"/>
        <v>#N/A</v>
      </c>
      <c r="AH892" s="5" t="b">
        <f t="shared" si="80"/>
        <v>0</v>
      </c>
      <c r="AI892" s="5" t="b">
        <f t="shared" si="81"/>
        <v>0</v>
      </c>
      <c r="AJ892" t="e">
        <f t="shared" si="82"/>
        <v>#N/A</v>
      </c>
      <c r="AK892" t="e">
        <f t="shared" si="83"/>
        <v>#N/A</v>
      </c>
    </row>
    <row r="893" spans="1:37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  <c r="V893" s="1" t="s">
        <v>366</v>
      </c>
      <c r="W893" s="1" t="s">
        <v>108</v>
      </c>
      <c r="X893" s="1" t="s">
        <v>62</v>
      </c>
      <c r="Y893" s="1" t="s">
        <v>339</v>
      </c>
      <c r="Z893" s="1" t="s">
        <v>340</v>
      </c>
      <c r="AA893" s="1" t="s">
        <v>86</v>
      </c>
      <c r="AB893" s="1" t="s">
        <v>382</v>
      </c>
      <c r="AC893" s="1" t="s">
        <v>48</v>
      </c>
      <c r="AD893" s="1" t="s">
        <v>200</v>
      </c>
      <c r="AE893" s="1" t="s">
        <v>78</v>
      </c>
      <c r="AF893" s="5">
        <f t="shared" si="78"/>
        <v>45573</v>
      </c>
      <c r="AG893" s="5">
        <f t="shared" si="79"/>
        <v>45545</v>
      </c>
      <c r="AH893" s="5" t="b">
        <f t="shared" si="80"/>
        <v>1</v>
      </c>
      <c r="AI893" s="5" t="b">
        <f t="shared" si="81"/>
        <v>1</v>
      </c>
      <c r="AJ893" t="str">
        <f t="shared" si="82"/>
        <v>Invalid: Ship before Order</v>
      </c>
      <c r="AK893" t="e">
        <f t="shared" si="83"/>
        <v>#NUM!</v>
      </c>
    </row>
    <row r="894" spans="1:37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  <c r="V894" s="1" t="s">
        <v>53</v>
      </c>
      <c r="W894" s="1" t="s">
        <v>41</v>
      </c>
      <c r="X894" s="1" t="s">
        <v>42</v>
      </c>
      <c r="Y894" s="1" t="s">
        <v>311</v>
      </c>
      <c r="Z894" s="1" t="s">
        <v>312</v>
      </c>
      <c r="AA894" s="1" t="s">
        <v>86</v>
      </c>
      <c r="AB894" s="1" t="s">
        <v>94</v>
      </c>
      <c r="AC894" s="1" t="s">
        <v>48</v>
      </c>
      <c r="AD894" s="1" t="s">
        <v>34</v>
      </c>
      <c r="AE894" s="1" t="s">
        <v>35</v>
      </c>
      <c r="AF894" s="5">
        <f t="shared" si="78"/>
        <v>45759</v>
      </c>
      <c r="AG894" s="5">
        <f t="shared" si="79"/>
        <v>45765</v>
      </c>
      <c r="AH894" s="5" t="b">
        <f t="shared" si="80"/>
        <v>1</v>
      </c>
      <c r="AI894" s="5" t="b">
        <f t="shared" si="81"/>
        <v>1</v>
      </c>
      <c r="AJ894" t="str">
        <f t="shared" si="82"/>
        <v>OK</v>
      </c>
      <c r="AK894">
        <f t="shared" si="83"/>
        <v>6</v>
      </c>
    </row>
    <row r="895" spans="1:37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  <c r="V895" s="1" t="s">
        <v>162</v>
      </c>
      <c r="W895" s="1" t="s">
        <v>108</v>
      </c>
      <c r="X895" s="1" t="s">
        <v>62</v>
      </c>
      <c r="Y895" s="1" t="s">
        <v>229</v>
      </c>
      <c r="Z895" s="1" t="s">
        <v>230</v>
      </c>
      <c r="AA895" s="1" t="s">
        <v>45</v>
      </c>
      <c r="AB895" s="1" t="s">
        <v>46</v>
      </c>
      <c r="AC895" s="1" t="s">
        <v>33</v>
      </c>
      <c r="AD895" s="1" t="s">
        <v>34</v>
      </c>
      <c r="AE895" s="1" t="s">
        <v>125</v>
      </c>
      <c r="AF895" s="5">
        <f t="shared" si="78"/>
        <v>45449</v>
      </c>
      <c r="AG895" s="5">
        <f t="shared" si="79"/>
        <v>45451</v>
      </c>
      <c r="AH895" s="5" t="b">
        <f t="shared" si="80"/>
        <v>1</v>
      </c>
      <c r="AI895" s="5" t="b">
        <f t="shared" si="81"/>
        <v>1</v>
      </c>
      <c r="AJ895" t="str">
        <f t="shared" si="82"/>
        <v>OK</v>
      </c>
      <c r="AK895">
        <f t="shared" si="83"/>
        <v>2</v>
      </c>
    </row>
    <row r="896" spans="1:37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  <c r="V896" s="1" t="s">
        <v>53</v>
      </c>
      <c r="W896" s="1" t="s">
        <v>115</v>
      </c>
      <c r="X896" s="1" t="s">
        <v>62</v>
      </c>
      <c r="Y896" s="1" t="s">
        <v>63</v>
      </c>
      <c r="Z896" s="1" t="s">
        <v>64</v>
      </c>
      <c r="AA896" s="1" t="s">
        <v>45</v>
      </c>
      <c r="AB896" s="1" t="s">
        <v>46</v>
      </c>
      <c r="AC896" s="1" t="s">
        <v>56</v>
      </c>
      <c r="AD896" s="1" t="s">
        <v>34</v>
      </c>
      <c r="AE896" s="1" t="s">
        <v>35</v>
      </c>
      <c r="AF896" s="5">
        <f t="shared" si="78"/>
        <v>45344</v>
      </c>
      <c r="AG896" s="5">
        <f t="shared" si="79"/>
        <v>45351</v>
      </c>
      <c r="AH896" s="5" t="b">
        <f t="shared" si="80"/>
        <v>1</v>
      </c>
      <c r="AI896" s="5" t="b">
        <f t="shared" si="81"/>
        <v>1</v>
      </c>
      <c r="AJ896" t="str">
        <f t="shared" si="82"/>
        <v>OK</v>
      </c>
      <c r="AK896">
        <f t="shared" si="83"/>
        <v>7</v>
      </c>
    </row>
    <row r="897" spans="1:37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  <c r="V897" s="1" t="s">
        <v>61</v>
      </c>
      <c r="W897" s="1" t="s">
        <v>26</v>
      </c>
      <c r="X897" s="1" t="s">
        <v>62</v>
      </c>
      <c r="Y897" s="1" t="s">
        <v>242</v>
      </c>
      <c r="Z897" s="1" t="s">
        <v>243</v>
      </c>
      <c r="AA897" s="1" t="s">
        <v>45</v>
      </c>
      <c r="AB897" s="1" t="s">
        <v>76</v>
      </c>
      <c r="AC897" s="1" t="s">
        <v>48</v>
      </c>
      <c r="AD897" s="1" t="s">
        <v>137</v>
      </c>
      <c r="AE897" s="1" t="s">
        <v>125</v>
      </c>
      <c r="AF897" s="5">
        <f t="shared" si="78"/>
        <v>45601</v>
      </c>
      <c r="AG897" s="5">
        <f t="shared" si="79"/>
        <v>45606</v>
      </c>
      <c r="AH897" s="5" t="b">
        <f t="shared" si="80"/>
        <v>1</v>
      </c>
      <c r="AI897" s="5" t="b">
        <f t="shared" si="81"/>
        <v>1</v>
      </c>
      <c r="AJ897" t="str">
        <f t="shared" si="82"/>
        <v>OK</v>
      </c>
      <c r="AK897">
        <f t="shared" si="83"/>
        <v>5</v>
      </c>
    </row>
    <row r="898" spans="1:37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  <c r="V898" s="1" t="s">
        <v>72</v>
      </c>
      <c r="W898" s="1" t="s">
        <v>41</v>
      </c>
      <c r="X898" s="1" t="s">
        <v>62</v>
      </c>
      <c r="Y898" s="1" t="s">
        <v>339</v>
      </c>
      <c r="Z898" s="1" t="s">
        <v>340</v>
      </c>
      <c r="AA898" s="1" t="s">
        <v>86</v>
      </c>
      <c r="AB898" s="1" t="s">
        <v>94</v>
      </c>
      <c r="AC898" s="1" t="s">
        <v>33</v>
      </c>
      <c r="AD898" s="1" t="s">
        <v>200</v>
      </c>
      <c r="AE898" s="1" t="s">
        <v>125</v>
      </c>
      <c r="AF898" s="5">
        <f t="shared" si="78"/>
        <v>45650</v>
      </c>
      <c r="AG898" s="5" t="e">
        <f t="shared" si="79"/>
        <v>#N/A</v>
      </c>
      <c r="AH898" s="5" t="b">
        <f t="shared" si="80"/>
        <v>1</v>
      </c>
      <c r="AI898" s="5" t="b">
        <f t="shared" si="81"/>
        <v>0</v>
      </c>
      <c r="AJ898" t="e">
        <f t="shared" si="82"/>
        <v>#N/A</v>
      </c>
      <c r="AK898" t="e">
        <f t="shared" si="83"/>
        <v>#N/A</v>
      </c>
    </row>
    <row r="899" spans="1:37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  <c r="V899" s="1" t="s">
        <v>180</v>
      </c>
      <c r="W899" s="1" t="s">
        <v>108</v>
      </c>
      <c r="X899" s="1" t="s">
        <v>27</v>
      </c>
      <c r="Y899" s="1" t="s">
        <v>323</v>
      </c>
      <c r="Z899" s="1" t="s">
        <v>324</v>
      </c>
      <c r="AA899" s="1" t="s">
        <v>30</v>
      </c>
      <c r="AB899" s="1" t="s">
        <v>31</v>
      </c>
      <c r="AC899" s="1" t="s">
        <v>56</v>
      </c>
      <c r="AD899" s="1" t="s">
        <v>34</v>
      </c>
      <c r="AE899" s="1" t="s">
        <v>35</v>
      </c>
      <c r="AF899" s="5">
        <f t="shared" ref="AF899:AF933" si="84">IFERROR(DATEVALUE(B899),IFERROR(DATE(VALUE(RIGHT(B899,4)),VALUE(MID(SUBSTITUTE(B899,"-","/"),6,2)),VALUE(LEFT(B899,2))),NA()))</f>
        <v>45776</v>
      </c>
      <c r="AG899" s="5">
        <f t="shared" ref="AG899:AG933" si="85">IFERROR(DATEVALUE(C899),IFERROR(DATE(VALUE(RIGHT(C899,4)),VALUE(MID(SUBSTITUTE(C899,"-","/"),6,2)),VALUE(LEFT(C899,2))),NA()))</f>
        <v>45780</v>
      </c>
      <c r="AH899" s="5" t="b">
        <f t="shared" ref="AH899:AH933" si="86">ISNUMBER(AF899)</f>
        <v>1</v>
      </c>
      <c r="AI899" s="5" t="b">
        <f t="shared" ref="AI899:AI933" si="87">ISNUMBER(AG899)</f>
        <v>1</v>
      </c>
      <c r="AJ899" t="str">
        <f t="shared" ref="AJ899:AJ933" si="88">IF(AG899&lt;AF899,"Invalid: Ship before Order","OK")</f>
        <v>OK</v>
      </c>
      <c r="AK899">
        <f t="shared" ref="AK899:AK933" si="89">DATEDIF(AF899, AG899, "D")</f>
        <v>4</v>
      </c>
    </row>
    <row r="900" spans="1:37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  <c r="V900" s="1" t="s">
        <v>83</v>
      </c>
      <c r="W900" s="1" t="s">
        <v>26</v>
      </c>
      <c r="X900" s="1" t="s">
        <v>27</v>
      </c>
      <c r="Y900" s="1" t="s">
        <v>506</v>
      </c>
      <c r="Z900" s="1" t="s">
        <v>507</v>
      </c>
      <c r="AA900" s="1" t="s">
        <v>45</v>
      </c>
      <c r="AB900" s="1" t="s">
        <v>46</v>
      </c>
      <c r="AC900" s="1" t="s">
        <v>56</v>
      </c>
      <c r="AD900" s="1" t="s">
        <v>34</v>
      </c>
      <c r="AE900" s="1" t="s">
        <v>35</v>
      </c>
      <c r="AF900" s="5">
        <f t="shared" si="84"/>
        <v>45445</v>
      </c>
      <c r="AG900" s="5">
        <f t="shared" si="85"/>
        <v>45451</v>
      </c>
      <c r="AH900" s="5" t="b">
        <f t="shared" si="86"/>
        <v>1</v>
      </c>
      <c r="AI900" s="5" t="b">
        <f t="shared" si="87"/>
        <v>1</v>
      </c>
      <c r="AJ900" t="str">
        <f t="shared" si="88"/>
        <v>OK</v>
      </c>
      <c r="AK900">
        <f t="shared" si="89"/>
        <v>6</v>
      </c>
    </row>
    <row r="901" spans="1:37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  <c r="V901" s="1" t="s">
        <v>25</v>
      </c>
      <c r="W901" s="1" t="s">
        <v>26</v>
      </c>
      <c r="X901" s="1" t="s">
        <v>27</v>
      </c>
      <c r="Y901" s="1" t="s">
        <v>154</v>
      </c>
      <c r="Z901" s="1" t="s">
        <v>155</v>
      </c>
      <c r="AA901" s="1" t="s">
        <v>45</v>
      </c>
      <c r="AB901" s="1" t="s">
        <v>76</v>
      </c>
      <c r="AC901" s="1" t="s">
        <v>56</v>
      </c>
      <c r="AD901" s="1" t="s">
        <v>200</v>
      </c>
      <c r="AE901" s="1" t="s">
        <v>78</v>
      </c>
      <c r="AF901" s="5">
        <f t="shared" si="84"/>
        <v>45804</v>
      </c>
      <c r="AG901" s="5">
        <f t="shared" si="85"/>
        <v>45811</v>
      </c>
      <c r="AH901" s="5" t="b">
        <f t="shared" si="86"/>
        <v>1</v>
      </c>
      <c r="AI901" s="5" t="b">
        <f t="shared" si="87"/>
        <v>1</v>
      </c>
      <c r="AJ901" t="str">
        <f t="shared" si="88"/>
        <v>OK</v>
      </c>
      <c r="AK901">
        <f t="shared" si="89"/>
        <v>7</v>
      </c>
    </row>
    <row r="902" spans="1:37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  <c r="V902" s="1" t="s">
        <v>142</v>
      </c>
      <c r="W902" s="1" t="s">
        <v>41</v>
      </c>
      <c r="X902" s="1" t="s">
        <v>42</v>
      </c>
      <c r="Y902" s="1" t="s">
        <v>43</v>
      </c>
      <c r="Z902" s="1" t="s">
        <v>44</v>
      </c>
      <c r="AA902" s="1" t="s">
        <v>86</v>
      </c>
      <c r="AB902" s="1" t="s">
        <v>94</v>
      </c>
      <c r="AC902" s="1" t="s">
        <v>33</v>
      </c>
      <c r="AD902" s="1" t="s">
        <v>34</v>
      </c>
      <c r="AE902" s="1" t="s">
        <v>35</v>
      </c>
      <c r="AF902" s="5">
        <f t="shared" si="84"/>
        <v>45383</v>
      </c>
      <c r="AG902" s="5">
        <f t="shared" si="85"/>
        <v>45391</v>
      </c>
      <c r="AH902" s="5" t="b">
        <f t="shared" si="86"/>
        <v>1</v>
      </c>
      <c r="AI902" s="5" t="b">
        <f t="shared" si="87"/>
        <v>1</v>
      </c>
      <c r="AJ902" t="str">
        <f t="shared" si="88"/>
        <v>OK</v>
      </c>
      <c r="AK902">
        <f t="shared" si="89"/>
        <v>8</v>
      </c>
    </row>
    <row r="903" spans="1:37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  <c r="V903" s="1" t="s">
        <v>72</v>
      </c>
      <c r="W903" s="1" t="s">
        <v>108</v>
      </c>
      <c r="X903" s="1" t="s">
        <v>42</v>
      </c>
      <c r="Y903" s="1" t="s">
        <v>121</v>
      </c>
      <c r="Z903" s="1" t="s">
        <v>122</v>
      </c>
      <c r="AA903" s="1" t="s">
        <v>86</v>
      </c>
      <c r="AB903" s="1" t="s">
        <v>94</v>
      </c>
      <c r="AC903" s="1" t="s">
        <v>48</v>
      </c>
      <c r="AD903" s="1" t="s">
        <v>34</v>
      </c>
      <c r="AE903" s="1" t="s">
        <v>35</v>
      </c>
      <c r="AF903" s="5">
        <f t="shared" si="84"/>
        <v>45521</v>
      </c>
      <c r="AG903" s="5">
        <f t="shared" si="85"/>
        <v>45528</v>
      </c>
      <c r="AH903" s="5" t="b">
        <f t="shared" si="86"/>
        <v>1</v>
      </c>
      <c r="AI903" s="5" t="b">
        <f t="shared" si="87"/>
        <v>1</v>
      </c>
      <c r="AJ903" t="str">
        <f t="shared" si="88"/>
        <v>OK</v>
      </c>
      <c r="AK903">
        <f t="shared" si="89"/>
        <v>7</v>
      </c>
    </row>
    <row r="904" spans="1:37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  <c r="V904" s="1" t="s">
        <v>53</v>
      </c>
      <c r="W904" s="1" t="s">
        <v>26</v>
      </c>
      <c r="X904" s="1" t="s">
        <v>62</v>
      </c>
      <c r="Y904" s="1" t="s">
        <v>100</v>
      </c>
      <c r="Z904" s="1" t="s">
        <v>101</v>
      </c>
      <c r="AA904" s="1" t="s">
        <v>30</v>
      </c>
      <c r="AB904" s="1" t="s">
        <v>156</v>
      </c>
      <c r="AC904" s="1" t="s">
        <v>56</v>
      </c>
      <c r="AD904" s="1" t="s">
        <v>34</v>
      </c>
      <c r="AE904" s="1" t="s">
        <v>35</v>
      </c>
      <c r="AF904" s="5">
        <f t="shared" si="84"/>
        <v>45665</v>
      </c>
      <c r="AG904" s="5">
        <f t="shared" si="85"/>
        <v>45908</v>
      </c>
      <c r="AH904" s="5" t="b">
        <f t="shared" si="86"/>
        <v>1</v>
      </c>
      <c r="AI904" s="5" t="b">
        <f t="shared" si="87"/>
        <v>1</v>
      </c>
      <c r="AJ904" t="str">
        <f t="shared" si="88"/>
        <v>OK</v>
      </c>
      <c r="AK904">
        <f t="shared" si="89"/>
        <v>243</v>
      </c>
    </row>
    <row r="905" spans="1:37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  <c r="V905" s="1" t="s">
        <v>142</v>
      </c>
      <c r="W905" s="1" t="s">
        <v>115</v>
      </c>
      <c r="X905" s="1" t="s">
        <v>62</v>
      </c>
      <c r="Y905" s="1" t="s">
        <v>339</v>
      </c>
      <c r="Z905" s="1" t="s">
        <v>340</v>
      </c>
      <c r="AA905" s="1" t="s">
        <v>45</v>
      </c>
      <c r="AB905" s="1" t="s">
        <v>204</v>
      </c>
      <c r="AC905" s="1" t="s">
        <v>4119</v>
      </c>
      <c r="AD905" s="1" t="s">
        <v>34</v>
      </c>
      <c r="AE905" s="1" t="s">
        <v>35</v>
      </c>
      <c r="AF905" s="5">
        <f t="shared" si="84"/>
        <v>45364</v>
      </c>
      <c r="AG905" s="5">
        <f t="shared" si="85"/>
        <v>45371</v>
      </c>
      <c r="AH905" s="5" t="b">
        <f t="shared" si="86"/>
        <v>1</v>
      </c>
      <c r="AI905" s="5" t="b">
        <f t="shared" si="87"/>
        <v>1</v>
      </c>
      <c r="AJ905" t="str">
        <f t="shared" si="88"/>
        <v>OK</v>
      </c>
      <c r="AK905">
        <f t="shared" si="89"/>
        <v>7</v>
      </c>
    </row>
    <row r="906" spans="1:37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  <c r="V906" s="1" t="s">
        <v>162</v>
      </c>
      <c r="W906" s="1" t="s">
        <v>41</v>
      </c>
      <c r="X906" s="1" t="s">
        <v>4119</v>
      </c>
      <c r="Y906" s="1" t="s">
        <v>216</v>
      </c>
      <c r="Z906" s="1" t="s">
        <v>217</v>
      </c>
      <c r="AA906" s="1" t="s">
        <v>45</v>
      </c>
      <c r="AB906" s="1" t="s">
        <v>76</v>
      </c>
      <c r="AC906" s="1" t="s">
        <v>33</v>
      </c>
      <c r="AD906" s="1" t="s">
        <v>34</v>
      </c>
      <c r="AE906" s="1" t="s">
        <v>35</v>
      </c>
      <c r="AF906" s="5" t="e">
        <f t="shared" si="84"/>
        <v>#N/A</v>
      </c>
      <c r="AG906" s="5" t="e">
        <f t="shared" si="85"/>
        <v>#N/A</v>
      </c>
      <c r="AH906" s="5" t="b">
        <f t="shared" si="86"/>
        <v>0</v>
      </c>
      <c r="AI906" s="5" t="b">
        <f t="shared" si="87"/>
        <v>0</v>
      </c>
      <c r="AJ906" t="e">
        <f t="shared" si="88"/>
        <v>#N/A</v>
      </c>
      <c r="AK906" t="e">
        <f t="shared" si="89"/>
        <v>#N/A</v>
      </c>
    </row>
    <row r="907" spans="1:37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  <c r="V907" s="1" t="s">
        <v>168</v>
      </c>
      <c r="W907" s="1" t="s">
        <v>41</v>
      </c>
      <c r="X907" s="1" t="s">
        <v>62</v>
      </c>
      <c r="Y907" s="1" t="s">
        <v>229</v>
      </c>
      <c r="Z907" s="1" t="s">
        <v>230</v>
      </c>
      <c r="AA907" s="1" t="s">
        <v>45</v>
      </c>
      <c r="AB907" s="1" t="s">
        <v>65</v>
      </c>
      <c r="AC907" s="1" t="s">
        <v>56</v>
      </c>
      <c r="AD907" s="1" t="s">
        <v>34</v>
      </c>
      <c r="AE907" s="1" t="s">
        <v>35</v>
      </c>
      <c r="AF907" s="5" t="e">
        <f t="shared" si="84"/>
        <v>#N/A</v>
      </c>
      <c r="AG907" s="5" t="e">
        <f t="shared" si="85"/>
        <v>#N/A</v>
      </c>
      <c r="AH907" s="5" t="b">
        <f t="shared" si="86"/>
        <v>0</v>
      </c>
      <c r="AI907" s="5" t="b">
        <f t="shared" si="87"/>
        <v>0</v>
      </c>
      <c r="AJ907" t="e">
        <f t="shared" si="88"/>
        <v>#N/A</v>
      </c>
      <c r="AK907" t="e">
        <f t="shared" si="89"/>
        <v>#N/A</v>
      </c>
    </row>
    <row r="908" spans="1:37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  <c r="V908" s="1" t="s">
        <v>72</v>
      </c>
      <c r="W908" s="1" t="s">
        <v>108</v>
      </c>
      <c r="X908" s="1" t="s">
        <v>62</v>
      </c>
      <c r="Y908" s="1" t="s">
        <v>339</v>
      </c>
      <c r="Z908" s="1" t="s">
        <v>340</v>
      </c>
      <c r="AA908" s="1" t="s">
        <v>86</v>
      </c>
      <c r="AB908" s="1" t="s">
        <v>382</v>
      </c>
      <c r="AC908" s="1" t="s">
        <v>48</v>
      </c>
      <c r="AD908" s="1" t="s">
        <v>34</v>
      </c>
      <c r="AE908" s="1" t="s">
        <v>35</v>
      </c>
      <c r="AF908" s="5" t="e">
        <f t="shared" si="84"/>
        <v>#N/A</v>
      </c>
      <c r="AG908" s="5">
        <f t="shared" si="85"/>
        <v>45802</v>
      </c>
      <c r="AH908" s="5" t="b">
        <f t="shared" si="86"/>
        <v>0</v>
      </c>
      <c r="AI908" s="5" t="b">
        <f t="shared" si="87"/>
        <v>1</v>
      </c>
      <c r="AJ908" t="e">
        <f t="shared" si="88"/>
        <v>#N/A</v>
      </c>
      <c r="AK908" t="e">
        <f t="shared" si="89"/>
        <v>#N/A</v>
      </c>
    </row>
    <row r="909" spans="1:37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  <c r="V909" s="1" t="s">
        <v>25</v>
      </c>
      <c r="W909" s="1" t="s">
        <v>26</v>
      </c>
      <c r="X909" s="1" t="s">
        <v>73</v>
      </c>
      <c r="Y909" s="1" t="s">
        <v>249</v>
      </c>
      <c r="Z909" s="1" t="s">
        <v>250</v>
      </c>
      <c r="AA909" s="1" t="s">
        <v>86</v>
      </c>
      <c r="AB909" s="1" t="s">
        <v>223</v>
      </c>
      <c r="AC909" s="1" t="s">
        <v>33</v>
      </c>
      <c r="AD909" s="1" t="s">
        <v>34</v>
      </c>
      <c r="AE909" s="1" t="s">
        <v>35</v>
      </c>
      <c r="AF909" s="5">
        <f t="shared" si="84"/>
        <v>45639</v>
      </c>
      <c r="AG909" s="5">
        <f t="shared" si="85"/>
        <v>45644</v>
      </c>
      <c r="AH909" s="5" t="b">
        <f t="shared" si="86"/>
        <v>1</v>
      </c>
      <c r="AI909" s="5" t="b">
        <f t="shared" si="87"/>
        <v>1</v>
      </c>
      <c r="AJ909" t="str">
        <f t="shared" si="88"/>
        <v>OK</v>
      </c>
      <c r="AK909">
        <f t="shared" si="89"/>
        <v>5</v>
      </c>
    </row>
    <row r="910" spans="1:37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  <c r="V910" s="1" t="s">
        <v>366</v>
      </c>
      <c r="W910" s="1" t="s">
        <v>108</v>
      </c>
      <c r="X910" s="1" t="s">
        <v>73</v>
      </c>
      <c r="Y910" s="1" t="s">
        <v>235</v>
      </c>
      <c r="Z910" s="1" t="s">
        <v>236</v>
      </c>
      <c r="AA910" s="1" t="s">
        <v>30</v>
      </c>
      <c r="AB910" s="1" t="s">
        <v>54</v>
      </c>
      <c r="AC910" s="1" t="s">
        <v>48</v>
      </c>
      <c r="AD910" s="1" t="s">
        <v>34</v>
      </c>
      <c r="AE910" s="1" t="s">
        <v>35</v>
      </c>
      <c r="AF910" s="5">
        <f t="shared" si="84"/>
        <v>45908</v>
      </c>
      <c r="AG910" s="5">
        <f t="shared" si="85"/>
        <v>45909</v>
      </c>
      <c r="AH910" s="5" t="b">
        <f t="shared" si="86"/>
        <v>1</v>
      </c>
      <c r="AI910" s="5" t="b">
        <f t="shared" si="87"/>
        <v>1</v>
      </c>
      <c r="AJ910" t="str">
        <f t="shared" si="88"/>
        <v>OK</v>
      </c>
      <c r="AK910">
        <f t="shared" si="89"/>
        <v>1</v>
      </c>
    </row>
    <row r="911" spans="1:37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  <c r="V911" s="1" t="s">
        <v>210</v>
      </c>
      <c r="W911" s="1" t="s">
        <v>41</v>
      </c>
      <c r="X911" s="1" t="s">
        <v>62</v>
      </c>
      <c r="Y911" s="1" t="s">
        <v>100</v>
      </c>
      <c r="Z911" s="1" t="s">
        <v>101</v>
      </c>
      <c r="AA911" s="1" t="s">
        <v>30</v>
      </c>
      <c r="AB911" s="1" t="s">
        <v>31</v>
      </c>
      <c r="AC911" s="1" t="s">
        <v>48</v>
      </c>
      <c r="AD911" s="1" t="s">
        <v>34</v>
      </c>
      <c r="AE911" s="1" t="s">
        <v>35</v>
      </c>
      <c r="AF911" s="5">
        <f t="shared" si="84"/>
        <v>45771</v>
      </c>
      <c r="AG911" s="5">
        <f t="shared" si="85"/>
        <v>45776</v>
      </c>
      <c r="AH911" s="5" t="b">
        <f t="shared" si="86"/>
        <v>1</v>
      </c>
      <c r="AI911" s="5" t="b">
        <f t="shared" si="87"/>
        <v>1</v>
      </c>
      <c r="AJ911" t="str">
        <f t="shared" si="88"/>
        <v>OK</v>
      </c>
      <c r="AK911">
        <f t="shared" si="89"/>
        <v>5</v>
      </c>
    </row>
    <row r="912" spans="1:37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  <c r="V912" s="1" t="s">
        <v>168</v>
      </c>
      <c r="W912" s="1" t="s">
        <v>41</v>
      </c>
      <c r="X912" s="1" t="s">
        <v>27</v>
      </c>
      <c r="Y912" s="1" t="s">
        <v>154</v>
      </c>
      <c r="Z912" s="1" t="s">
        <v>155</v>
      </c>
      <c r="AA912" s="1" t="s">
        <v>86</v>
      </c>
      <c r="AB912" s="1" t="s">
        <v>94</v>
      </c>
      <c r="AC912" s="1" t="s">
        <v>48</v>
      </c>
      <c r="AD912" s="1" t="s">
        <v>124</v>
      </c>
      <c r="AE912" s="1" t="s">
        <v>78</v>
      </c>
      <c r="AF912" s="5">
        <f t="shared" si="84"/>
        <v>45436</v>
      </c>
      <c r="AG912" s="5">
        <f t="shared" si="85"/>
        <v>45437</v>
      </c>
      <c r="AH912" s="5" t="b">
        <f t="shared" si="86"/>
        <v>1</v>
      </c>
      <c r="AI912" s="5" t="b">
        <f t="shared" si="87"/>
        <v>1</v>
      </c>
      <c r="AJ912" t="str">
        <f t="shared" si="88"/>
        <v>OK</v>
      </c>
      <c r="AK912">
        <f t="shared" si="89"/>
        <v>1</v>
      </c>
    </row>
    <row r="913" spans="1:37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  <c r="V913" s="1" t="s">
        <v>61</v>
      </c>
      <c r="W913" s="1" t="s">
        <v>41</v>
      </c>
      <c r="X913" s="1" t="s">
        <v>42</v>
      </c>
      <c r="Y913" s="1" t="s">
        <v>121</v>
      </c>
      <c r="Z913" s="1" t="s">
        <v>122</v>
      </c>
      <c r="AA913" s="1" t="s">
        <v>45</v>
      </c>
      <c r="AB913" s="1" t="s">
        <v>65</v>
      </c>
      <c r="AC913" s="1" t="s">
        <v>67</v>
      </c>
      <c r="AD913" s="1" t="s">
        <v>137</v>
      </c>
      <c r="AE913" s="1" t="s">
        <v>125</v>
      </c>
      <c r="AF913" s="5">
        <f t="shared" si="84"/>
        <v>45343</v>
      </c>
      <c r="AG913" s="5">
        <f t="shared" si="85"/>
        <v>45349</v>
      </c>
      <c r="AH913" s="5" t="b">
        <f t="shared" si="86"/>
        <v>1</v>
      </c>
      <c r="AI913" s="5" t="b">
        <f t="shared" si="87"/>
        <v>1</v>
      </c>
      <c r="AJ913" t="str">
        <f t="shared" si="88"/>
        <v>OK</v>
      </c>
      <c r="AK913">
        <f t="shared" si="89"/>
        <v>6</v>
      </c>
    </row>
    <row r="914" spans="1:37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  <c r="V914" s="1" t="s">
        <v>366</v>
      </c>
      <c r="W914" s="1" t="s">
        <v>41</v>
      </c>
      <c r="X914" s="1" t="s">
        <v>42</v>
      </c>
      <c r="Y914" s="1" t="s">
        <v>43</v>
      </c>
      <c r="Z914" s="1" t="s">
        <v>44</v>
      </c>
      <c r="AA914" s="1" t="s">
        <v>30</v>
      </c>
      <c r="AB914" s="1" t="s">
        <v>156</v>
      </c>
      <c r="AC914" s="1" t="s">
        <v>48</v>
      </c>
      <c r="AD914" s="1" t="s">
        <v>34</v>
      </c>
      <c r="AE914" s="1" t="s">
        <v>35</v>
      </c>
      <c r="AF914" s="5">
        <f t="shared" si="84"/>
        <v>45801</v>
      </c>
      <c r="AG914" s="5" t="e">
        <f t="shared" si="85"/>
        <v>#N/A</v>
      </c>
      <c r="AH914" s="5" t="b">
        <f t="shared" si="86"/>
        <v>1</v>
      </c>
      <c r="AI914" s="5" t="b">
        <f t="shared" si="87"/>
        <v>0</v>
      </c>
      <c r="AJ914" t="e">
        <f t="shared" si="88"/>
        <v>#N/A</v>
      </c>
      <c r="AK914" t="e">
        <f t="shared" si="89"/>
        <v>#N/A</v>
      </c>
    </row>
    <row r="915" spans="1:37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  <c r="V915" s="1" t="s">
        <v>107</v>
      </c>
      <c r="W915" s="1" t="s">
        <v>26</v>
      </c>
      <c r="X915" s="1" t="s">
        <v>62</v>
      </c>
      <c r="Y915" s="1" t="s">
        <v>229</v>
      </c>
      <c r="Z915" s="1" t="s">
        <v>230</v>
      </c>
      <c r="AA915" s="1" t="s">
        <v>86</v>
      </c>
      <c r="AB915" s="1" t="s">
        <v>94</v>
      </c>
      <c r="AC915" s="1" t="s">
        <v>67</v>
      </c>
      <c r="AD915" s="1" t="s">
        <v>34</v>
      </c>
      <c r="AE915" s="1" t="s">
        <v>35</v>
      </c>
      <c r="AF915" s="5">
        <f t="shared" si="84"/>
        <v>45649</v>
      </c>
      <c r="AG915" s="5" t="e">
        <f t="shared" si="85"/>
        <v>#N/A</v>
      </c>
      <c r="AH915" s="5" t="b">
        <f t="shared" si="86"/>
        <v>1</v>
      </c>
      <c r="AI915" s="5" t="b">
        <f t="shared" si="87"/>
        <v>0</v>
      </c>
      <c r="AJ915" t="e">
        <f t="shared" si="88"/>
        <v>#N/A</v>
      </c>
      <c r="AK915" t="e">
        <f t="shared" si="89"/>
        <v>#N/A</v>
      </c>
    </row>
    <row r="916" spans="1:37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  <c r="V916" s="1" t="s">
        <v>53</v>
      </c>
      <c r="W916" s="1" t="s">
        <v>115</v>
      </c>
      <c r="X916" s="1" t="s">
        <v>73</v>
      </c>
      <c r="Y916" s="1" t="s">
        <v>84</v>
      </c>
      <c r="Z916" s="1" t="s">
        <v>85</v>
      </c>
      <c r="AA916" s="1" t="s">
        <v>45</v>
      </c>
      <c r="AB916" s="1" t="s">
        <v>76</v>
      </c>
      <c r="AC916" s="1" t="s">
        <v>56</v>
      </c>
      <c r="AD916" s="1" t="s">
        <v>34</v>
      </c>
      <c r="AE916" s="1" t="s">
        <v>35</v>
      </c>
      <c r="AF916" s="5">
        <f t="shared" si="84"/>
        <v>45332</v>
      </c>
      <c r="AG916" s="5">
        <f t="shared" si="85"/>
        <v>45340</v>
      </c>
      <c r="AH916" s="5" t="b">
        <f t="shared" si="86"/>
        <v>1</v>
      </c>
      <c r="AI916" s="5" t="b">
        <f t="shared" si="87"/>
        <v>1</v>
      </c>
      <c r="AJ916" t="str">
        <f t="shared" si="88"/>
        <v>OK</v>
      </c>
      <c r="AK916">
        <f t="shared" si="89"/>
        <v>8</v>
      </c>
    </row>
    <row r="917" spans="1:37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  <c r="V917" s="1" t="s">
        <v>40</v>
      </c>
      <c r="W917" s="1" t="s">
        <v>108</v>
      </c>
      <c r="X917" s="1" t="s">
        <v>62</v>
      </c>
      <c r="Y917" s="1" t="s">
        <v>63</v>
      </c>
      <c r="Z917" s="1" t="s">
        <v>64</v>
      </c>
      <c r="AA917" s="1" t="s">
        <v>30</v>
      </c>
      <c r="AB917" s="1" t="s">
        <v>54</v>
      </c>
      <c r="AC917" s="1" t="s">
        <v>33</v>
      </c>
      <c r="AD917" s="1" t="s">
        <v>34</v>
      </c>
      <c r="AE917" s="1" t="s">
        <v>35</v>
      </c>
      <c r="AF917" s="5">
        <f t="shared" si="84"/>
        <v>45941</v>
      </c>
      <c r="AG917" s="5">
        <f t="shared" si="85"/>
        <v>45943</v>
      </c>
      <c r="AH917" s="5" t="b">
        <f t="shared" si="86"/>
        <v>1</v>
      </c>
      <c r="AI917" s="5" t="b">
        <f t="shared" si="87"/>
        <v>1</v>
      </c>
      <c r="AJ917" t="str">
        <f t="shared" si="88"/>
        <v>OK</v>
      </c>
      <c r="AK917">
        <f t="shared" si="89"/>
        <v>2</v>
      </c>
    </row>
    <row r="918" spans="1:37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  <c r="V918" s="1" t="s">
        <v>53</v>
      </c>
      <c r="W918" s="1" t="s">
        <v>115</v>
      </c>
      <c r="X918" s="1" t="s">
        <v>73</v>
      </c>
      <c r="Y918" s="1" t="s">
        <v>235</v>
      </c>
      <c r="Z918" s="1" t="s">
        <v>236</v>
      </c>
      <c r="AA918" s="1" t="s">
        <v>45</v>
      </c>
      <c r="AB918" s="1" t="s">
        <v>204</v>
      </c>
      <c r="AC918" s="1" t="s">
        <v>67</v>
      </c>
      <c r="AD918" s="1" t="s">
        <v>34</v>
      </c>
      <c r="AE918" s="1" t="s">
        <v>35</v>
      </c>
      <c r="AF918" s="5">
        <f t="shared" si="84"/>
        <v>45357</v>
      </c>
      <c r="AG918" s="5">
        <f t="shared" si="85"/>
        <v>45629</v>
      </c>
      <c r="AH918" s="5" t="b">
        <f t="shared" si="86"/>
        <v>1</v>
      </c>
      <c r="AI918" s="5" t="b">
        <f t="shared" si="87"/>
        <v>1</v>
      </c>
      <c r="AJ918" t="str">
        <f t="shared" si="88"/>
        <v>OK</v>
      </c>
      <c r="AK918">
        <f t="shared" si="89"/>
        <v>272</v>
      </c>
    </row>
    <row r="919" spans="1:37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  <c r="V919" s="1" t="s">
        <v>142</v>
      </c>
      <c r="W919" s="1" t="s">
        <v>108</v>
      </c>
      <c r="X919" s="1" t="s">
        <v>73</v>
      </c>
      <c r="Y919" s="1" t="s">
        <v>84</v>
      </c>
      <c r="Z919" s="1" t="s">
        <v>85</v>
      </c>
      <c r="AA919" s="1" t="s">
        <v>30</v>
      </c>
      <c r="AB919" s="1" t="s">
        <v>156</v>
      </c>
      <c r="AC919" s="1" t="s">
        <v>33</v>
      </c>
      <c r="AD919" s="1" t="s">
        <v>34</v>
      </c>
      <c r="AE919" s="1" t="s">
        <v>35</v>
      </c>
      <c r="AF919" s="5">
        <f t="shared" si="84"/>
        <v>45687</v>
      </c>
      <c r="AG919" s="5" t="e">
        <f t="shared" si="85"/>
        <v>#N/A</v>
      </c>
      <c r="AH919" s="5" t="b">
        <f t="shared" si="86"/>
        <v>1</v>
      </c>
      <c r="AI919" s="5" t="b">
        <f t="shared" si="87"/>
        <v>0</v>
      </c>
      <c r="AJ919" t="e">
        <f t="shared" si="88"/>
        <v>#N/A</v>
      </c>
      <c r="AK919" t="e">
        <f t="shared" si="89"/>
        <v>#N/A</v>
      </c>
    </row>
    <row r="920" spans="1:37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  <c r="V920" s="1" t="s">
        <v>148</v>
      </c>
      <c r="W920" s="1" t="s">
        <v>41</v>
      </c>
      <c r="X920" s="1" t="s">
        <v>27</v>
      </c>
      <c r="Y920" s="1" t="s">
        <v>506</v>
      </c>
      <c r="Z920" s="1" t="s">
        <v>507</v>
      </c>
      <c r="AA920" s="1" t="s">
        <v>86</v>
      </c>
      <c r="AB920" s="1" t="s">
        <v>223</v>
      </c>
      <c r="AC920" s="1" t="s">
        <v>48</v>
      </c>
      <c r="AD920" s="1" t="s">
        <v>34</v>
      </c>
      <c r="AE920" s="1" t="s">
        <v>35</v>
      </c>
      <c r="AF920" s="5">
        <f t="shared" si="84"/>
        <v>45911</v>
      </c>
      <c r="AG920" s="5">
        <f t="shared" si="85"/>
        <v>45918</v>
      </c>
      <c r="AH920" s="5" t="b">
        <f t="shared" si="86"/>
        <v>1</v>
      </c>
      <c r="AI920" s="5" t="b">
        <f t="shared" si="87"/>
        <v>1</v>
      </c>
      <c r="AJ920" t="str">
        <f t="shared" si="88"/>
        <v>OK</v>
      </c>
      <c r="AK920">
        <f t="shared" si="89"/>
        <v>7</v>
      </c>
    </row>
    <row r="921" spans="1:37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  <c r="V921" s="1" t="s">
        <v>93</v>
      </c>
      <c r="W921" s="1" t="s">
        <v>26</v>
      </c>
      <c r="X921" s="1" t="s">
        <v>42</v>
      </c>
      <c r="Y921" s="1" t="s">
        <v>43</v>
      </c>
      <c r="Z921" s="1" t="s">
        <v>44</v>
      </c>
      <c r="AA921" s="1" t="s">
        <v>86</v>
      </c>
      <c r="AB921" s="1" t="s">
        <v>94</v>
      </c>
      <c r="AC921" s="1" t="s">
        <v>67</v>
      </c>
      <c r="AD921" s="1" t="s">
        <v>34</v>
      </c>
      <c r="AE921" s="1" t="s">
        <v>35</v>
      </c>
      <c r="AF921" s="5">
        <f t="shared" si="84"/>
        <v>45757</v>
      </c>
      <c r="AG921" s="5">
        <f t="shared" si="85"/>
        <v>45763</v>
      </c>
      <c r="AH921" s="5" t="b">
        <f t="shared" si="86"/>
        <v>1</v>
      </c>
      <c r="AI921" s="5" t="b">
        <f t="shared" si="87"/>
        <v>1</v>
      </c>
      <c r="AJ921" t="str">
        <f t="shared" si="88"/>
        <v>OK</v>
      </c>
      <c r="AK921">
        <f t="shared" si="89"/>
        <v>6</v>
      </c>
    </row>
    <row r="922" spans="1:37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  <c r="V922" s="1" t="s">
        <v>168</v>
      </c>
      <c r="W922" s="1" t="s">
        <v>115</v>
      </c>
      <c r="X922" s="1" t="s">
        <v>42</v>
      </c>
      <c r="Y922" s="1" t="s">
        <v>43</v>
      </c>
      <c r="Z922" s="1" t="s">
        <v>44</v>
      </c>
      <c r="AA922" s="1" t="s">
        <v>30</v>
      </c>
      <c r="AB922" s="1" t="s">
        <v>198</v>
      </c>
      <c r="AC922" s="1" t="s">
        <v>33</v>
      </c>
      <c r="AD922" s="1" t="s">
        <v>34</v>
      </c>
      <c r="AE922" s="1" t="s">
        <v>35</v>
      </c>
      <c r="AF922" s="5">
        <f t="shared" si="84"/>
        <v>45394</v>
      </c>
      <c r="AG922" s="5">
        <f t="shared" si="85"/>
        <v>45632</v>
      </c>
      <c r="AH922" s="5" t="b">
        <f t="shared" si="86"/>
        <v>1</v>
      </c>
      <c r="AI922" s="5" t="b">
        <f t="shared" si="87"/>
        <v>1</v>
      </c>
      <c r="AJ922" t="str">
        <f t="shared" si="88"/>
        <v>OK</v>
      </c>
      <c r="AK922">
        <f t="shared" si="89"/>
        <v>238</v>
      </c>
    </row>
    <row r="923" spans="1:37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  <c r="V923" s="1" t="s">
        <v>162</v>
      </c>
      <c r="W923" s="1" t="s">
        <v>41</v>
      </c>
      <c r="X923" s="1" t="s">
        <v>42</v>
      </c>
      <c r="Y923" s="1" t="s">
        <v>186</v>
      </c>
      <c r="Z923" s="1" t="s">
        <v>187</v>
      </c>
      <c r="AA923" s="1" t="s">
        <v>86</v>
      </c>
      <c r="AB923" s="1" t="s">
        <v>94</v>
      </c>
      <c r="AC923" s="1" t="s">
        <v>56</v>
      </c>
      <c r="AD923" s="1" t="s">
        <v>34</v>
      </c>
      <c r="AE923" s="1" t="s">
        <v>125</v>
      </c>
      <c r="AF923" s="5">
        <f t="shared" si="84"/>
        <v>45893</v>
      </c>
      <c r="AG923" s="5">
        <f t="shared" si="85"/>
        <v>45898</v>
      </c>
      <c r="AH923" s="5" t="b">
        <f t="shared" si="86"/>
        <v>1</v>
      </c>
      <c r="AI923" s="5" t="b">
        <f t="shared" si="87"/>
        <v>1</v>
      </c>
      <c r="AJ923" t="str">
        <f t="shared" si="88"/>
        <v>OK</v>
      </c>
      <c r="AK923">
        <f t="shared" si="89"/>
        <v>5</v>
      </c>
    </row>
    <row r="924" spans="1:37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  <c r="V924" s="1" t="s">
        <v>168</v>
      </c>
      <c r="W924" s="1" t="s">
        <v>41</v>
      </c>
      <c r="X924" s="1" t="s">
        <v>27</v>
      </c>
      <c r="Y924" s="1" t="s">
        <v>174</v>
      </c>
      <c r="Z924" s="1" t="s">
        <v>175</v>
      </c>
      <c r="AA924" s="1" t="s">
        <v>30</v>
      </c>
      <c r="AB924" s="1" t="s">
        <v>156</v>
      </c>
      <c r="AC924" s="1" t="s">
        <v>33</v>
      </c>
      <c r="AD924" s="1" t="s">
        <v>34</v>
      </c>
      <c r="AE924" s="1" t="s">
        <v>125</v>
      </c>
      <c r="AF924" s="5">
        <f t="shared" si="84"/>
        <v>45760</v>
      </c>
      <c r="AG924" s="5">
        <f t="shared" si="85"/>
        <v>45760</v>
      </c>
      <c r="AH924" s="5" t="b">
        <f t="shared" si="86"/>
        <v>1</v>
      </c>
      <c r="AI924" s="5" t="b">
        <f t="shared" si="87"/>
        <v>1</v>
      </c>
      <c r="AJ924" t="str">
        <f t="shared" si="88"/>
        <v>OK</v>
      </c>
      <c r="AK924">
        <f t="shared" si="89"/>
        <v>0</v>
      </c>
    </row>
    <row r="925" spans="1:37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  <c r="V925" s="1" t="s">
        <v>53</v>
      </c>
      <c r="W925" s="1" t="s">
        <v>41</v>
      </c>
      <c r="X925" s="1" t="s">
        <v>27</v>
      </c>
      <c r="Y925" s="1" t="s">
        <v>154</v>
      </c>
      <c r="Z925" s="1" t="s">
        <v>155</v>
      </c>
      <c r="AA925" s="1" t="s">
        <v>45</v>
      </c>
      <c r="AB925" s="1" t="s">
        <v>65</v>
      </c>
      <c r="AC925" s="1" t="s">
        <v>67</v>
      </c>
      <c r="AD925" s="1" t="s">
        <v>34</v>
      </c>
      <c r="AE925" s="1" t="s">
        <v>125</v>
      </c>
      <c r="AF925" s="5">
        <f t="shared" si="84"/>
        <v>45932</v>
      </c>
      <c r="AG925" s="5">
        <f t="shared" si="85"/>
        <v>45938</v>
      </c>
      <c r="AH925" s="5" t="b">
        <f t="shared" si="86"/>
        <v>1</v>
      </c>
      <c r="AI925" s="5" t="b">
        <f t="shared" si="87"/>
        <v>1</v>
      </c>
      <c r="AJ925" t="str">
        <f t="shared" si="88"/>
        <v>OK</v>
      </c>
      <c r="AK925">
        <f t="shared" si="89"/>
        <v>6</v>
      </c>
    </row>
    <row r="926" spans="1:37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  <c r="V926" s="1" t="s">
        <v>53</v>
      </c>
      <c r="W926" s="1" t="s">
        <v>108</v>
      </c>
      <c r="X926" s="1" t="s">
        <v>73</v>
      </c>
      <c r="Y926" s="1" t="s">
        <v>84</v>
      </c>
      <c r="Z926" s="1" t="s">
        <v>85</v>
      </c>
      <c r="AA926" s="1" t="s">
        <v>30</v>
      </c>
      <c r="AB926" s="1" t="s">
        <v>109</v>
      </c>
      <c r="AC926" s="1" t="s">
        <v>67</v>
      </c>
      <c r="AD926" s="1" t="s">
        <v>200</v>
      </c>
      <c r="AE926" s="1" t="s">
        <v>35</v>
      </c>
      <c r="AF926" s="5">
        <f t="shared" si="84"/>
        <v>45795</v>
      </c>
      <c r="AG926" s="5">
        <f t="shared" si="85"/>
        <v>45797</v>
      </c>
      <c r="AH926" s="5" t="b">
        <f t="shared" si="86"/>
        <v>1</v>
      </c>
      <c r="AI926" s="5" t="b">
        <f t="shared" si="87"/>
        <v>1</v>
      </c>
      <c r="AJ926" t="str">
        <f t="shared" si="88"/>
        <v>OK</v>
      </c>
      <c r="AK926">
        <f t="shared" si="89"/>
        <v>2</v>
      </c>
    </row>
    <row r="927" spans="1:37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  <c r="V927" s="1" t="s">
        <v>180</v>
      </c>
      <c r="W927" s="1" t="s">
        <v>108</v>
      </c>
      <c r="X927" s="1" t="s">
        <v>42</v>
      </c>
      <c r="Y927" s="1" t="s">
        <v>186</v>
      </c>
      <c r="Z927" s="1" t="s">
        <v>187</v>
      </c>
      <c r="AA927" s="1" t="s">
        <v>86</v>
      </c>
      <c r="AB927" s="1" t="s">
        <v>94</v>
      </c>
      <c r="AC927" s="1" t="s">
        <v>67</v>
      </c>
      <c r="AD927" s="1" t="s">
        <v>34</v>
      </c>
      <c r="AE927" s="1" t="s">
        <v>125</v>
      </c>
      <c r="AF927" s="5">
        <f t="shared" si="84"/>
        <v>45847</v>
      </c>
      <c r="AG927" s="5">
        <f t="shared" si="85"/>
        <v>45915</v>
      </c>
      <c r="AH927" s="5" t="b">
        <f t="shared" si="86"/>
        <v>1</v>
      </c>
      <c r="AI927" s="5" t="b">
        <f t="shared" si="87"/>
        <v>1</v>
      </c>
      <c r="AJ927" t="str">
        <f t="shared" si="88"/>
        <v>OK</v>
      </c>
      <c r="AK927">
        <f t="shared" si="89"/>
        <v>68</v>
      </c>
    </row>
    <row r="928" spans="1:37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  <c r="V928" s="1" t="s">
        <v>210</v>
      </c>
      <c r="W928" s="1" t="s">
        <v>26</v>
      </c>
      <c r="X928" s="1" t="s">
        <v>62</v>
      </c>
      <c r="Y928" s="1" t="s">
        <v>242</v>
      </c>
      <c r="Z928" s="1" t="s">
        <v>243</v>
      </c>
      <c r="AA928" s="1" t="s">
        <v>86</v>
      </c>
      <c r="AB928" s="1" t="s">
        <v>87</v>
      </c>
      <c r="AC928" s="1" t="s">
        <v>56</v>
      </c>
      <c r="AD928" s="1" t="s">
        <v>34</v>
      </c>
      <c r="AE928" s="1" t="s">
        <v>125</v>
      </c>
      <c r="AF928" s="5">
        <f t="shared" si="84"/>
        <v>45342</v>
      </c>
      <c r="AG928" s="5" t="e">
        <f t="shared" si="85"/>
        <v>#N/A</v>
      </c>
      <c r="AH928" s="5" t="b">
        <f t="shared" si="86"/>
        <v>1</v>
      </c>
      <c r="AI928" s="5" t="b">
        <f t="shared" si="87"/>
        <v>0</v>
      </c>
      <c r="AJ928" t="e">
        <f t="shared" si="88"/>
        <v>#N/A</v>
      </c>
      <c r="AK928" t="e">
        <f t="shared" si="89"/>
        <v>#N/A</v>
      </c>
    </row>
    <row r="929" spans="1:37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  <c r="V929" s="1" t="s">
        <v>142</v>
      </c>
      <c r="W929" s="1" t="s">
        <v>41</v>
      </c>
      <c r="X929" s="1" t="s">
        <v>27</v>
      </c>
      <c r="Y929" s="1" t="s">
        <v>174</v>
      </c>
      <c r="Z929" s="1" t="s">
        <v>175</v>
      </c>
      <c r="AA929" s="1" t="s">
        <v>86</v>
      </c>
      <c r="AB929" s="1" t="s">
        <v>223</v>
      </c>
      <c r="AC929" s="1" t="s">
        <v>4119</v>
      </c>
      <c r="AD929" s="1" t="s">
        <v>200</v>
      </c>
      <c r="AE929" s="1" t="s">
        <v>35</v>
      </c>
      <c r="AF929" s="5">
        <f t="shared" si="84"/>
        <v>45698</v>
      </c>
      <c r="AG929" s="5">
        <f t="shared" si="85"/>
        <v>45702</v>
      </c>
      <c r="AH929" s="5" t="b">
        <f t="shared" si="86"/>
        <v>1</v>
      </c>
      <c r="AI929" s="5" t="b">
        <f t="shared" si="87"/>
        <v>1</v>
      </c>
      <c r="AJ929" t="str">
        <f t="shared" si="88"/>
        <v>OK</v>
      </c>
      <c r="AK929">
        <f t="shared" si="89"/>
        <v>4</v>
      </c>
    </row>
    <row r="930" spans="1:37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  <c r="V930" s="1" t="s">
        <v>107</v>
      </c>
      <c r="W930" s="1" t="s">
        <v>115</v>
      </c>
      <c r="X930" s="1" t="s">
        <v>27</v>
      </c>
      <c r="Y930" s="1" t="s">
        <v>28</v>
      </c>
      <c r="Z930" s="1" t="s">
        <v>29</v>
      </c>
      <c r="AA930" s="1" t="s">
        <v>86</v>
      </c>
      <c r="AB930" s="1" t="s">
        <v>223</v>
      </c>
      <c r="AC930" s="1" t="s">
        <v>33</v>
      </c>
      <c r="AD930" s="1" t="s">
        <v>34</v>
      </c>
      <c r="AE930" s="1" t="s">
        <v>125</v>
      </c>
      <c r="AF930" s="5">
        <f t="shared" si="84"/>
        <v>45381</v>
      </c>
      <c r="AG930" s="5">
        <f t="shared" si="85"/>
        <v>45377</v>
      </c>
      <c r="AH930" s="5" t="b">
        <f t="shared" si="86"/>
        <v>1</v>
      </c>
      <c r="AI930" s="5" t="b">
        <f t="shared" si="87"/>
        <v>1</v>
      </c>
      <c r="AJ930" t="str">
        <f t="shared" si="88"/>
        <v>Invalid: Ship before Order</v>
      </c>
      <c r="AK930" t="e">
        <f t="shared" si="89"/>
        <v>#NUM!</v>
      </c>
    </row>
    <row r="931" spans="1:37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  <c r="V931" s="1" t="s">
        <v>61</v>
      </c>
      <c r="W931" s="1" t="s">
        <v>26</v>
      </c>
      <c r="X931" s="1" t="s">
        <v>62</v>
      </c>
      <c r="Y931" s="1" t="s">
        <v>100</v>
      </c>
      <c r="Z931" s="1" t="s">
        <v>101</v>
      </c>
      <c r="AA931" s="1" t="s">
        <v>45</v>
      </c>
      <c r="AB931" s="1" t="s">
        <v>76</v>
      </c>
      <c r="AC931" s="1" t="s">
        <v>56</v>
      </c>
      <c r="AD931" s="1" t="s">
        <v>34</v>
      </c>
      <c r="AE931" s="1" t="s">
        <v>125</v>
      </c>
      <c r="AF931" s="5">
        <f t="shared" si="84"/>
        <v>45522</v>
      </c>
      <c r="AG931" s="5">
        <f t="shared" si="85"/>
        <v>45528</v>
      </c>
      <c r="AH931" s="5" t="b">
        <f t="shared" si="86"/>
        <v>1</v>
      </c>
      <c r="AI931" s="5" t="b">
        <f t="shared" si="87"/>
        <v>1</v>
      </c>
      <c r="AJ931" t="str">
        <f t="shared" si="88"/>
        <v>OK</v>
      </c>
      <c r="AK931">
        <f t="shared" si="89"/>
        <v>6</v>
      </c>
    </row>
    <row r="932" spans="1:37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  <c r="V932" s="1" t="s">
        <v>168</v>
      </c>
      <c r="W932" s="1" t="s">
        <v>41</v>
      </c>
      <c r="X932" s="1" t="s">
        <v>27</v>
      </c>
      <c r="Y932" s="1" t="s">
        <v>154</v>
      </c>
      <c r="Z932" s="1" t="s">
        <v>155</v>
      </c>
      <c r="AA932" s="1" t="s">
        <v>86</v>
      </c>
      <c r="AB932" s="1" t="s">
        <v>94</v>
      </c>
      <c r="AC932" s="1" t="s">
        <v>48</v>
      </c>
      <c r="AD932" s="1" t="s">
        <v>124</v>
      </c>
      <c r="AE932" s="1" t="s">
        <v>125</v>
      </c>
      <c r="AF932" s="5">
        <f t="shared" si="84"/>
        <v>45436</v>
      </c>
      <c r="AG932" s="5">
        <f t="shared" si="85"/>
        <v>45437</v>
      </c>
      <c r="AH932" s="5" t="b">
        <f t="shared" si="86"/>
        <v>1</v>
      </c>
      <c r="AI932" s="5" t="b">
        <f t="shared" si="87"/>
        <v>1</v>
      </c>
      <c r="AJ932" t="str">
        <f t="shared" si="88"/>
        <v>OK</v>
      </c>
      <c r="AK932">
        <f t="shared" si="89"/>
        <v>1</v>
      </c>
    </row>
    <row r="933" spans="1:37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  <c r="V933" s="1" t="s">
        <v>148</v>
      </c>
      <c r="W933" s="1" t="s">
        <v>115</v>
      </c>
      <c r="X933" s="1" t="s">
        <v>73</v>
      </c>
      <c r="Y933" s="1" t="s">
        <v>84</v>
      </c>
      <c r="Z933" s="1" t="s">
        <v>85</v>
      </c>
      <c r="AA933" s="1" t="s">
        <v>30</v>
      </c>
      <c r="AB933" s="1" t="s">
        <v>31</v>
      </c>
      <c r="AC933" s="1" t="s">
        <v>56</v>
      </c>
      <c r="AD933" s="1" t="s">
        <v>34</v>
      </c>
      <c r="AE933" s="1" t="s">
        <v>125</v>
      </c>
      <c r="AF933" s="5">
        <f t="shared" si="84"/>
        <v>45824</v>
      </c>
      <c r="AG933" s="5">
        <f t="shared" si="85"/>
        <v>45826</v>
      </c>
      <c r="AH933" s="5" t="b">
        <f t="shared" si="86"/>
        <v>1</v>
      </c>
      <c r="AI933" s="5" t="b">
        <f t="shared" si="87"/>
        <v>1</v>
      </c>
      <c r="AJ933" t="str">
        <f t="shared" si="88"/>
        <v>OK</v>
      </c>
      <c r="AK933">
        <f t="shared" si="89"/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3609-C7EF-4DFE-99E1-6164A887950A}">
  <dimension ref="A1:AK933"/>
  <sheetViews>
    <sheetView tabSelected="1" topLeftCell="H1" zoomScale="101" workbookViewId="0">
      <selection activeCell="M8" sqref="M8"/>
    </sheetView>
  </sheetViews>
  <sheetFormatPr defaultRowHeight="14"/>
  <cols>
    <col min="1" max="21" width="16" customWidth="1"/>
    <col min="22" max="22" width="15.5" customWidth="1"/>
    <col min="23" max="23" width="13" customWidth="1"/>
    <col min="24" max="24" width="7.1640625" customWidth="1"/>
    <col min="25" max="25" width="14.4140625" customWidth="1"/>
    <col min="26" max="26" width="11.6640625" customWidth="1"/>
    <col min="27" max="27" width="13.08203125" customWidth="1"/>
    <col min="28" max="28" width="13.5" customWidth="1"/>
    <col min="29" max="29" width="13.25" customWidth="1"/>
    <col min="30" max="30" width="15.1640625" customWidth="1"/>
    <col min="31" max="31" width="12.33203125" customWidth="1"/>
    <col min="32" max="32" width="15.58203125" style="5" customWidth="1"/>
    <col min="33" max="33" width="15.4140625" style="5" bestFit="1" customWidth="1"/>
    <col min="34" max="35" width="15.4140625" style="5" customWidth="1"/>
    <col min="36" max="36" width="17.1640625" bestFit="1" customWidth="1"/>
    <col min="37" max="37" width="19.33203125" bestFit="1" customWidth="1"/>
  </cols>
  <sheetData>
    <row r="1" spans="1:37" ht="18.64999999999999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4109</v>
      </c>
      <c r="W1" s="4" t="s">
        <v>4110</v>
      </c>
      <c r="X1" s="4" t="s">
        <v>4111</v>
      </c>
      <c r="Y1" s="4" t="s">
        <v>4112</v>
      </c>
      <c r="Z1" s="4" t="s">
        <v>4113</v>
      </c>
      <c r="AA1" s="4" t="s">
        <v>4114</v>
      </c>
      <c r="AB1" s="4" t="s">
        <v>4115</v>
      </c>
      <c r="AC1" s="4" t="s">
        <v>4116</v>
      </c>
      <c r="AD1" s="4" t="s">
        <v>4117</v>
      </c>
      <c r="AE1" s="4" t="s">
        <v>4118</v>
      </c>
      <c r="AF1" s="6" t="s">
        <v>4120</v>
      </c>
      <c r="AG1" s="6" t="s">
        <v>4121</v>
      </c>
      <c r="AH1" s="6" t="s">
        <v>4123</v>
      </c>
      <c r="AI1" s="6" t="s">
        <v>4124</v>
      </c>
      <c r="AJ1" s="6" t="s">
        <v>4122</v>
      </c>
      <c r="AK1" s="6" t="s">
        <v>4125</v>
      </c>
    </row>
    <row r="2" spans="1:37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33</v>
      </c>
      <c r="AD2" s="1" t="s">
        <v>34</v>
      </c>
      <c r="AE2" s="1" t="s">
        <v>35</v>
      </c>
      <c r="AF2" s="5">
        <f>IFERROR(DATEVALUE(B2),IFERROR(DATE(VALUE(RIGHT(B2,4)),VALUE(MID(SUBSTITUTE(B2,"-","/"),6,2)),VALUE(LEFT(B2,2))),NA()))</f>
        <v>45494</v>
      </c>
      <c r="AG2" s="5">
        <f>IFERROR(DATEVALUE(C2),IFERROR(DATE(VALUE(RIGHT(C2,4)),VALUE(MID(SUBSTITUTE(C2,"-","/"),6,2)),VALUE(LEFT(C2,2))),NA()))</f>
        <v>45500</v>
      </c>
      <c r="AH2" s="5" t="b">
        <f>ISNUMBER(AF2)</f>
        <v>1</v>
      </c>
      <c r="AI2" s="5" t="b">
        <f>ISNUMBER(AG2)</f>
        <v>1</v>
      </c>
      <c r="AJ2" t="str">
        <f>IF(AG2&lt;AF2,"Invalid: Ship before Order","OK")</f>
        <v>OK</v>
      </c>
      <c r="AK2">
        <f>DATEDIF(AF2, AG2, "D")</f>
        <v>6</v>
      </c>
    </row>
    <row r="3" spans="1:37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  <c r="V3" s="1" t="s">
        <v>40</v>
      </c>
      <c r="W3" s="1" t="s">
        <v>41</v>
      </c>
      <c r="X3" s="1" t="s">
        <v>42</v>
      </c>
      <c r="Y3" s="1" t="s">
        <v>43</v>
      </c>
      <c r="Z3" s="1" t="s">
        <v>44</v>
      </c>
      <c r="AA3" s="1" t="s">
        <v>45</v>
      </c>
      <c r="AB3" s="1" t="s">
        <v>46</v>
      </c>
      <c r="AC3" s="1" t="s">
        <v>48</v>
      </c>
      <c r="AD3" s="1" t="s">
        <v>34</v>
      </c>
      <c r="AE3" s="1" t="s">
        <v>35</v>
      </c>
      <c r="AF3" s="5">
        <f t="shared" ref="AF3:AG66" si="0">IFERROR(DATEVALUE(B3),IFERROR(DATE(VALUE(RIGHT(B3,4)),VALUE(MID(SUBSTITUTE(B3,"-","/"),6,2)),VALUE(LEFT(B3,2))),NA()))</f>
        <v>45535</v>
      </c>
      <c r="AG3" s="5">
        <f t="shared" si="0"/>
        <v>45540</v>
      </c>
      <c r="AH3" s="5" t="b">
        <f t="shared" ref="AH3:AI66" si="1">ISNUMBER(AF3)</f>
        <v>1</v>
      </c>
      <c r="AI3" s="5" t="b">
        <f t="shared" si="1"/>
        <v>1</v>
      </c>
      <c r="AJ3" t="str">
        <f t="shared" ref="AJ3:AJ66" si="2">IF(AG3&lt;AF3,"Invalid: Ship before Order","OK")</f>
        <v>OK</v>
      </c>
      <c r="AK3">
        <f t="shared" ref="AK3:AK66" si="3">DATEDIF(AF3, AG3, "D")</f>
        <v>5</v>
      </c>
    </row>
    <row r="4" spans="1:37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  <c r="V4" s="1" t="s">
        <v>53</v>
      </c>
      <c r="W4" s="1" t="s">
        <v>26</v>
      </c>
      <c r="X4" s="1" t="s">
        <v>42</v>
      </c>
      <c r="Y4" s="1" t="s">
        <v>43</v>
      </c>
      <c r="Z4" s="1" t="s">
        <v>44</v>
      </c>
      <c r="AA4" s="1" t="s">
        <v>30</v>
      </c>
      <c r="AB4" s="1" t="s">
        <v>54</v>
      </c>
      <c r="AC4" s="1" t="s">
        <v>56</v>
      </c>
      <c r="AD4" s="1" t="s">
        <v>34</v>
      </c>
      <c r="AE4" s="1" t="s">
        <v>35</v>
      </c>
      <c r="AF4" s="5">
        <f t="shared" si="0"/>
        <v>45451</v>
      </c>
      <c r="AG4" s="5">
        <f t="shared" si="0"/>
        <v>45458</v>
      </c>
      <c r="AH4" s="5" t="b">
        <f t="shared" si="1"/>
        <v>1</v>
      </c>
      <c r="AI4" s="5" t="b">
        <f t="shared" si="1"/>
        <v>1</v>
      </c>
      <c r="AJ4" t="str">
        <f t="shared" si="2"/>
        <v>OK</v>
      </c>
      <c r="AK4">
        <f t="shared" si="3"/>
        <v>7</v>
      </c>
    </row>
    <row r="5" spans="1:37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  <c r="V5" s="1" t="s">
        <v>61</v>
      </c>
      <c r="W5" s="1" t="s">
        <v>41</v>
      </c>
      <c r="X5" s="1" t="s">
        <v>62</v>
      </c>
      <c r="Y5" s="1" t="s">
        <v>63</v>
      </c>
      <c r="Z5" s="1" t="s">
        <v>64</v>
      </c>
      <c r="AA5" s="1" t="s">
        <v>45</v>
      </c>
      <c r="AB5" s="1" t="s">
        <v>65</v>
      </c>
      <c r="AC5" s="1" t="s">
        <v>67</v>
      </c>
      <c r="AD5" s="1" t="s">
        <v>34</v>
      </c>
      <c r="AE5" s="1" t="s">
        <v>35</v>
      </c>
      <c r="AF5" s="5" t="e">
        <f t="shared" si="0"/>
        <v>#N/A</v>
      </c>
      <c r="AG5" s="5">
        <f t="shared" si="0"/>
        <v>45625</v>
      </c>
      <c r="AH5" s="5" t="b">
        <f t="shared" si="1"/>
        <v>0</v>
      </c>
      <c r="AI5" s="5" t="b">
        <f t="shared" si="1"/>
        <v>1</v>
      </c>
      <c r="AJ5" t="e">
        <f t="shared" si="2"/>
        <v>#N/A</v>
      </c>
      <c r="AK5" t="e">
        <f t="shared" si="3"/>
        <v>#N/A</v>
      </c>
    </row>
    <row r="6" spans="1:37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  <c r="V6" s="1" t="s">
        <v>72</v>
      </c>
      <c r="W6" s="1" t="s">
        <v>41</v>
      </c>
      <c r="X6" s="1" t="s">
        <v>73</v>
      </c>
      <c r="Y6" s="1" t="s">
        <v>74</v>
      </c>
      <c r="Z6" s="1" t="s">
        <v>75</v>
      </c>
      <c r="AA6" s="1" t="s">
        <v>45</v>
      </c>
      <c r="AB6" s="1" t="s">
        <v>76</v>
      </c>
      <c r="AC6" s="1" t="s">
        <v>56</v>
      </c>
      <c r="AD6" s="1" t="s">
        <v>34</v>
      </c>
      <c r="AE6" s="1" t="s">
        <v>78</v>
      </c>
      <c r="AF6" s="5">
        <f t="shared" si="0"/>
        <v>45898</v>
      </c>
      <c r="AG6" s="5">
        <f t="shared" si="0"/>
        <v>45901</v>
      </c>
      <c r="AH6" s="5" t="b">
        <f t="shared" si="1"/>
        <v>1</v>
      </c>
      <c r="AI6" s="5" t="b">
        <f t="shared" si="1"/>
        <v>1</v>
      </c>
      <c r="AJ6" t="str">
        <f t="shared" si="2"/>
        <v>OK</v>
      </c>
      <c r="AK6">
        <f t="shared" si="3"/>
        <v>3</v>
      </c>
    </row>
    <row r="7" spans="1:37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  <c r="V7" s="1" t="s">
        <v>83</v>
      </c>
      <c r="W7" s="1" t="s">
        <v>41</v>
      </c>
      <c r="X7" s="1" t="s">
        <v>73</v>
      </c>
      <c r="Y7" s="1" t="s">
        <v>84</v>
      </c>
      <c r="Z7" s="1" t="s">
        <v>85</v>
      </c>
      <c r="AA7" s="1" t="s">
        <v>86</v>
      </c>
      <c r="AB7" s="1" t="s">
        <v>87</v>
      </c>
      <c r="AC7" s="1" t="s">
        <v>48</v>
      </c>
      <c r="AD7" s="1" t="s">
        <v>34</v>
      </c>
      <c r="AE7" s="1" t="s">
        <v>35</v>
      </c>
      <c r="AF7" s="5">
        <f t="shared" si="0"/>
        <v>45436</v>
      </c>
      <c r="AG7" s="5" t="e">
        <f t="shared" si="0"/>
        <v>#N/A</v>
      </c>
      <c r="AH7" s="5" t="b">
        <f t="shared" si="1"/>
        <v>1</v>
      </c>
      <c r="AI7" s="5" t="b">
        <f t="shared" si="1"/>
        <v>0</v>
      </c>
      <c r="AJ7" t="e">
        <f t="shared" si="2"/>
        <v>#N/A</v>
      </c>
      <c r="AK7" t="e">
        <f t="shared" si="3"/>
        <v>#N/A</v>
      </c>
    </row>
    <row r="8" spans="1:37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  <c r="V8" s="1" t="s">
        <v>93</v>
      </c>
      <c r="W8" s="1" t="s">
        <v>26</v>
      </c>
      <c r="X8" s="1" t="s">
        <v>42</v>
      </c>
      <c r="Y8" s="1" t="s">
        <v>43</v>
      </c>
      <c r="Z8" s="1" t="s">
        <v>44</v>
      </c>
      <c r="AA8" s="1" t="s">
        <v>86</v>
      </c>
      <c r="AB8" s="1" t="s">
        <v>94</v>
      </c>
      <c r="AC8" s="1" t="s">
        <v>67</v>
      </c>
      <c r="AD8" s="1" t="s">
        <v>34</v>
      </c>
      <c r="AE8" s="1" t="s">
        <v>35</v>
      </c>
      <c r="AF8" s="5">
        <f t="shared" si="0"/>
        <v>45757</v>
      </c>
      <c r="AG8" s="5">
        <f t="shared" si="0"/>
        <v>45763</v>
      </c>
      <c r="AH8" s="5" t="b">
        <f t="shared" si="1"/>
        <v>1</v>
      </c>
      <c r="AI8" s="5" t="b">
        <f t="shared" si="1"/>
        <v>1</v>
      </c>
      <c r="AJ8" t="str">
        <f t="shared" si="2"/>
        <v>OK</v>
      </c>
      <c r="AK8">
        <f t="shared" si="3"/>
        <v>6</v>
      </c>
    </row>
    <row r="9" spans="1:37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  <c r="V9" s="1" t="s">
        <v>53</v>
      </c>
      <c r="W9" s="1" t="s">
        <v>41</v>
      </c>
      <c r="X9" s="1" t="s">
        <v>62</v>
      </c>
      <c r="Y9" s="1" t="s">
        <v>100</v>
      </c>
      <c r="Z9" s="1" t="s">
        <v>101</v>
      </c>
      <c r="AA9" s="1" t="s">
        <v>30</v>
      </c>
      <c r="AB9" s="1" t="s">
        <v>54</v>
      </c>
      <c r="AC9" s="1" t="s">
        <v>56</v>
      </c>
      <c r="AD9" s="1" t="s">
        <v>34</v>
      </c>
      <c r="AE9" s="1" t="s">
        <v>35</v>
      </c>
      <c r="AF9" s="5">
        <f t="shared" si="0"/>
        <v>45711</v>
      </c>
      <c r="AG9" s="5" t="e">
        <f t="shared" si="0"/>
        <v>#N/A</v>
      </c>
      <c r="AH9" s="5" t="b">
        <f t="shared" si="1"/>
        <v>1</v>
      </c>
      <c r="AI9" s="5" t="b">
        <f t="shared" si="1"/>
        <v>0</v>
      </c>
      <c r="AJ9" t="e">
        <f t="shared" si="2"/>
        <v>#N/A</v>
      </c>
      <c r="AK9" t="e">
        <f t="shared" si="3"/>
        <v>#N/A</v>
      </c>
    </row>
    <row r="10" spans="1:37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  <c r="V10" s="1" t="s">
        <v>107</v>
      </c>
      <c r="W10" s="1" t="s">
        <v>108</v>
      </c>
      <c r="X10" s="1" t="s">
        <v>62</v>
      </c>
      <c r="Y10" s="1" t="s">
        <v>63</v>
      </c>
      <c r="Z10" s="1" t="s">
        <v>64</v>
      </c>
      <c r="AA10" s="1" t="s">
        <v>30</v>
      </c>
      <c r="AB10" s="1" t="s">
        <v>109</v>
      </c>
      <c r="AC10" s="1" t="s">
        <v>56</v>
      </c>
      <c r="AD10" s="1" t="s">
        <v>34</v>
      </c>
      <c r="AE10" s="1" t="s">
        <v>35</v>
      </c>
      <c r="AF10" s="5">
        <f t="shared" si="0"/>
        <v>45601</v>
      </c>
      <c r="AG10" s="5">
        <f t="shared" si="0"/>
        <v>45606</v>
      </c>
      <c r="AH10" s="5" t="b">
        <f t="shared" si="1"/>
        <v>1</v>
      </c>
      <c r="AI10" s="5" t="b">
        <f t="shared" si="1"/>
        <v>1</v>
      </c>
      <c r="AJ10" t="str">
        <f t="shared" si="2"/>
        <v>OK</v>
      </c>
      <c r="AK10">
        <f t="shared" si="3"/>
        <v>5</v>
      </c>
    </row>
    <row r="11" spans="1:37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  <c r="V11" s="1" t="s">
        <v>40</v>
      </c>
      <c r="W11" s="1" t="s">
        <v>115</v>
      </c>
      <c r="X11" s="1" t="s">
        <v>62</v>
      </c>
      <c r="Y11" s="1" t="s">
        <v>63</v>
      </c>
      <c r="Z11" s="1" t="s">
        <v>64</v>
      </c>
      <c r="AA11" s="1" t="s">
        <v>30</v>
      </c>
      <c r="AB11" s="1" t="s">
        <v>31</v>
      </c>
      <c r="AC11" s="1" t="s">
        <v>33</v>
      </c>
      <c r="AD11" s="1" t="s">
        <v>34</v>
      </c>
      <c r="AE11" s="1" t="s">
        <v>35</v>
      </c>
      <c r="AF11" s="5">
        <f t="shared" si="0"/>
        <v>45847</v>
      </c>
      <c r="AG11" s="5">
        <f t="shared" si="0"/>
        <v>45912</v>
      </c>
      <c r="AH11" s="5" t="b">
        <f t="shared" si="1"/>
        <v>1</v>
      </c>
      <c r="AI11" s="5" t="b">
        <f t="shared" si="1"/>
        <v>1</v>
      </c>
      <c r="AJ11" t="str">
        <f t="shared" si="2"/>
        <v>OK</v>
      </c>
      <c r="AK11">
        <f t="shared" si="3"/>
        <v>65</v>
      </c>
    </row>
    <row r="12" spans="1:37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  <c r="V12" s="1" t="s">
        <v>72</v>
      </c>
      <c r="W12" s="1" t="s">
        <v>108</v>
      </c>
      <c r="X12" s="1" t="s">
        <v>42</v>
      </c>
      <c r="Y12" s="1" t="s">
        <v>121</v>
      </c>
      <c r="Z12" s="1" t="s">
        <v>122</v>
      </c>
      <c r="AA12" s="1" t="s">
        <v>30</v>
      </c>
      <c r="AB12" s="1" t="s">
        <v>109</v>
      </c>
      <c r="AC12" s="1" t="s">
        <v>33</v>
      </c>
      <c r="AD12" s="1" t="s">
        <v>124</v>
      </c>
      <c r="AE12" s="1" t="s">
        <v>125</v>
      </c>
      <c r="AF12" s="5">
        <f t="shared" si="0"/>
        <v>45797</v>
      </c>
      <c r="AG12" s="5">
        <f t="shared" si="0"/>
        <v>45797</v>
      </c>
      <c r="AH12" s="5" t="b">
        <f t="shared" si="1"/>
        <v>1</v>
      </c>
      <c r="AI12" s="5" t="b">
        <f t="shared" si="1"/>
        <v>1</v>
      </c>
      <c r="AJ12" t="str">
        <f t="shared" si="2"/>
        <v>OK</v>
      </c>
      <c r="AK12">
        <f t="shared" si="3"/>
        <v>0</v>
      </c>
    </row>
    <row r="13" spans="1:37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  <c r="V13" s="1" t="s">
        <v>83</v>
      </c>
      <c r="W13" s="1" t="s">
        <v>41</v>
      </c>
      <c r="X13" s="1" t="s">
        <v>42</v>
      </c>
      <c r="Y13" s="1" t="s">
        <v>43</v>
      </c>
      <c r="Z13" s="1" t="s">
        <v>44</v>
      </c>
      <c r="AA13" s="1" t="s">
        <v>86</v>
      </c>
      <c r="AB13" s="1" t="s">
        <v>87</v>
      </c>
      <c r="AC13" s="1" t="s">
        <v>48</v>
      </c>
      <c r="AD13" s="1" t="s">
        <v>34</v>
      </c>
      <c r="AE13" s="1" t="s">
        <v>35</v>
      </c>
      <c r="AF13" s="5">
        <f t="shared" si="0"/>
        <v>45495</v>
      </c>
      <c r="AG13" s="5" t="e">
        <f t="shared" si="0"/>
        <v>#N/A</v>
      </c>
      <c r="AH13" s="5" t="b">
        <f t="shared" si="1"/>
        <v>1</v>
      </c>
      <c r="AI13" s="5" t="b">
        <f t="shared" si="1"/>
        <v>0</v>
      </c>
      <c r="AJ13" t="e">
        <f t="shared" si="2"/>
        <v>#N/A</v>
      </c>
      <c r="AK13" t="e">
        <f t="shared" si="3"/>
        <v>#N/A</v>
      </c>
    </row>
    <row r="14" spans="1:37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108</v>
      </c>
      <c r="G14" t="s">
        <v>73</v>
      </c>
      <c r="H14" t="s">
        <v>28</v>
      </c>
      <c r="I14" t="s">
        <v>135</v>
      </c>
      <c r="J14" t="s">
        <v>30</v>
      </c>
      <c r="K14" t="s">
        <v>31</v>
      </c>
      <c r="L14" t="s">
        <v>136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137</v>
      </c>
      <c r="U14" t="s">
        <v>125</v>
      </c>
      <c r="V14" s="1" t="s">
        <v>72</v>
      </c>
      <c r="W14" s="1" t="s">
        <v>108</v>
      </c>
      <c r="X14" s="1" t="s">
        <v>73</v>
      </c>
      <c r="Y14" s="1" t="s">
        <v>28</v>
      </c>
      <c r="Z14" s="1" t="s">
        <v>135</v>
      </c>
      <c r="AA14" s="1" t="s">
        <v>30</v>
      </c>
      <c r="AB14" s="1" t="s">
        <v>31</v>
      </c>
      <c r="AC14" s="1" t="s">
        <v>56</v>
      </c>
      <c r="AD14" s="1" t="s">
        <v>137</v>
      </c>
      <c r="AE14" s="1" t="s">
        <v>125</v>
      </c>
      <c r="AF14" s="5">
        <f t="shared" si="0"/>
        <v>45646</v>
      </c>
      <c r="AG14" s="5">
        <f t="shared" si="0"/>
        <v>45647</v>
      </c>
      <c r="AH14" s="5" t="b">
        <f t="shared" si="1"/>
        <v>1</v>
      </c>
      <c r="AI14" s="5" t="b">
        <f t="shared" si="1"/>
        <v>1</v>
      </c>
      <c r="AJ14" t="str">
        <f t="shared" si="2"/>
        <v>OK</v>
      </c>
      <c r="AK14">
        <f t="shared" si="3"/>
        <v>1</v>
      </c>
    </row>
    <row r="15" spans="1:37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143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  <c r="V15" s="1" t="s">
        <v>142</v>
      </c>
      <c r="W15" s="1" t="s">
        <v>41</v>
      </c>
      <c r="X15" s="1" t="s">
        <v>73</v>
      </c>
      <c r="Y15" s="1" t="s">
        <v>74</v>
      </c>
      <c r="Z15" s="1" t="s">
        <v>75</v>
      </c>
      <c r="AA15" s="1" t="s">
        <v>30</v>
      </c>
      <c r="AB15" s="1" t="s">
        <v>54</v>
      </c>
      <c r="AC15" s="1" t="s">
        <v>33</v>
      </c>
      <c r="AD15" s="1" t="s">
        <v>34</v>
      </c>
      <c r="AE15" s="1" t="s">
        <v>35</v>
      </c>
      <c r="AF15" s="5">
        <f t="shared" si="0"/>
        <v>45942</v>
      </c>
      <c r="AG15" s="5" t="e">
        <f t="shared" si="0"/>
        <v>#N/A</v>
      </c>
      <c r="AH15" s="5" t="b">
        <f t="shared" si="1"/>
        <v>1</v>
      </c>
      <c r="AI15" s="5" t="b">
        <f t="shared" si="1"/>
        <v>0</v>
      </c>
      <c r="AJ15" t="e">
        <f t="shared" si="2"/>
        <v>#N/A</v>
      </c>
      <c r="AK15" t="e">
        <f t="shared" si="3"/>
        <v>#N/A</v>
      </c>
    </row>
    <row r="16" spans="1:37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26</v>
      </c>
      <c r="G16" t="s">
        <v>73</v>
      </c>
      <c r="H16" t="s">
        <v>28</v>
      </c>
      <c r="I16" t="s">
        <v>135</v>
      </c>
      <c r="J16" t="s">
        <v>86</v>
      </c>
      <c r="K16" t="s">
        <v>94</v>
      </c>
      <c r="L16" t="s">
        <v>149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  <c r="V16" s="1" t="s">
        <v>148</v>
      </c>
      <c r="W16" s="1" t="s">
        <v>26</v>
      </c>
      <c r="X16" s="1" t="s">
        <v>73</v>
      </c>
      <c r="Y16" s="1" t="s">
        <v>28</v>
      </c>
      <c r="Z16" s="1" t="s">
        <v>135</v>
      </c>
      <c r="AA16" s="1" t="s">
        <v>86</v>
      </c>
      <c r="AB16" s="1" t="s">
        <v>94</v>
      </c>
      <c r="AC16" s="1" t="s">
        <v>67</v>
      </c>
      <c r="AD16" s="1" t="s">
        <v>34</v>
      </c>
      <c r="AE16" s="1" t="s">
        <v>35</v>
      </c>
      <c r="AF16" s="5">
        <f t="shared" si="0"/>
        <v>45653</v>
      </c>
      <c r="AG16" s="5">
        <f t="shared" si="0"/>
        <v>45654</v>
      </c>
      <c r="AH16" s="5" t="b">
        <f t="shared" si="1"/>
        <v>1</v>
      </c>
      <c r="AI16" s="5" t="b">
        <f t="shared" si="1"/>
        <v>1</v>
      </c>
      <c r="AJ16" t="str">
        <f t="shared" si="2"/>
        <v>OK</v>
      </c>
      <c r="AK16">
        <f t="shared" si="3"/>
        <v>1</v>
      </c>
    </row>
    <row r="17" spans="1:37">
      <c r="A17" t="s">
        <v>150</v>
      </c>
      <c r="B17" t="s">
        <v>151</v>
      </c>
      <c r="C17" t="s">
        <v>152</v>
      </c>
      <c r="D17" t="s">
        <v>153</v>
      </c>
      <c r="E17" t="s">
        <v>25</v>
      </c>
      <c r="F17" t="s">
        <v>41</v>
      </c>
      <c r="G17" t="s">
        <v>27</v>
      </c>
      <c r="H17" t="s">
        <v>154</v>
      </c>
      <c r="I17" t="s">
        <v>155</v>
      </c>
      <c r="J17" t="s">
        <v>30</v>
      </c>
      <c r="K17" t="s">
        <v>156</v>
      </c>
      <c r="L17" t="s">
        <v>157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  <c r="V17" s="1" t="s">
        <v>25</v>
      </c>
      <c r="W17" s="1" t="s">
        <v>41</v>
      </c>
      <c r="X17" s="1" t="s">
        <v>27</v>
      </c>
      <c r="Y17" s="1" t="s">
        <v>154</v>
      </c>
      <c r="Z17" s="1" t="s">
        <v>155</v>
      </c>
      <c r="AA17" s="1" t="s">
        <v>30</v>
      </c>
      <c r="AB17" s="1" t="s">
        <v>156</v>
      </c>
      <c r="AC17" s="1" t="s">
        <v>33</v>
      </c>
      <c r="AD17" s="1" t="s">
        <v>34</v>
      </c>
      <c r="AE17" s="1" t="s">
        <v>35</v>
      </c>
      <c r="AF17" s="5">
        <f t="shared" si="0"/>
        <v>45482</v>
      </c>
      <c r="AG17" s="5">
        <f t="shared" si="0"/>
        <v>45482</v>
      </c>
      <c r="AH17" s="5" t="b">
        <f t="shared" si="1"/>
        <v>1</v>
      </c>
      <c r="AI17" s="5" t="b">
        <f t="shared" si="1"/>
        <v>1</v>
      </c>
      <c r="AJ17" t="str">
        <f t="shared" si="2"/>
        <v>OK</v>
      </c>
      <c r="AK17">
        <f t="shared" si="3"/>
        <v>0</v>
      </c>
    </row>
    <row r="18" spans="1:37">
      <c r="A18" t="s">
        <v>158</v>
      </c>
      <c r="B18" t="s">
        <v>159</v>
      </c>
      <c r="C18" t="s">
        <v>160</v>
      </c>
      <c r="D18" t="s">
        <v>161</v>
      </c>
      <c r="E18" t="s">
        <v>162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163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  <c r="V18" s="1" t="s">
        <v>162</v>
      </c>
      <c r="W18" s="1" t="s">
        <v>26</v>
      </c>
      <c r="X18" s="1" t="s">
        <v>62</v>
      </c>
      <c r="Y18" s="1" t="s">
        <v>63</v>
      </c>
      <c r="Z18" s="1" t="s">
        <v>64</v>
      </c>
      <c r="AA18" s="1" t="s">
        <v>30</v>
      </c>
      <c r="AB18" s="1" t="s">
        <v>54</v>
      </c>
      <c r="AC18" s="1" t="s">
        <v>56</v>
      </c>
      <c r="AD18" s="1" t="s">
        <v>34</v>
      </c>
      <c r="AE18" s="1" t="s">
        <v>35</v>
      </c>
      <c r="AF18" s="5">
        <f t="shared" si="0"/>
        <v>45420</v>
      </c>
      <c r="AG18" s="5" t="e">
        <f t="shared" si="0"/>
        <v>#N/A</v>
      </c>
      <c r="AH18" s="5" t="b">
        <f t="shared" si="1"/>
        <v>1</v>
      </c>
      <c r="AI18" s="5" t="b">
        <f t="shared" si="1"/>
        <v>0</v>
      </c>
      <c r="AJ18" t="e">
        <f t="shared" si="2"/>
        <v>#N/A</v>
      </c>
      <c r="AK18" t="e">
        <f t="shared" si="3"/>
        <v>#N/A</v>
      </c>
    </row>
    <row r="19" spans="1:37">
      <c r="A19" t="s">
        <v>164</v>
      </c>
      <c r="B19" t="s">
        <v>165</v>
      </c>
      <c r="C19" t="s">
        <v>166</v>
      </c>
      <c r="D19" t="s">
        <v>167</v>
      </c>
      <c r="E19" t="s">
        <v>168</v>
      </c>
      <c r="F19" t="s">
        <v>41</v>
      </c>
      <c r="G19" t="s">
        <v>27</v>
      </c>
      <c r="H19" t="s">
        <v>28</v>
      </c>
      <c r="I19" t="s">
        <v>29</v>
      </c>
      <c r="J19" t="s">
        <v>45</v>
      </c>
      <c r="K19" t="s">
        <v>65</v>
      </c>
      <c r="L19" t="s">
        <v>169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  <c r="V19" s="1" t="s">
        <v>168</v>
      </c>
      <c r="W19" s="1" t="s">
        <v>41</v>
      </c>
      <c r="X19" s="1" t="s">
        <v>27</v>
      </c>
      <c r="Y19" s="1" t="s">
        <v>28</v>
      </c>
      <c r="Z19" s="1" t="s">
        <v>29</v>
      </c>
      <c r="AA19" s="1" t="s">
        <v>45</v>
      </c>
      <c r="AB19" s="1" t="s">
        <v>65</v>
      </c>
      <c r="AC19" s="1" t="s">
        <v>48</v>
      </c>
      <c r="AD19" s="1" t="s">
        <v>34</v>
      </c>
      <c r="AE19" s="1" t="s">
        <v>35</v>
      </c>
      <c r="AF19" s="5">
        <f t="shared" si="0"/>
        <v>45298</v>
      </c>
      <c r="AG19" s="5">
        <f t="shared" si="0"/>
        <v>45299</v>
      </c>
      <c r="AH19" s="5" t="b">
        <f t="shared" si="1"/>
        <v>1</v>
      </c>
      <c r="AI19" s="5" t="b">
        <f t="shared" si="1"/>
        <v>1</v>
      </c>
      <c r="AJ19" t="str">
        <f t="shared" si="2"/>
        <v>OK</v>
      </c>
      <c r="AK19">
        <f t="shared" si="3"/>
        <v>1</v>
      </c>
    </row>
    <row r="20" spans="1:37">
      <c r="A20" t="s">
        <v>170</v>
      </c>
      <c r="B20" t="s">
        <v>171</v>
      </c>
      <c r="C20" t="s">
        <v>172</v>
      </c>
      <c r="D20" t="s">
        <v>173</v>
      </c>
      <c r="E20" t="s">
        <v>162</v>
      </c>
      <c r="F20" t="s">
        <v>115</v>
      </c>
      <c r="G20" t="s">
        <v>27</v>
      </c>
      <c r="H20" t="s">
        <v>174</v>
      </c>
      <c r="I20" t="s">
        <v>175</v>
      </c>
      <c r="J20" t="s">
        <v>86</v>
      </c>
      <c r="K20" t="s">
        <v>94</v>
      </c>
      <c r="L20" t="s">
        <v>176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  <c r="V20" s="1" t="s">
        <v>162</v>
      </c>
      <c r="W20" s="1" t="s">
        <v>115</v>
      </c>
      <c r="X20" s="1" t="s">
        <v>27</v>
      </c>
      <c r="Y20" s="1" t="s">
        <v>174</v>
      </c>
      <c r="Z20" s="1" t="s">
        <v>175</v>
      </c>
      <c r="AA20" s="1" t="s">
        <v>86</v>
      </c>
      <c r="AB20" s="1" t="s">
        <v>94</v>
      </c>
      <c r="AC20" s="1" t="s">
        <v>56</v>
      </c>
      <c r="AD20" s="1" t="s">
        <v>124</v>
      </c>
      <c r="AE20" s="1" t="s">
        <v>78</v>
      </c>
      <c r="AF20" s="5">
        <f t="shared" si="0"/>
        <v>45853</v>
      </c>
      <c r="AG20" s="5" t="e">
        <f t="shared" si="0"/>
        <v>#N/A</v>
      </c>
      <c r="AH20" s="5" t="b">
        <f t="shared" si="1"/>
        <v>1</v>
      </c>
      <c r="AI20" s="5" t="b">
        <f t="shared" si="1"/>
        <v>0</v>
      </c>
      <c r="AJ20" t="e">
        <f t="shared" si="2"/>
        <v>#N/A</v>
      </c>
      <c r="AK20" t="e">
        <f t="shared" si="3"/>
        <v>#N/A</v>
      </c>
    </row>
    <row r="21" spans="1:37">
      <c r="A21" t="s">
        <v>177</v>
      </c>
      <c r="B21" t="s">
        <v>23</v>
      </c>
      <c r="C21" t="s">
        <v>178</v>
      </c>
      <c r="D21" t="s">
        <v>179</v>
      </c>
      <c r="E21" t="s">
        <v>180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156</v>
      </c>
      <c r="L21" t="s">
        <v>181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  <c r="V21" s="1" t="s">
        <v>180</v>
      </c>
      <c r="W21" s="1" t="s">
        <v>115</v>
      </c>
      <c r="X21" s="1" t="s">
        <v>73</v>
      </c>
      <c r="Y21" s="1" t="s">
        <v>84</v>
      </c>
      <c r="Z21" s="1" t="s">
        <v>85</v>
      </c>
      <c r="AA21" s="1" t="s">
        <v>30</v>
      </c>
      <c r="AB21" s="1" t="s">
        <v>156</v>
      </c>
      <c r="AC21" s="1" t="s">
        <v>33</v>
      </c>
      <c r="AD21" s="1" t="s">
        <v>34</v>
      </c>
      <c r="AE21" s="1" t="s">
        <v>35</v>
      </c>
      <c r="AF21" s="5">
        <f t="shared" si="0"/>
        <v>45500</v>
      </c>
      <c r="AG21" s="5">
        <f t="shared" si="0"/>
        <v>45504</v>
      </c>
      <c r="AH21" s="5" t="b">
        <f t="shared" si="1"/>
        <v>1</v>
      </c>
      <c r="AI21" s="5" t="b">
        <f t="shared" si="1"/>
        <v>1</v>
      </c>
      <c r="AJ21" t="str">
        <f t="shared" si="2"/>
        <v>OK</v>
      </c>
      <c r="AK21">
        <f t="shared" si="3"/>
        <v>4</v>
      </c>
    </row>
    <row r="22" spans="1:37">
      <c r="A22" t="s">
        <v>182</v>
      </c>
      <c r="B22" t="s">
        <v>183</v>
      </c>
      <c r="C22" t="s">
        <v>184</v>
      </c>
      <c r="D22" t="s">
        <v>185</v>
      </c>
      <c r="E22" t="s">
        <v>107</v>
      </c>
      <c r="F22" t="s">
        <v>115</v>
      </c>
      <c r="G22" t="s">
        <v>42</v>
      </c>
      <c r="H22" t="s">
        <v>186</v>
      </c>
      <c r="I22" t="s">
        <v>187</v>
      </c>
      <c r="J22" t="s">
        <v>86</v>
      </c>
      <c r="K22" t="s">
        <v>94</v>
      </c>
      <c r="L22" t="s">
        <v>188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  <c r="V22" s="1" t="s">
        <v>107</v>
      </c>
      <c r="W22" s="1" t="s">
        <v>115</v>
      </c>
      <c r="X22" s="1" t="s">
        <v>42</v>
      </c>
      <c r="Y22" s="1" t="s">
        <v>186</v>
      </c>
      <c r="Z22" s="1" t="s">
        <v>187</v>
      </c>
      <c r="AA22" s="1" t="s">
        <v>86</v>
      </c>
      <c r="AB22" s="1" t="s">
        <v>94</v>
      </c>
      <c r="AC22" s="1" t="s">
        <v>56</v>
      </c>
      <c r="AD22" s="1" t="s">
        <v>34</v>
      </c>
      <c r="AE22" s="1" t="s">
        <v>35</v>
      </c>
      <c r="AF22" s="5" t="e">
        <f t="shared" si="0"/>
        <v>#N/A</v>
      </c>
      <c r="AG22" s="5">
        <f t="shared" si="0"/>
        <v>45680</v>
      </c>
      <c r="AH22" s="5" t="b">
        <f t="shared" si="1"/>
        <v>0</v>
      </c>
      <c r="AI22" s="5" t="b">
        <f t="shared" si="1"/>
        <v>1</v>
      </c>
      <c r="AJ22" t="e">
        <f t="shared" si="2"/>
        <v>#N/A</v>
      </c>
      <c r="AK22" t="e">
        <f t="shared" si="3"/>
        <v>#N/A</v>
      </c>
    </row>
    <row r="23" spans="1:37">
      <c r="A23" t="s">
        <v>189</v>
      </c>
      <c r="B23" t="s">
        <v>190</v>
      </c>
      <c r="C23" t="s">
        <v>191</v>
      </c>
      <c r="D23" t="s">
        <v>192</v>
      </c>
      <c r="E23" t="s">
        <v>168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193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  <c r="V23" s="1" t="s">
        <v>168</v>
      </c>
      <c r="W23" s="1" t="s">
        <v>26</v>
      </c>
      <c r="X23" s="1" t="s">
        <v>73</v>
      </c>
      <c r="Y23" s="1" t="s">
        <v>84</v>
      </c>
      <c r="Z23" s="1" t="s">
        <v>85</v>
      </c>
      <c r="AA23" s="1" t="s">
        <v>45</v>
      </c>
      <c r="AB23" s="1" t="s">
        <v>65</v>
      </c>
      <c r="AC23" s="1" t="s">
        <v>33</v>
      </c>
      <c r="AD23" s="1" t="s">
        <v>34</v>
      </c>
      <c r="AE23" s="1" t="s">
        <v>35</v>
      </c>
      <c r="AF23" s="5" t="e">
        <f t="shared" si="0"/>
        <v>#N/A</v>
      </c>
      <c r="AG23" s="5">
        <f t="shared" si="0"/>
        <v>45687</v>
      </c>
      <c r="AH23" s="5" t="b">
        <f t="shared" si="1"/>
        <v>0</v>
      </c>
      <c r="AI23" s="5" t="b">
        <f t="shared" si="1"/>
        <v>1</v>
      </c>
      <c r="AJ23" t="e">
        <f t="shared" si="2"/>
        <v>#N/A</v>
      </c>
      <c r="AK23" t="e">
        <f t="shared" si="3"/>
        <v>#N/A</v>
      </c>
    </row>
    <row r="24" spans="1:37">
      <c r="A24" t="s">
        <v>194</v>
      </c>
      <c r="B24" t="s">
        <v>195</v>
      </c>
      <c r="C24" t="s">
        <v>196</v>
      </c>
      <c r="D24" t="s">
        <v>197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198</v>
      </c>
      <c r="L24" t="s">
        <v>199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200</v>
      </c>
      <c r="U24" t="s">
        <v>125</v>
      </c>
      <c r="V24" s="1" t="s">
        <v>40</v>
      </c>
      <c r="W24" s="1" t="s">
        <v>26</v>
      </c>
      <c r="X24" s="1" t="s">
        <v>62</v>
      </c>
      <c r="Y24" s="1" t="s">
        <v>63</v>
      </c>
      <c r="Z24" s="1" t="s">
        <v>64</v>
      </c>
      <c r="AA24" s="1" t="s">
        <v>30</v>
      </c>
      <c r="AB24" s="1" t="s">
        <v>198</v>
      </c>
      <c r="AC24" s="1" t="s">
        <v>67</v>
      </c>
      <c r="AD24" s="1" t="s">
        <v>200</v>
      </c>
      <c r="AE24" s="1" t="s">
        <v>125</v>
      </c>
      <c r="AF24" s="5">
        <f t="shared" si="0"/>
        <v>45676</v>
      </c>
      <c r="AG24" s="5">
        <f t="shared" si="0"/>
        <v>45678</v>
      </c>
      <c r="AH24" s="5" t="b">
        <f t="shared" si="1"/>
        <v>1</v>
      </c>
      <c r="AI24" s="5" t="b">
        <f t="shared" si="1"/>
        <v>1</v>
      </c>
      <c r="AJ24" t="str">
        <f t="shared" si="2"/>
        <v>OK</v>
      </c>
      <c r="AK24">
        <f t="shared" si="3"/>
        <v>2</v>
      </c>
    </row>
    <row r="25" spans="1:37">
      <c r="A25" t="s">
        <v>201</v>
      </c>
      <c r="B25" t="s">
        <v>69</v>
      </c>
      <c r="C25" t="s">
        <v>202</v>
      </c>
      <c r="D25" t="s">
        <v>203</v>
      </c>
      <c r="E25" t="s">
        <v>148</v>
      </c>
      <c r="F25" t="s">
        <v>115</v>
      </c>
      <c r="G25" t="s">
        <v>42</v>
      </c>
      <c r="H25" t="s">
        <v>186</v>
      </c>
      <c r="I25" t="s">
        <v>187</v>
      </c>
      <c r="J25" t="s">
        <v>45</v>
      </c>
      <c r="K25" t="s">
        <v>204</v>
      </c>
      <c r="L25" t="s">
        <v>205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  <c r="V25" s="1" t="s">
        <v>148</v>
      </c>
      <c r="W25" s="1" t="s">
        <v>115</v>
      </c>
      <c r="X25" s="1" t="s">
        <v>42</v>
      </c>
      <c r="Y25" s="1" t="s">
        <v>186</v>
      </c>
      <c r="Z25" s="1" t="s">
        <v>187</v>
      </c>
      <c r="AA25" s="1" t="s">
        <v>45</v>
      </c>
      <c r="AB25" s="1" t="s">
        <v>204</v>
      </c>
      <c r="AC25" s="1" t="s">
        <v>56</v>
      </c>
      <c r="AD25" s="1" t="s">
        <v>34</v>
      </c>
      <c r="AE25" s="1" t="s">
        <v>35</v>
      </c>
      <c r="AF25" s="5">
        <f t="shared" si="0"/>
        <v>45898</v>
      </c>
      <c r="AG25" s="5" t="e">
        <f t="shared" si="0"/>
        <v>#N/A</v>
      </c>
      <c r="AH25" s="5" t="b">
        <f t="shared" si="1"/>
        <v>1</v>
      </c>
      <c r="AI25" s="5" t="b">
        <f t="shared" si="1"/>
        <v>0</v>
      </c>
      <c r="AJ25" t="e">
        <f t="shared" si="2"/>
        <v>#N/A</v>
      </c>
      <c r="AK25" t="e">
        <f t="shared" si="3"/>
        <v>#N/A</v>
      </c>
    </row>
    <row r="26" spans="1:37">
      <c r="A26" t="s">
        <v>206</v>
      </c>
      <c r="B26" t="s">
        <v>207</v>
      </c>
      <c r="C26" t="s">
        <v>208</v>
      </c>
      <c r="D26" t="s">
        <v>209</v>
      </c>
      <c r="E26" t="s">
        <v>210</v>
      </c>
      <c r="F26" t="s">
        <v>26</v>
      </c>
      <c r="G26" t="s">
        <v>27</v>
      </c>
      <c r="H26" t="s">
        <v>154</v>
      </c>
      <c r="I26" t="s">
        <v>155</v>
      </c>
      <c r="J26" t="s">
        <v>30</v>
      </c>
      <c r="K26" t="s">
        <v>54</v>
      </c>
      <c r="L26" t="s">
        <v>211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137</v>
      </c>
      <c r="U26" t="s">
        <v>78</v>
      </c>
      <c r="V26" s="1" t="s">
        <v>210</v>
      </c>
      <c r="W26" s="1" t="s">
        <v>26</v>
      </c>
      <c r="X26" s="1" t="s">
        <v>27</v>
      </c>
      <c r="Y26" s="1" t="s">
        <v>154</v>
      </c>
      <c r="Z26" s="1" t="s">
        <v>155</v>
      </c>
      <c r="AA26" s="1" t="s">
        <v>30</v>
      </c>
      <c r="AB26" s="1" t="s">
        <v>54</v>
      </c>
      <c r="AC26" s="1" t="s">
        <v>67</v>
      </c>
      <c r="AD26" s="1" t="s">
        <v>137</v>
      </c>
      <c r="AE26" s="1" t="s">
        <v>78</v>
      </c>
      <c r="AF26" s="5">
        <f t="shared" si="0"/>
        <v>45355</v>
      </c>
      <c r="AG26" s="5">
        <f t="shared" si="0"/>
        <v>45352</v>
      </c>
      <c r="AH26" s="5" t="b">
        <f t="shared" si="1"/>
        <v>1</v>
      </c>
      <c r="AI26" s="5" t="b">
        <f t="shared" si="1"/>
        <v>1</v>
      </c>
      <c r="AJ26" t="str">
        <f t="shared" si="2"/>
        <v>Invalid: Ship before Order</v>
      </c>
      <c r="AK26" t="e">
        <f t="shared" si="3"/>
        <v>#NUM!</v>
      </c>
    </row>
    <row r="27" spans="1:37">
      <c r="A27" t="s">
        <v>212</v>
      </c>
      <c r="B27" t="s">
        <v>213</v>
      </c>
      <c r="C27" t="s">
        <v>214</v>
      </c>
      <c r="D27" t="s">
        <v>215</v>
      </c>
      <c r="E27" t="s">
        <v>61</v>
      </c>
      <c r="F27" t="s">
        <v>108</v>
      </c>
      <c r="G27" t="s">
        <v>42</v>
      </c>
      <c r="H27" t="s">
        <v>216</v>
      </c>
      <c r="I27" t="s">
        <v>217</v>
      </c>
      <c r="J27" t="s">
        <v>86</v>
      </c>
      <c r="K27" t="s">
        <v>87</v>
      </c>
      <c r="L27" t="s">
        <v>218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  <c r="V27" s="1" t="s">
        <v>61</v>
      </c>
      <c r="W27" s="1" t="s">
        <v>108</v>
      </c>
      <c r="X27" s="1" t="s">
        <v>42</v>
      </c>
      <c r="Y27" s="1" t="s">
        <v>216</v>
      </c>
      <c r="Z27" s="1" t="s">
        <v>217</v>
      </c>
      <c r="AA27" s="1" t="s">
        <v>86</v>
      </c>
      <c r="AB27" s="1" t="s">
        <v>87</v>
      </c>
      <c r="AC27" s="1" t="s">
        <v>56</v>
      </c>
      <c r="AD27" s="1" t="s">
        <v>34</v>
      </c>
      <c r="AE27" s="1" t="s">
        <v>35</v>
      </c>
      <c r="AF27" s="5">
        <f t="shared" si="0"/>
        <v>45606</v>
      </c>
      <c r="AG27" s="5">
        <f t="shared" si="0"/>
        <v>45584</v>
      </c>
      <c r="AH27" s="5" t="b">
        <f t="shared" si="1"/>
        <v>1</v>
      </c>
      <c r="AI27" s="5" t="b">
        <f t="shared" si="1"/>
        <v>1</v>
      </c>
      <c r="AJ27" t="str">
        <f t="shared" si="2"/>
        <v>Invalid: Ship before Order</v>
      </c>
      <c r="AK27" t="e">
        <f t="shared" si="3"/>
        <v>#NUM!</v>
      </c>
    </row>
    <row r="28" spans="1:37">
      <c r="A28" t="s">
        <v>219</v>
      </c>
      <c r="B28" t="s">
        <v>220</v>
      </c>
      <c r="C28" t="s">
        <v>221</v>
      </c>
      <c r="D28" t="s">
        <v>222</v>
      </c>
      <c r="E28" t="s">
        <v>210</v>
      </c>
      <c r="F28" t="s">
        <v>108</v>
      </c>
      <c r="G28" t="s">
        <v>27</v>
      </c>
      <c r="H28" t="s">
        <v>174</v>
      </c>
      <c r="I28" t="s">
        <v>175</v>
      </c>
      <c r="J28" t="s">
        <v>86</v>
      </c>
      <c r="K28" t="s">
        <v>223</v>
      </c>
      <c r="L28" t="s">
        <v>224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34</v>
      </c>
      <c r="U28" t="s">
        <v>125</v>
      </c>
      <c r="V28" s="1" t="s">
        <v>210</v>
      </c>
      <c r="W28" s="1" t="s">
        <v>108</v>
      </c>
      <c r="X28" s="1" t="s">
        <v>27</v>
      </c>
      <c r="Y28" s="1" t="s">
        <v>174</v>
      </c>
      <c r="Z28" s="1" t="s">
        <v>175</v>
      </c>
      <c r="AA28" s="1" t="s">
        <v>86</v>
      </c>
      <c r="AB28" s="1" t="s">
        <v>223</v>
      </c>
      <c r="AC28" s="1" t="s">
        <v>67</v>
      </c>
      <c r="AD28" s="1" t="s">
        <v>34</v>
      </c>
      <c r="AE28" s="1" t="s">
        <v>125</v>
      </c>
      <c r="AF28" s="5" t="e">
        <f t="shared" si="0"/>
        <v>#N/A</v>
      </c>
      <c r="AG28" s="5">
        <f t="shared" si="0"/>
        <v>45619</v>
      </c>
      <c r="AH28" s="5" t="b">
        <f t="shared" si="1"/>
        <v>0</v>
      </c>
      <c r="AI28" s="5" t="b">
        <f t="shared" si="1"/>
        <v>1</v>
      </c>
      <c r="AJ28" t="e">
        <f t="shared" si="2"/>
        <v>#N/A</v>
      </c>
      <c r="AK28" t="e">
        <f t="shared" si="3"/>
        <v>#N/A</v>
      </c>
    </row>
    <row r="29" spans="1:37">
      <c r="A29" t="s">
        <v>225</v>
      </c>
      <c r="B29" t="s">
        <v>226</v>
      </c>
      <c r="C29" t="s">
        <v>227</v>
      </c>
      <c r="D29" t="s">
        <v>228</v>
      </c>
      <c r="E29" t="s">
        <v>61</v>
      </c>
      <c r="F29" t="s">
        <v>41</v>
      </c>
      <c r="G29" t="s">
        <v>62</v>
      </c>
      <c r="H29" t="s">
        <v>229</v>
      </c>
      <c r="I29" t="s">
        <v>230</v>
      </c>
      <c r="J29" t="s">
        <v>30</v>
      </c>
      <c r="K29" t="s">
        <v>31</v>
      </c>
      <c r="L29" t="s">
        <v>231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200</v>
      </c>
      <c r="U29" t="s">
        <v>125</v>
      </c>
      <c r="V29" s="1" t="s">
        <v>61</v>
      </c>
      <c r="W29" s="1" t="s">
        <v>41</v>
      </c>
      <c r="X29" s="1" t="s">
        <v>62</v>
      </c>
      <c r="Y29" s="1" t="s">
        <v>229</v>
      </c>
      <c r="Z29" s="1" t="s">
        <v>230</v>
      </c>
      <c r="AA29" s="1" t="s">
        <v>30</v>
      </c>
      <c r="AB29" s="1" t="s">
        <v>31</v>
      </c>
      <c r="AC29" s="1" t="s">
        <v>33</v>
      </c>
      <c r="AD29" s="1" t="s">
        <v>200</v>
      </c>
      <c r="AE29" s="1" t="s">
        <v>125</v>
      </c>
      <c r="AF29" s="5">
        <f t="shared" si="0"/>
        <v>45929</v>
      </c>
      <c r="AG29" s="5">
        <f t="shared" si="0"/>
        <v>45787</v>
      </c>
      <c r="AH29" s="5" t="b">
        <f t="shared" si="1"/>
        <v>1</v>
      </c>
      <c r="AI29" s="5" t="b">
        <f t="shared" si="1"/>
        <v>1</v>
      </c>
      <c r="AJ29" t="str">
        <f t="shared" si="2"/>
        <v>Invalid: Ship before Order</v>
      </c>
      <c r="AK29" t="e">
        <f t="shared" si="3"/>
        <v>#NUM!</v>
      </c>
    </row>
    <row r="30" spans="1:37">
      <c r="A30" t="s">
        <v>232</v>
      </c>
      <c r="B30" t="s">
        <v>213</v>
      </c>
      <c r="C30" t="s">
        <v>233</v>
      </c>
      <c r="D30" t="s">
        <v>234</v>
      </c>
      <c r="E30" t="s">
        <v>72</v>
      </c>
      <c r="F30" t="s">
        <v>115</v>
      </c>
      <c r="G30" t="s">
        <v>73</v>
      </c>
      <c r="H30" t="s">
        <v>235</v>
      </c>
      <c r="I30" t="s">
        <v>236</v>
      </c>
      <c r="J30" t="s">
        <v>86</v>
      </c>
      <c r="K30" t="s">
        <v>223</v>
      </c>
      <c r="L30" t="s">
        <v>237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  <c r="V30" s="1" t="s">
        <v>72</v>
      </c>
      <c r="W30" s="1" t="s">
        <v>115</v>
      </c>
      <c r="X30" s="1" t="s">
        <v>73</v>
      </c>
      <c r="Y30" s="1" t="s">
        <v>235</v>
      </c>
      <c r="Z30" s="1" t="s">
        <v>236</v>
      </c>
      <c r="AA30" s="1" t="s">
        <v>86</v>
      </c>
      <c r="AB30" s="1" t="s">
        <v>223</v>
      </c>
      <c r="AC30" s="1" t="s">
        <v>33</v>
      </c>
      <c r="AD30" s="1" t="s">
        <v>124</v>
      </c>
      <c r="AE30" s="1" t="s">
        <v>78</v>
      </c>
      <c r="AF30" s="5">
        <f t="shared" si="0"/>
        <v>45606</v>
      </c>
      <c r="AG30" s="5" t="e">
        <f t="shared" si="0"/>
        <v>#N/A</v>
      </c>
      <c r="AH30" s="5" t="b">
        <f t="shared" si="1"/>
        <v>1</v>
      </c>
      <c r="AI30" s="5" t="b">
        <f t="shared" si="1"/>
        <v>0</v>
      </c>
      <c r="AJ30" t="e">
        <f t="shared" si="2"/>
        <v>#N/A</v>
      </c>
      <c r="AK30" t="e">
        <f t="shared" si="3"/>
        <v>#N/A</v>
      </c>
    </row>
    <row r="31" spans="1:37">
      <c r="A31" t="s">
        <v>238</v>
      </c>
      <c r="B31" t="s">
        <v>239</v>
      </c>
      <c r="C31" t="s">
        <v>240</v>
      </c>
      <c r="D31" t="s">
        <v>241</v>
      </c>
      <c r="E31" t="s">
        <v>180</v>
      </c>
      <c r="F31" t="s">
        <v>115</v>
      </c>
      <c r="G31" t="s">
        <v>62</v>
      </c>
      <c r="H31" t="s">
        <v>242</v>
      </c>
      <c r="I31" t="s">
        <v>243</v>
      </c>
      <c r="J31" t="s">
        <v>86</v>
      </c>
      <c r="K31" t="s">
        <v>223</v>
      </c>
      <c r="L31" t="s">
        <v>244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  <c r="V31" s="1" t="s">
        <v>180</v>
      </c>
      <c r="W31" s="1" t="s">
        <v>115</v>
      </c>
      <c r="X31" s="1" t="s">
        <v>62</v>
      </c>
      <c r="Y31" s="1" t="s">
        <v>242</v>
      </c>
      <c r="Z31" s="1" t="s">
        <v>243</v>
      </c>
      <c r="AA31" s="1" t="s">
        <v>86</v>
      </c>
      <c r="AB31" s="1" t="s">
        <v>223</v>
      </c>
      <c r="AC31" s="1" t="s">
        <v>67</v>
      </c>
      <c r="AD31" s="1" t="s">
        <v>34</v>
      </c>
      <c r="AE31" s="1" t="s">
        <v>35</v>
      </c>
      <c r="AF31" s="5">
        <f t="shared" si="0"/>
        <v>45882</v>
      </c>
      <c r="AG31" s="5" t="e">
        <f t="shared" si="0"/>
        <v>#N/A</v>
      </c>
      <c r="AH31" s="5" t="b">
        <f t="shared" si="1"/>
        <v>1</v>
      </c>
      <c r="AI31" s="5" t="b">
        <f t="shared" si="1"/>
        <v>0</v>
      </c>
      <c r="AJ31" t="e">
        <f t="shared" si="2"/>
        <v>#N/A</v>
      </c>
      <c r="AK31" t="e">
        <f t="shared" si="3"/>
        <v>#N/A</v>
      </c>
    </row>
    <row r="32" spans="1:37">
      <c r="A32" t="s">
        <v>245</v>
      </c>
      <c r="B32" t="s">
        <v>246</v>
      </c>
      <c r="C32" t="s">
        <v>247</v>
      </c>
      <c r="D32" t="s">
        <v>248</v>
      </c>
      <c r="E32" t="s">
        <v>72</v>
      </c>
      <c r="F32" t="s">
        <v>108</v>
      </c>
      <c r="G32" t="s">
        <v>73</v>
      </c>
      <c r="H32" t="s">
        <v>249</v>
      </c>
      <c r="I32" t="s">
        <v>250</v>
      </c>
      <c r="J32" t="s">
        <v>30</v>
      </c>
      <c r="K32" t="s">
        <v>109</v>
      </c>
      <c r="L32" t="s">
        <v>251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  <c r="V32" s="1" t="s">
        <v>72</v>
      </c>
      <c r="W32" s="1" t="s">
        <v>108</v>
      </c>
      <c r="X32" s="1" t="s">
        <v>73</v>
      </c>
      <c r="Y32" s="1" t="s">
        <v>249</v>
      </c>
      <c r="Z32" s="1" t="s">
        <v>250</v>
      </c>
      <c r="AA32" s="1" t="s">
        <v>30</v>
      </c>
      <c r="AB32" s="1" t="s">
        <v>109</v>
      </c>
      <c r="AC32" s="1" t="s">
        <v>56</v>
      </c>
      <c r="AD32" s="1" t="s">
        <v>34</v>
      </c>
      <c r="AE32" s="1" t="s">
        <v>35</v>
      </c>
      <c r="AF32" s="5">
        <f t="shared" si="0"/>
        <v>45331</v>
      </c>
      <c r="AG32" s="5">
        <f t="shared" si="0"/>
        <v>45334</v>
      </c>
      <c r="AH32" s="5" t="b">
        <f t="shared" si="1"/>
        <v>1</v>
      </c>
      <c r="AI32" s="5" t="b">
        <f t="shared" si="1"/>
        <v>1</v>
      </c>
      <c r="AJ32" t="str">
        <f t="shared" si="2"/>
        <v>OK</v>
      </c>
      <c r="AK32">
        <f t="shared" si="3"/>
        <v>3</v>
      </c>
    </row>
    <row r="33" spans="1:37">
      <c r="A33" t="s">
        <v>252</v>
      </c>
      <c r="B33" t="s">
        <v>253</v>
      </c>
      <c r="C33" t="s">
        <v>254</v>
      </c>
      <c r="D33" t="s">
        <v>255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256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200</v>
      </c>
      <c r="U33" t="s">
        <v>125</v>
      </c>
      <c r="V33" s="1" t="s">
        <v>25</v>
      </c>
      <c r="W33" s="1" t="s">
        <v>41</v>
      </c>
      <c r="X33" s="1" t="s">
        <v>73</v>
      </c>
      <c r="Y33" s="1" t="s">
        <v>84</v>
      </c>
      <c r="Z33" s="1" t="s">
        <v>85</v>
      </c>
      <c r="AA33" s="1" t="s">
        <v>30</v>
      </c>
      <c r="AB33" s="1" t="s">
        <v>31</v>
      </c>
      <c r="AC33" s="1" t="s">
        <v>33</v>
      </c>
      <c r="AD33" s="1" t="s">
        <v>200</v>
      </c>
      <c r="AE33" s="1" t="s">
        <v>125</v>
      </c>
      <c r="AF33" s="5" t="e">
        <f t="shared" si="0"/>
        <v>#N/A</v>
      </c>
      <c r="AG33" s="5" t="e">
        <f t="shared" si="0"/>
        <v>#N/A</v>
      </c>
      <c r="AH33" s="5" t="b">
        <f t="shared" si="1"/>
        <v>0</v>
      </c>
      <c r="AI33" s="5" t="b">
        <f t="shared" si="1"/>
        <v>0</v>
      </c>
      <c r="AJ33" t="e">
        <f t="shared" si="2"/>
        <v>#N/A</v>
      </c>
      <c r="AK33" t="e">
        <f t="shared" si="3"/>
        <v>#N/A</v>
      </c>
    </row>
    <row r="34" spans="1:37">
      <c r="A34" t="s">
        <v>257</v>
      </c>
      <c r="B34" t="s">
        <v>258</v>
      </c>
      <c r="C34" t="s">
        <v>259</v>
      </c>
      <c r="D34" t="s">
        <v>260</v>
      </c>
      <c r="E34" t="s">
        <v>162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223</v>
      </c>
      <c r="L34" t="s">
        <v>261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  <c r="V34" s="1" t="s">
        <v>162</v>
      </c>
      <c r="W34" s="1" t="s">
        <v>108</v>
      </c>
      <c r="X34" s="1" t="s">
        <v>62</v>
      </c>
      <c r="Y34" s="1" t="s">
        <v>100</v>
      </c>
      <c r="Z34" s="1" t="s">
        <v>101</v>
      </c>
      <c r="AA34" s="1" t="s">
        <v>86</v>
      </c>
      <c r="AB34" s="1" t="s">
        <v>223</v>
      </c>
      <c r="AC34" s="1" t="s">
        <v>33</v>
      </c>
      <c r="AD34" s="1" t="s">
        <v>34</v>
      </c>
      <c r="AE34" s="1" t="s">
        <v>35</v>
      </c>
      <c r="AF34" s="5" t="e">
        <f t="shared" si="0"/>
        <v>#N/A</v>
      </c>
      <c r="AG34" s="5">
        <f t="shared" si="0"/>
        <v>45622</v>
      </c>
      <c r="AH34" s="5" t="b">
        <f t="shared" si="1"/>
        <v>0</v>
      </c>
      <c r="AI34" s="5" t="b">
        <f t="shared" si="1"/>
        <v>1</v>
      </c>
      <c r="AJ34" t="e">
        <f t="shared" si="2"/>
        <v>#N/A</v>
      </c>
      <c r="AK34" t="e">
        <f t="shared" si="3"/>
        <v>#N/A</v>
      </c>
    </row>
    <row r="35" spans="1:37">
      <c r="A35" t="s">
        <v>262</v>
      </c>
      <c r="B35" t="s">
        <v>263</v>
      </c>
      <c r="C35" t="s">
        <v>264</v>
      </c>
      <c r="D35" t="s">
        <v>265</v>
      </c>
      <c r="E35" t="s">
        <v>142</v>
      </c>
      <c r="F35" t="s">
        <v>115</v>
      </c>
      <c r="G35" t="s">
        <v>73</v>
      </c>
      <c r="H35" t="s">
        <v>249</v>
      </c>
      <c r="I35" t="s">
        <v>250</v>
      </c>
      <c r="J35" t="s">
        <v>45</v>
      </c>
      <c r="K35" t="s">
        <v>46</v>
      </c>
      <c r="L35" t="s">
        <v>266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  <c r="V35" s="1" t="s">
        <v>142</v>
      </c>
      <c r="W35" s="1" t="s">
        <v>115</v>
      </c>
      <c r="X35" s="1" t="s">
        <v>73</v>
      </c>
      <c r="Y35" s="1" t="s">
        <v>249</v>
      </c>
      <c r="Z35" s="1" t="s">
        <v>250</v>
      </c>
      <c r="AA35" s="1" t="s">
        <v>45</v>
      </c>
      <c r="AB35" s="1" t="s">
        <v>46</v>
      </c>
      <c r="AC35" s="1" t="s">
        <v>48</v>
      </c>
      <c r="AD35" s="1" t="s">
        <v>34</v>
      </c>
      <c r="AE35" s="1" t="s">
        <v>35</v>
      </c>
      <c r="AF35" s="5">
        <f t="shared" si="0"/>
        <v>45495</v>
      </c>
      <c r="AG35" s="5" t="e">
        <f t="shared" si="0"/>
        <v>#N/A</v>
      </c>
      <c r="AH35" s="5" t="b">
        <f t="shared" si="1"/>
        <v>1</v>
      </c>
      <c r="AI35" s="5" t="b">
        <f t="shared" si="1"/>
        <v>0</v>
      </c>
      <c r="AJ35" t="e">
        <f t="shared" si="2"/>
        <v>#N/A</v>
      </c>
      <c r="AK35" t="e">
        <f t="shared" si="3"/>
        <v>#N/A</v>
      </c>
    </row>
    <row r="36" spans="1:37">
      <c r="A36" t="s">
        <v>267</v>
      </c>
      <c r="B36" t="s">
        <v>268</v>
      </c>
      <c r="C36" t="s">
        <v>269</v>
      </c>
      <c r="D36" t="s">
        <v>270</v>
      </c>
      <c r="E36" t="s">
        <v>142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271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  <c r="V36" s="1" t="s">
        <v>142</v>
      </c>
      <c r="W36" s="1" t="s">
        <v>115</v>
      </c>
      <c r="X36" s="1" t="s">
        <v>42</v>
      </c>
      <c r="Y36" s="1" t="s">
        <v>121</v>
      </c>
      <c r="Z36" s="1" t="s">
        <v>122</v>
      </c>
      <c r="AA36" s="1" t="s">
        <v>45</v>
      </c>
      <c r="AB36" s="1" t="s">
        <v>76</v>
      </c>
      <c r="AC36" s="1" t="s">
        <v>4119</v>
      </c>
      <c r="AD36" s="1" t="s">
        <v>34</v>
      </c>
      <c r="AE36" s="1" t="s">
        <v>35</v>
      </c>
      <c r="AF36" s="5">
        <f t="shared" si="0"/>
        <v>45688</v>
      </c>
      <c r="AG36" s="5">
        <f t="shared" si="0"/>
        <v>45693</v>
      </c>
      <c r="AH36" s="5" t="b">
        <f t="shared" si="1"/>
        <v>1</v>
      </c>
      <c r="AI36" s="5" t="b">
        <f t="shared" si="1"/>
        <v>1</v>
      </c>
      <c r="AJ36" t="str">
        <f t="shared" si="2"/>
        <v>OK</v>
      </c>
      <c r="AK36">
        <f t="shared" si="3"/>
        <v>5</v>
      </c>
    </row>
    <row r="37" spans="1:37">
      <c r="A37" t="s">
        <v>272</v>
      </c>
      <c r="B37" t="s">
        <v>273</v>
      </c>
      <c r="C37" t="s">
        <v>274</v>
      </c>
      <c r="D37" t="s">
        <v>275</v>
      </c>
      <c r="E37" t="s">
        <v>168</v>
      </c>
      <c r="F37" t="s">
        <v>41</v>
      </c>
      <c r="G37" t="s">
        <v>73</v>
      </c>
      <c r="H37" t="s">
        <v>235</v>
      </c>
      <c r="I37" t="s">
        <v>236</v>
      </c>
      <c r="J37" t="s">
        <v>45</v>
      </c>
      <c r="K37" t="s">
        <v>204</v>
      </c>
      <c r="L37" t="s">
        <v>276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137</v>
      </c>
      <c r="U37" t="s">
        <v>125</v>
      </c>
      <c r="V37" s="1" t="s">
        <v>168</v>
      </c>
      <c r="W37" s="1" t="s">
        <v>41</v>
      </c>
      <c r="X37" s="1" t="s">
        <v>73</v>
      </c>
      <c r="Y37" s="1" t="s">
        <v>235</v>
      </c>
      <c r="Z37" s="1" t="s">
        <v>236</v>
      </c>
      <c r="AA37" s="1" t="s">
        <v>45</v>
      </c>
      <c r="AB37" s="1" t="s">
        <v>204</v>
      </c>
      <c r="AC37" s="1" t="s">
        <v>33</v>
      </c>
      <c r="AD37" s="1" t="s">
        <v>137</v>
      </c>
      <c r="AE37" s="1" t="s">
        <v>125</v>
      </c>
      <c r="AF37" s="5" t="e">
        <f t="shared" si="0"/>
        <v>#N/A</v>
      </c>
      <c r="AG37" s="5">
        <f t="shared" si="0"/>
        <v>45441</v>
      </c>
      <c r="AH37" s="5" t="b">
        <f t="shared" si="1"/>
        <v>0</v>
      </c>
      <c r="AI37" s="5" t="b">
        <f t="shared" si="1"/>
        <v>1</v>
      </c>
      <c r="AJ37" t="e">
        <f t="shared" si="2"/>
        <v>#N/A</v>
      </c>
      <c r="AK37" t="e">
        <f t="shared" si="3"/>
        <v>#N/A</v>
      </c>
    </row>
    <row r="38" spans="1:37">
      <c r="A38" t="s">
        <v>277</v>
      </c>
      <c r="B38" t="s">
        <v>278</v>
      </c>
      <c r="C38" t="s">
        <v>279</v>
      </c>
      <c r="D38" t="s">
        <v>280</v>
      </c>
      <c r="E38" t="s">
        <v>180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204</v>
      </c>
      <c r="L38" t="s">
        <v>281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  <c r="V38" s="1" t="s">
        <v>180</v>
      </c>
      <c r="W38" s="1" t="s">
        <v>108</v>
      </c>
      <c r="X38" s="1" t="s">
        <v>73</v>
      </c>
      <c r="Y38" s="1" t="s">
        <v>74</v>
      </c>
      <c r="Z38" s="1" t="s">
        <v>75</v>
      </c>
      <c r="AA38" s="1" t="s">
        <v>45</v>
      </c>
      <c r="AB38" s="1" t="s">
        <v>204</v>
      </c>
      <c r="AC38" s="1" t="s">
        <v>33</v>
      </c>
      <c r="AD38" s="1" t="s">
        <v>34</v>
      </c>
      <c r="AE38" s="1" t="s">
        <v>125</v>
      </c>
      <c r="AF38" s="5">
        <f t="shared" si="0"/>
        <v>45590</v>
      </c>
      <c r="AG38" s="5">
        <f t="shared" si="0"/>
        <v>45593</v>
      </c>
      <c r="AH38" s="5" t="b">
        <f t="shared" si="1"/>
        <v>1</v>
      </c>
      <c r="AI38" s="5" t="b">
        <f t="shared" si="1"/>
        <v>1</v>
      </c>
      <c r="AJ38" t="str">
        <f t="shared" si="2"/>
        <v>OK</v>
      </c>
      <c r="AK38">
        <f t="shared" si="3"/>
        <v>3</v>
      </c>
    </row>
    <row r="39" spans="1:37">
      <c r="A39" t="s">
        <v>282</v>
      </c>
      <c r="B39" t="s">
        <v>283</v>
      </c>
      <c r="C39" t="s">
        <v>283</v>
      </c>
      <c r="D39" t="s">
        <v>284</v>
      </c>
      <c r="E39" t="s">
        <v>210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285</v>
      </c>
      <c r="M39" t="s">
        <v>286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  <c r="V39" s="1" t="s">
        <v>210</v>
      </c>
      <c r="W39" s="1" t="s">
        <v>26</v>
      </c>
      <c r="X39" s="1" t="s">
        <v>73</v>
      </c>
      <c r="Y39" s="1" t="s">
        <v>74</v>
      </c>
      <c r="Z39" s="1" t="s">
        <v>75</v>
      </c>
      <c r="AA39" s="1" t="s">
        <v>86</v>
      </c>
      <c r="AB39" s="1" t="s">
        <v>94</v>
      </c>
      <c r="AC39" s="1" t="s">
        <v>67</v>
      </c>
      <c r="AD39" s="1" t="s">
        <v>34</v>
      </c>
      <c r="AE39" s="1" t="s">
        <v>35</v>
      </c>
      <c r="AF39" s="5" t="e">
        <f t="shared" si="0"/>
        <v>#N/A</v>
      </c>
      <c r="AG39" s="5" t="e">
        <f t="shared" si="0"/>
        <v>#N/A</v>
      </c>
      <c r="AH39" s="5" t="b">
        <f t="shared" si="1"/>
        <v>0</v>
      </c>
      <c r="AI39" s="5" t="b">
        <f t="shared" si="1"/>
        <v>0</v>
      </c>
      <c r="AJ39" t="e">
        <f t="shared" si="2"/>
        <v>#N/A</v>
      </c>
      <c r="AK39" t="e">
        <f t="shared" si="3"/>
        <v>#N/A</v>
      </c>
    </row>
    <row r="40" spans="1:37">
      <c r="A40" t="s">
        <v>287</v>
      </c>
      <c r="B40" t="s">
        <v>288</v>
      </c>
      <c r="C40" t="s">
        <v>289</v>
      </c>
      <c r="D40" t="s">
        <v>290</v>
      </c>
      <c r="E40" t="s">
        <v>162</v>
      </c>
      <c r="F40" t="s">
        <v>108</v>
      </c>
      <c r="G40" t="s">
        <v>73</v>
      </c>
      <c r="H40" t="s">
        <v>235</v>
      </c>
      <c r="I40" t="s">
        <v>236</v>
      </c>
      <c r="J40" t="s">
        <v>86</v>
      </c>
      <c r="K40" t="s">
        <v>223</v>
      </c>
      <c r="L40" t="s">
        <v>291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  <c r="V40" s="1" t="s">
        <v>162</v>
      </c>
      <c r="W40" s="1" t="s">
        <v>108</v>
      </c>
      <c r="X40" s="1" t="s">
        <v>73</v>
      </c>
      <c r="Y40" s="1" t="s">
        <v>235</v>
      </c>
      <c r="Z40" s="1" t="s">
        <v>236</v>
      </c>
      <c r="AA40" s="1" t="s">
        <v>86</v>
      </c>
      <c r="AB40" s="1" t="s">
        <v>223</v>
      </c>
      <c r="AC40" s="1" t="s">
        <v>56</v>
      </c>
      <c r="AD40" s="1" t="s">
        <v>34</v>
      </c>
      <c r="AE40" s="1" t="s">
        <v>35</v>
      </c>
      <c r="AF40" s="5">
        <f t="shared" si="0"/>
        <v>45460</v>
      </c>
      <c r="AG40" s="5" t="e">
        <f t="shared" si="0"/>
        <v>#N/A</v>
      </c>
      <c r="AH40" s="5" t="b">
        <f t="shared" si="1"/>
        <v>1</v>
      </c>
      <c r="AI40" s="5" t="b">
        <f t="shared" si="1"/>
        <v>0</v>
      </c>
      <c r="AJ40" t="e">
        <f t="shared" si="2"/>
        <v>#N/A</v>
      </c>
      <c r="AK40" t="e">
        <f t="shared" si="3"/>
        <v>#N/A</v>
      </c>
    </row>
    <row r="41" spans="1:37">
      <c r="A41" t="s">
        <v>292</v>
      </c>
      <c r="B41" t="s">
        <v>293</v>
      </c>
      <c r="C41" t="s">
        <v>294</v>
      </c>
      <c r="D41" t="s">
        <v>295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296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137</v>
      </c>
      <c r="U41" t="s">
        <v>125</v>
      </c>
      <c r="V41" s="1" t="s">
        <v>40</v>
      </c>
      <c r="W41" s="1" t="s">
        <v>41</v>
      </c>
      <c r="X41" s="1" t="s">
        <v>73</v>
      </c>
      <c r="Y41" s="1" t="s">
        <v>84</v>
      </c>
      <c r="Z41" s="1" t="s">
        <v>85</v>
      </c>
      <c r="AA41" s="1" t="s">
        <v>86</v>
      </c>
      <c r="AB41" s="1" t="s">
        <v>94</v>
      </c>
      <c r="AC41" s="1" t="s">
        <v>56</v>
      </c>
      <c r="AD41" s="1" t="s">
        <v>137</v>
      </c>
      <c r="AE41" s="1" t="s">
        <v>125</v>
      </c>
      <c r="AF41" s="5">
        <f t="shared" si="0"/>
        <v>45637</v>
      </c>
      <c r="AG41" s="5">
        <f t="shared" si="0"/>
        <v>45637</v>
      </c>
      <c r="AH41" s="5" t="b">
        <f t="shared" si="1"/>
        <v>1</v>
      </c>
      <c r="AI41" s="5" t="b">
        <f t="shared" si="1"/>
        <v>1</v>
      </c>
      <c r="AJ41" t="str">
        <f t="shared" si="2"/>
        <v>OK</v>
      </c>
      <c r="AK41">
        <f t="shared" si="3"/>
        <v>0</v>
      </c>
    </row>
    <row r="42" spans="1:37">
      <c r="A42" t="s">
        <v>297</v>
      </c>
      <c r="B42" t="s">
        <v>298</v>
      </c>
      <c r="C42" t="s">
        <v>299</v>
      </c>
      <c r="D42" t="s">
        <v>300</v>
      </c>
      <c r="E42" t="s">
        <v>53</v>
      </c>
      <c r="F42" t="s">
        <v>115</v>
      </c>
      <c r="G42" t="s">
        <v>73</v>
      </c>
      <c r="H42" t="s">
        <v>28</v>
      </c>
      <c r="I42" t="s">
        <v>135</v>
      </c>
      <c r="J42" t="s">
        <v>86</v>
      </c>
      <c r="K42" t="s">
        <v>94</v>
      </c>
      <c r="L42" t="s">
        <v>301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  <c r="V42" s="1" t="s">
        <v>53</v>
      </c>
      <c r="W42" s="1" t="s">
        <v>115</v>
      </c>
      <c r="X42" s="1" t="s">
        <v>73</v>
      </c>
      <c r="Y42" s="1" t="s">
        <v>28</v>
      </c>
      <c r="Z42" s="1" t="s">
        <v>135</v>
      </c>
      <c r="AA42" s="1" t="s">
        <v>86</v>
      </c>
      <c r="AB42" s="1" t="s">
        <v>94</v>
      </c>
      <c r="AC42" s="1" t="s">
        <v>67</v>
      </c>
      <c r="AD42" s="1" t="s">
        <v>34</v>
      </c>
      <c r="AE42" s="1" t="s">
        <v>35</v>
      </c>
      <c r="AF42" s="5">
        <f t="shared" si="0"/>
        <v>45575</v>
      </c>
      <c r="AG42" s="5">
        <f t="shared" si="0"/>
        <v>45581</v>
      </c>
      <c r="AH42" s="5" t="b">
        <f t="shared" si="1"/>
        <v>1</v>
      </c>
      <c r="AI42" s="5" t="b">
        <f t="shared" si="1"/>
        <v>1</v>
      </c>
      <c r="AJ42" t="str">
        <f t="shared" si="2"/>
        <v>OK</v>
      </c>
      <c r="AK42">
        <f t="shared" si="3"/>
        <v>6</v>
      </c>
    </row>
    <row r="43" spans="1:37">
      <c r="A43" t="s">
        <v>302</v>
      </c>
      <c r="B43" t="s">
        <v>303</v>
      </c>
      <c r="C43" t="s">
        <v>304</v>
      </c>
      <c r="D43" t="s">
        <v>305</v>
      </c>
      <c r="E43" t="s">
        <v>162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204</v>
      </c>
      <c r="L43" t="s">
        <v>306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137</v>
      </c>
      <c r="U43" t="s">
        <v>78</v>
      </c>
      <c r="V43" s="1" t="s">
        <v>162</v>
      </c>
      <c r="W43" s="1" t="s">
        <v>41</v>
      </c>
      <c r="X43" s="1" t="s">
        <v>42</v>
      </c>
      <c r="Y43" s="1" t="s">
        <v>43</v>
      </c>
      <c r="Z43" s="1" t="s">
        <v>44</v>
      </c>
      <c r="AA43" s="1" t="s">
        <v>45</v>
      </c>
      <c r="AB43" s="1" t="s">
        <v>204</v>
      </c>
      <c r="AC43" s="1" t="s">
        <v>48</v>
      </c>
      <c r="AD43" s="1" t="s">
        <v>137</v>
      </c>
      <c r="AE43" s="1" t="s">
        <v>78</v>
      </c>
      <c r="AF43" s="5">
        <f t="shared" si="0"/>
        <v>45363</v>
      </c>
      <c r="AG43" s="5" t="e">
        <f t="shared" si="0"/>
        <v>#N/A</v>
      </c>
      <c r="AH43" s="5" t="b">
        <f t="shared" si="1"/>
        <v>1</v>
      </c>
      <c r="AI43" s="5" t="b">
        <f t="shared" si="1"/>
        <v>0</v>
      </c>
      <c r="AJ43" t="e">
        <f t="shared" si="2"/>
        <v>#N/A</v>
      </c>
      <c r="AK43" t="e">
        <f t="shared" si="3"/>
        <v>#N/A</v>
      </c>
    </row>
    <row r="44" spans="1:37">
      <c r="A44" t="s">
        <v>307</v>
      </c>
      <c r="B44" t="s">
        <v>308</v>
      </c>
      <c r="C44" t="s">
        <v>309</v>
      </c>
      <c r="D44" t="s">
        <v>310</v>
      </c>
      <c r="E44" t="s">
        <v>61</v>
      </c>
      <c r="F44" t="s">
        <v>108</v>
      </c>
      <c r="G44" t="s">
        <v>42</v>
      </c>
      <c r="H44" t="s">
        <v>311</v>
      </c>
      <c r="I44" t="s">
        <v>312</v>
      </c>
      <c r="J44" t="s">
        <v>86</v>
      </c>
      <c r="K44" t="s">
        <v>223</v>
      </c>
      <c r="L44" t="s">
        <v>313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  <c r="V44" s="1" t="s">
        <v>61</v>
      </c>
      <c r="W44" s="1" t="s">
        <v>108</v>
      </c>
      <c r="X44" s="1" t="s">
        <v>42</v>
      </c>
      <c r="Y44" s="1" t="s">
        <v>311</v>
      </c>
      <c r="Z44" s="1" t="s">
        <v>312</v>
      </c>
      <c r="AA44" s="1" t="s">
        <v>86</v>
      </c>
      <c r="AB44" s="1" t="s">
        <v>223</v>
      </c>
      <c r="AC44" s="1" t="s">
        <v>67</v>
      </c>
      <c r="AD44" s="1" t="s">
        <v>34</v>
      </c>
      <c r="AE44" s="1" t="s">
        <v>35</v>
      </c>
      <c r="AF44" s="5">
        <f t="shared" si="0"/>
        <v>45940</v>
      </c>
      <c r="AG44" s="5">
        <f t="shared" si="0"/>
        <v>45945</v>
      </c>
      <c r="AH44" s="5" t="b">
        <f t="shared" si="1"/>
        <v>1</v>
      </c>
      <c r="AI44" s="5" t="b">
        <f t="shared" si="1"/>
        <v>1</v>
      </c>
      <c r="AJ44" t="str">
        <f t="shared" si="2"/>
        <v>OK</v>
      </c>
      <c r="AK44">
        <f t="shared" si="3"/>
        <v>5</v>
      </c>
    </row>
    <row r="45" spans="1:37">
      <c r="A45" t="s">
        <v>314</v>
      </c>
      <c r="B45" t="s">
        <v>315</v>
      </c>
      <c r="C45" t="s">
        <v>316</v>
      </c>
      <c r="D45" t="s">
        <v>317</v>
      </c>
      <c r="E45" t="s">
        <v>142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318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  <c r="V45" s="1" t="s">
        <v>142</v>
      </c>
      <c r="W45" s="1" t="s">
        <v>41</v>
      </c>
      <c r="X45" s="1" t="s">
        <v>42</v>
      </c>
      <c r="Y45" s="1" t="s">
        <v>43</v>
      </c>
      <c r="Z45" s="1" t="s">
        <v>44</v>
      </c>
      <c r="AA45" s="1" t="s">
        <v>45</v>
      </c>
      <c r="AB45" s="1" t="s">
        <v>65</v>
      </c>
      <c r="AC45" s="1" t="s">
        <v>48</v>
      </c>
      <c r="AD45" s="1" t="s">
        <v>34</v>
      </c>
      <c r="AE45" s="1" t="s">
        <v>35</v>
      </c>
      <c r="AF45" s="5">
        <f t="shared" si="0"/>
        <v>45481</v>
      </c>
      <c r="AG45" s="5">
        <f t="shared" si="0"/>
        <v>45487</v>
      </c>
      <c r="AH45" s="5" t="b">
        <f t="shared" si="1"/>
        <v>1</v>
      </c>
      <c r="AI45" s="5" t="b">
        <f t="shared" si="1"/>
        <v>1</v>
      </c>
      <c r="AJ45" t="str">
        <f t="shared" si="2"/>
        <v>OK</v>
      </c>
      <c r="AK45">
        <f t="shared" si="3"/>
        <v>6</v>
      </c>
    </row>
    <row r="46" spans="1:37">
      <c r="A46" t="s">
        <v>319</v>
      </c>
      <c r="B46" t="s">
        <v>320</v>
      </c>
      <c r="C46" t="s">
        <v>321</v>
      </c>
      <c r="D46" t="s">
        <v>322</v>
      </c>
      <c r="E46" t="s">
        <v>180</v>
      </c>
      <c r="F46" t="s">
        <v>41</v>
      </c>
      <c r="G46" t="s">
        <v>27</v>
      </c>
      <c r="H46" t="s">
        <v>323</v>
      </c>
      <c r="I46" t="s">
        <v>324</v>
      </c>
      <c r="J46" t="s">
        <v>45</v>
      </c>
      <c r="K46" t="s">
        <v>76</v>
      </c>
      <c r="L46" t="s">
        <v>325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  <c r="V46" s="1" t="s">
        <v>180</v>
      </c>
      <c r="W46" s="1" t="s">
        <v>41</v>
      </c>
      <c r="X46" s="1" t="s">
        <v>27</v>
      </c>
      <c r="Y46" s="1" t="s">
        <v>323</v>
      </c>
      <c r="Z46" s="1" t="s">
        <v>324</v>
      </c>
      <c r="AA46" s="1" t="s">
        <v>45</v>
      </c>
      <c r="AB46" s="1" t="s">
        <v>76</v>
      </c>
      <c r="AC46" s="1" t="s">
        <v>67</v>
      </c>
      <c r="AD46" s="1" t="s">
        <v>34</v>
      </c>
      <c r="AE46" s="1" t="s">
        <v>35</v>
      </c>
      <c r="AF46" s="5">
        <f t="shared" si="0"/>
        <v>45465</v>
      </c>
      <c r="AG46" s="5" t="e">
        <f t="shared" si="0"/>
        <v>#N/A</v>
      </c>
      <c r="AH46" s="5" t="b">
        <f t="shared" si="1"/>
        <v>1</v>
      </c>
      <c r="AI46" s="5" t="b">
        <f t="shared" si="1"/>
        <v>0</v>
      </c>
      <c r="AJ46" t="e">
        <f t="shared" si="2"/>
        <v>#N/A</v>
      </c>
      <c r="AK46" t="e">
        <f t="shared" si="3"/>
        <v>#N/A</v>
      </c>
    </row>
    <row r="47" spans="1:37">
      <c r="A47" t="s">
        <v>326</v>
      </c>
      <c r="B47" t="s">
        <v>327</v>
      </c>
      <c r="C47" t="s">
        <v>328</v>
      </c>
      <c r="D47" t="s">
        <v>329</v>
      </c>
      <c r="E47" t="s">
        <v>53</v>
      </c>
      <c r="F47" t="s">
        <v>115</v>
      </c>
      <c r="G47" t="s">
        <v>42</v>
      </c>
      <c r="H47" t="s">
        <v>186</v>
      </c>
      <c r="I47" t="s">
        <v>187</v>
      </c>
      <c r="J47" t="s">
        <v>30</v>
      </c>
      <c r="K47" t="s">
        <v>54</v>
      </c>
      <c r="L47" t="s">
        <v>330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137</v>
      </c>
      <c r="U47" t="s">
        <v>125</v>
      </c>
      <c r="V47" s="1" t="s">
        <v>53</v>
      </c>
      <c r="W47" s="1" t="s">
        <v>115</v>
      </c>
      <c r="X47" s="1" t="s">
        <v>42</v>
      </c>
      <c r="Y47" s="1" t="s">
        <v>186</v>
      </c>
      <c r="Z47" s="1" t="s">
        <v>187</v>
      </c>
      <c r="AA47" s="1" t="s">
        <v>30</v>
      </c>
      <c r="AB47" s="1" t="s">
        <v>54</v>
      </c>
      <c r="AC47" s="1" t="s">
        <v>33</v>
      </c>
      <c r="AD47" s="1" t="s">
        <v>137</v>
      </c>
      <c r="AE47" s="1" t="s">
        <v>125</v>
      </c>
      <c r="AF47" s="5">
        <f t="shared" si="0"/>
        <v>45309</v>
      </c>
      <c r="AG47" s="5" t="e">
        <f t="shared" si="0"/>
        <v>#N/A</v>
      </c>
      <c r="AH47" s="5" t="b">
        <f t="shared" si="1"/>
        <v>1</v>
      </c>
      <c r="AI47" s="5" t="b">
        <f t="shared" si="1"/>
        <v>0</v>
      </c>
      <c r="AJ47" t="e">
        <f t="shared" si="2"/>
        <v>#N/A</v>
      </c>
      <c r="AK47" t="e">
        <f t="shared" si="3"/>
        <v>#N/A</v>
      </c>
    </row>
    <row r="48" spans="1:37">
      <c r="A48" t="s">
        <v>331</v>
      </c>
      <c r="B48" t="s">
        <v>332</v>
      </c>
      <c r="C48" t="s">
        <v>332</v>
      </c>
      <c r="D48" t="s">
        <v>333</v>
      </c>
      <c r="E48" t="s">
        <v>72</v>
      </c>
      <c r="F48" t="s">
        <v>41</v>
      </c>
      <c r="G48" t="s">
        <v>62</v>
      </c>
      <c r="H48" t="s">
        <v>242</v>
      </c>
      <c r="I48" t="s">
        <v>243</v>
      </c>
      <c r="J48" t="s">
        <v>45</v>
      </c>
      <c r="K48" t="s">
        <v>204</v>
      </c>
      <c r="L48" t="s">
        <v>334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  <c r="V48" s="1" t="s">
        <v>72</v>
      </c>
      <c r="W48" s="1" t="s">
        <v>41</v>
      </c>
      <c r="X48" s="1" t="s">
        <v>62</v>
      </c>
      <c r="Y48" s="1" t="s">
        <v>242</v>
      </c>
      <c r="Z48" s="1" t="s">
        <v>243</v>
      </c>
      <c r="AA48" s="1" t="s">
        <v>45</v>
      </c>
      <c r="AB48" s="1" t="s">
        <v>204</v>
      </c>
      <c r="AC48" s="1" t="s">
        <v>67</v>
      </c>
      <c r="AD48" s="1" t="s">
        <v>124</v>
      </c>
      <c r="AE48" s="1" t="s">
        <v>125</v>
      </c>
      <c r="AF48" s="5" t="e">
        <f t="shared" si="0"/>
        <v>#N/A</v>
      </c>
      <c r="AG48" s="5" t="e">
        <f t="shared" si="0"/>
        <v>#N/A</v>
      </c>
      <c r="AH48" s="5" t="b">
        <f t="shared" si="1"/>
        <v>0</v>
      </c>
      <c r="AI48" s="5" t="b">
        <f t="shared" si="1"/>
        <v>0</v>
      </c>
      <c r="AJ48" t="e">
        <f t="shared" si="2"/>
        <v>#N/A</v>
      </c>
      <c r="AK48" t="e">
        <f t="shared" si="3"/>
        <v>#N/A</v>
      </c>
    </row>
    <row r="49" spans="1:37">
      <c r="A49" t="s">
        <v>335</v>
      </c>
      <c r="B49" t="s">
        <v>336</v>
      </c>
      <c r="C49" t="s">
        <v>337</v>
      </c>
      <c r="D49" t="s">
        <v>338</v>
      </c>
      <c r="E49" t="s">
        <v>148</v>
      </c>
      <c r="F49" t="s">
        <v>108</v>
      </c>
      <c r="G49" t="s">
        <v>62</v>
      </c>
      <c r="H49" t="s">
        <v>339</v>
      </c>
      <c r="I49" t="s">
        <v>340</v>
      </c>
      <c r="J49" t="s">
        <v>30</v>
      </c>
      <c r="K49" t="s">
        <v>156</v>
      </c>
      <c r="L49" t="s">
        <v>341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  <c r="V49" s="1" t="s">
        <v>148</v>
      </c>
      <c r="W49" s="1" t="s">
        <v>108</v>
      </c>
      <c r="X49" s="1" t="s">
        <v>62</v>
      </c>
      <c r="Y49" s="1" t="s">
        <v>339</v>
      </c>
      <c r="Z49" s="1" t="s">
        <v>340</v>
      </c>
      <c r="AA49" s="1" t="s">
        <v>30</v>
      </c>
      <c r="AB49" s="1" t="s">
        <v>156</v>
      </c>
      <c r="AC49" s="1" t="s">
        <v>67</v>
      </c>
      <c r="AD49" s="1" t="s">
        <v>34</v>
      </c>
      <c r="AE49" s="1" t="s">
        <v>35</v>
      </c>
      <c r="AF49" s="5">
        <f t="shared" si="0"/>
        <v>45634</v>
      </c>
      <c r="AG49" s="5">
        <f t="shared" si="0"/>
        <v>45516</v>
      </c>
      <c r="AH49" s="5" t="b">
        <f t="shared" si="1"/>
        <v>1</v>
      </c>
      <c r="AI49" s="5" t="b">
        <f t="shared" si="1"/>
        <v>1</v>
      </c>
      <c r="AJ49" t="str">
        <f t="shared" si="2"/>
        <v>Invalid: Ship before Order</v>
      </c>
      <c r="AK49" t="e">
        <f t="shared" si="3"/>
        <v>#NUM!</v>
      </c>
    </row>
    <row r="50" spans="1:37">
      <c r="A50" t="s">
        <v>342</v>
      </c>
      <c r="B50" t="s">
        <v>343</v>
      </c>
      <c r="C50" t="s">
        <v>344</v>
      </c>
      <c r="D50" t="s">
        <v>345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346</v>
      </c>
      <c r="M50" t="s">
        <v>33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  <c r="V50" s="1" t="s">
        <v>93</v>
      </c>
      <c r="W50" s="1" t="s">
        <v>108</v>
      </c>
      <c r="X50" s="1" t="s">
        <v>73</v>
      </c>
      <c r="Y50" s="1" t="s">
        <v>74</v>
      </c>
      <c r="Z50" s="1" t="s">
        <v>75</v>
      </c>
      <c r="AA50" s="1" t="s">
        <v>45</v>
      </c>
      <c r="AB50" s="1" t="s">
        <v>76</v>
      </c>
      <c r="AC50" s="1" t="s">
        <v>33</v>
      </c>
      <c r="AD50" s="1" t="s">
        <v>34</v>
      </c>
      <c r="AE50" s="1" t="s">
        <v>35</v>
      </c>
      <c r="AF50" s="5">
        <f t="shared" si="0"/>
        <v>45687</v>
      </c>
      <c r="AG50" s="5">
        <f t="shared" si="0"/>
        <v>45693</v>
      </c>
      <c r="AH50" s="5" t="b">
        <f t="shared" si="1"/>
        <v>1</v>
      </c>
      <c r="AI50" s="5" t="b">
        <f t="shared" si="1"/>
        <v>1</v>
      </c>
      <c r="AJ50" t="str">
        <f t="shared" si="2"/>
        <v>OK</v>
      </c>
      <c r="AK50">
        <f t="shared" si="3"/>
        <v>6</v>
      </c>
    </row>
    <row r="51" spans="1:37">
      <c r="A51" t="s">
        <v>347</v>
      </c>
      <c r="B51" t="s">
        <v>348</v>
      </c>
      <c r="C51" t="s">
        <v>349</v>
      </c>
      <c r="D51" t="s">
        <v>350</v>
      </c>
      <c r="E51" t="s">
        <v>162</v>
      </c>
      <c r="F51" t="s">
        <v>115</v>
      </c>
      <c r="G51" t="s">
        <v>27</v>
      </c>
      <c r="H51" t="s">
        <v>174</v>
      </c>
      <c r="I51" t="s">
        <v>175</v>
      </c>
      <c r="J51" t="s">
        <v>86</v>
      </c>
      <c r="K51" t="s">
        <v>94</v>
      </c>
      <c r="L51" t="s">
        <v>351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  <c r="V51" s="1" t="s">
        <v>162</v>
      </c>
      <c r="W51" s="1" t="s">
        <v>115</v>
      </c>
      <c r="X51" s="1" t="s">
        <v>27</v>
      </c>
      <c r="Y51" s="1" t="s">
        <v>174</v>
      </c>
      <c r="Z51" s="1" t="s">
        <v>175</v>
      </c>
      <c r="AA51" s="1" t="s">
        <v>86</v>
      </c>
      <c r="AB51" s="1" t="s">
        <v>94</v>
      </c>
      <c r="AC51" s="1" t="s">
        <v>33</v>
      </c>
      <c r="AD51" s="1" t="s">
        <v>34</v>
      </c>
      <c r="AE51" s="1" t="s">
        <v>35</v>
      </c>
      <c r="AF51" s="5">
        <f t="shared" si="0"/>
        <v>45388</v>
      </c>
      <c r="AG51" s="5">
        <f t="shared" si="0"/>
        <v>45395</v>
      </c>
      <c r="AH51" s="5" t="b">
        <f t="shared" si="1"/>
        <v>1</v>
      </c>
      <c r="AI51" s="5" t="b">
        <f t="shared" si="1"/>
        <v>1</v>
      </c>
      <c r="AJ51" t="str">
        <f t="shared" si="2"/>
        <v>OK</v>
      </c>
      <c r="AK51">
        <f t="shared" si="3"/>
        <v>7</v>
      </c>
    </row>
    <row r="52" spans="1:37">
      <c r="A52" t="s">
        <v>352</v>
      </c>
      <c r="B52" t="s">
        <v>353</v>
      </c>
      <c r="C52" t="s">
        <v>354</v>
      </c>
      <c r="D52" t="s">
        <v>355</v>
      </c>
      <c r="E52" t="s">
        <v>168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356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  <c r="V52" s="1" t="s">
        <v>168</v>
      </c>
      <c r="W52" s="1" t="s">
        <v>26</v>
      </c>
      <c r="X52" s="1" t="s">
        <v>42</v>
      </c>
      <c r="Y52" s="1" t="s">
        <v>121</v>
      </c>
      <c r="Z52" s="1" t="s">
        <v>122</v>
      </c>
      <c r="AA52" s="1" t="s">
        <v>86</v>
      </c>
      <c r="AB52" s="1" t="s">
        <v>94</v>
      </c>
      <c r="AC52" s="1" t="s">
        <v>67</v>
      </c>
      <c r="AD52" s="1" t="s">
        <v>34</v>
      </c>
      <c r="AE52" s="1" t="s">
        <v>35</v>
      </c>
      <c r="AF52" s="5">
        <f t="shared" si="0"/>
        <v>45788</v>
      </c>
      <c r="AG52" s="5">
        <f t="shared" si="0"/>
        <v>45796</v>
      </c>
      <c r="AH52" s="5" t="b">
        <f t="shared" si="1"/>
        <v>1</v>
      </c>
      <c r="AI52" s="5" t="b">
        <f t="shared" si="1"/>
        <v>1</v>
      </c>
      <c r="AJ52" t="str">
        <f t="shared" si="2"/>
        <v>OK</v>
      </c>
      <c r="AK52">
        <f t="shared" si="3"/>
        <v>8</v>
      </c>
    </row>
    <row r="53" spans="1:37">
      <c r="A53" t="s">
        <v>357</v>
      </c>
      <c r="B53" t="s">
        <v>358</v>
      </c>
      <c r="C53" t="s">
        <v>359</v>
      </c>
      <c r="D53" t="s">
        <v>360</v>
      </c>
      <c r="E53" t="s">
        <v>72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361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  <c r="V53" s="1" t="s">
        <v>72</v>
      </c>
      <c r="W53" s="1" t="s">
        <v>108</v>
      </c>
      <c r="X53" s="1" t="s">
        <v>62</v>
      </c>
      <c r="Y53" s="1" t="s">
        <v>63</v>
      </c>
      <c r="Z53" s="1" t="s">
        <v>64</v>
      </c>
      <c r="AA53" s="1" t="s">
        <v>30</v>
      </c>
      <c r="AB53" s="1" t="s">
        <v>54</v>
      </c>
      <c r="AC53" s="1" t="s">
        <v>67</v>
      </c>
      <c r="AD53" s="1" t="s">
        <v>34</v>
      </c>
      <c r="AE53" s="1" t="s">
        <v>35</v>
      </c>
      <c r="AF53" s="5">
        <f t="shared" si="0"/>
        <v>45406</v>
      </c>
      <c r="AG53" s="5">
        <f t="shared" si="0"/>
        <v>45411</v>
      </c>
      <c r="AH53" s="5" t="b">
        <f t="shared" si="1"/>
        <v>1</v>
      </c>
      <c r="AI53" s="5" t="b">
        <f t="shared" si="1"/>
        <v>1</v>
      </c>
      <c r="AJ53" t="str">
        <f t="shared" si="2"/>
        <v>OK</v>
      </c>
      <c r="AK53">
        <f t="shared" si="3"/>
        <v>5</v>
      </c>
    </row>
    <row r="54" spans="1:37">
      <c r="A54" t="s">
        <v>362</v>
      </c>
      <c r="B54" t="s">
        <v>363</v>
      </c>
      <c r="C54" t="s">
        <v>364</v>
      </c>
      <c r="D54" t="s">
        <v>365</v>
      </c>
      <c r="E54" t="s">
        <v>366</v>
      </c>
      <c r="F54" t="s">
        <v>41</v>
      </c>
      <c r="G54" t="s">
        <v>27</v>
      </c>
      <c r="H54" t="s">
        <v>28</v>
      </c>
      <c r="I54" t="s">
        <v>29</v>
      </c>
      <c r="J54" t="s">
        <v>45</v>
      </c>
      <c r="K54" t="s">
        <v>76</v>
      </c>
      <c r="L54" t="s">
        <v>367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200</v>
      </c>
      <c r="U54" t="s">
        <v>78</v>
      </c>
      <c r="V54" s="1" t="s">
        <v>366</v>
      </c>
      <c r="W54" s="1" t="s">
        <v>41</v>
      </c>
      <c r="X54" s="1" t="s">
        <v>27</v>
      </c>
      <c r="Y54" s="1" t="s">
        <v>28</v>
      </c>
      <c r="Z54" s="1" t="s">
        <v>29</v>
      </c>
      <c r="AA54" s="1" t="s">
        <v>45</v>
      </c>
      <c r="AB54" s="1" t="s">
        <v>76</v>
      </c>
      <c r="AC54" s="1" t="s">
        <v>56</v>
      </c>
      <c r="AD54" s="1" t="s">
        <v>200</v>
      </c>
      <c r="AE54" s="1" t="s">
        <v>78</v>
      </c>
      <c r="AF54" s="5" t="e">
        <f t="shared" si="0"/>
        <v>#N/A</v>
      </c>
      <c r="AG54" s="5">
        <f t="shared" si="0"/>
        <v>45593</v>
      </c>
      <c r="AH54" s="5" t="b">
        <f t="shared" si="1"/>
        <v>0</v>
      </c>
      <c r="AI54" s="5" t="b">
        <f t="shared" si="1"/>
        <v>1</v>
      </c>
      <c r="AJ54" t="e">
        <f t="shared" si="2"/>
        <v>#N/A</v>
      </c>
      <c r="AK54" t="e">
        <f t="shared" si="3"/>
        <v>#N/A</v>
      </c>
    </row>
    <row r="55" spans="1:37">
      <c r="A55" t="s">
        <v>368</v>
      </c>
      <c r="B55" t="s">
        <v>369</v>
      </c>
      <c r="C55" t="s">
        <v>370</v>
      </c>
      <c r="D55" t="s">
        <v>371</v>
      </c>
      <c r="E55" t="s">
        <v>366</v>
      </c>
      <c r="F55" t="s">
        <v>115</v>
      </c>
      <c r="G55" t="s">
        <v>73</v>
      </c>
      <c r="H55" t="s">
        <v>235</v>
      </c>
      <c r="I55" t="s">
        <v>236</v>
      </c>
      <c r="J55" t="s">
        <v>30</v>
      </c>
      <c r="K55" t="s">
        <v>156</v>
      </c>
      <c r="L55" t="s">
        <v>372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  <c r="V55" s="1" t="s">
        <v>366</v>
      </c>
      <c r="W55" s="1" t="s">
        <v>115</v>
      </c>
      <c r="X55" s="1" t="s">
        <v>73</v>
      </c>
      <c r="Y55" s="1" t="s">
        <v>235</v>
      </c>
      <c r="Z55" s="1" t="s">
        <v>236</v>
      </c>
      <c r="AA55" s="1" t="s">
        <v>30</v>
      </c>
      <c r="AB55" s="1" t="s">
        <v>156</v>
      </c>
      <c r="AC55" s="1" t="s">
        <v>56</v>
      </c>
      <c r="AD55" s="1" t="s">
        <v>34</v>
      </c>
      <c r="AE55" s="1" t="s">
        <v>35</v>
      </c>
      <c r="AF55" s="5">
        <f t="shared" si="0"/>
        <v>45747</v>
      </c>
      <c r="AG55" s="5">
        <f t="shared" si="0"/>
        <v>45747</v>
      </c>
      <c r="AH55" s="5" t="b">
        <f t="shared" si="1"/>
        <v>1</v>
      </c>
      <c r="AI55" s="5" t="b">
        <f t="shared" si="1"/>
        <v>1</v>
      </c>
      <c r="AJ55" t="str">
        <f t="shared" si="2"/>
        <v>OK</v>
      </c>
      <c r="AK55">
        <f t="shared" si="3"/>
        <v>0</v>
      </c>
    </row>
    <row r="56" spans="1:37">
      <c r="A56" t="s">
        <v>373</v>
      </c>
      <c r="B56" t="s">
        <v>374</v>
      </c>
      <c r="C56" t="s">
        <v>375</v>
      </c>
      <c r="D56" t="s">
        <v>376</v>
      </c>
      <c r="E56" t="s">
        <v>61</v>
      </c>
      <c r="F56" t="s">
        <v>108</v>
      </c>
      <c r="G56" t="s">
        <v>62</v>
      </c>
      <c r="H56" t="s">
        <v>339</v>
      </c>
      <c r="I56" t="s">
        <v>340</v>
      </c>
      <c r="J56" t="s">
        <v>30</v>
      </c>
      <c r="K56" t="s">
        <v>109</v>
      </c>
      <c r="L56" t="s">
        <v>377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200</v>
      </c>
      <c r="U56" t="s">
        <v>78</v>
      </c>
      <c r="V56" s="1" t="s">
        <v>61</v>
      </c>
      <c r="W56" s="1" t="s">
        <v>108</v>
      </c>
      <c r="X56" s="1" t="s">
        <v>62</v>
      </c>
      <c r="Y56" s="1" t="s">
        <v>339</v>
      </c>
      <c r="Z56" s="1" t="s">
        <v>340</v>
      </c>
      <c r="AA56" s="1" t="s">
        <v>30</v>
      </c>
      <c r="AB56" s="1" t="s">
        <v>109</v>
      </c>
      <c r="AC56" s="1" t="s">
        <v>48</v>
      </c>
      <c r="AD56" s="1" t="s">
        <v>200</v>
      </c>
      <c r="AE56" s="1" t="s">
        <v>78</v>
      </c>
      <c r="AF56" s="5">
        <f t="shared" si="0"/>
        <v>45807</v>
      </c>
      <c r="AG56" s="5">
        <f t="shared" si="0"/>
        <v>45810</v>
      </c>
      <c r="AH56" s="5" t="b">
        <f t="shared" si="1"/>
        <v>1</v>
      </c>
      <c r="AI56" s="5" t="b">
        <f t="shared" si="1"/>
        <v>1</v>
      </c>
      <c r="AJ56" t="str">
        <f t="shared" si="2"/>
        <v>OK</v>
      </c>
      <c r="AK56">
        <f t="shared" si="3"/>
        <v>3</v>
      </c>
    </row>
    <row r="57" spans="1:37">
      <c r="A57" t="s">
        <v>378</v>
      </c>
      <c r="B57" t="s">
        <v>379</v>
      </c>
      <c r="C57" t="s">
        <v>380</v>
      </c>
      <c r="D57" t="s">
        <v>381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382</v>
      </c>
      <c r="L57" t="s">
        <v>383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  <c r="V57" s="1" t="s">
        <v>40</v>
      </c>
      <c r="W57" s="1" t="s">
        <v>41</v>
      </c>
      <c r="X57" s="1" t="s">
        <v>62</v>
      </c>
      <c r="Y57" s="1" t="s">
        <v>100</v>
      </c>
      <c r="Z57" s="1" t="s">
        <v>101</v>
      </c>
      <c r="AA57" s="1" t="s">
        <v>86</v>
      </c>
      <c r="AB57" s="1" t="s">
        <v>382</v>
      </c>
      <c r="AC57" s="1" t="s">
        <v>48</v>
      </c>
      <c r="AD57" s="1" t="s">
        <v>34</v>
      </c>
      <c r="AE57" s="1" t="s">
        <v>35</v>
      </c>
      <c r="AF57" s="5">
        <f t="shared" si="0"/>
        <v>45664</v>
      </c>
      <c r="AG57" s="5">
        <f t="shared" si="0"/>
        <v>45723</v>
      </c>
      <c r="AH57" s="5" t="b">
        <f t="shared" si="1"/>
        <v>1</v>
      </c>
      <c r="AI57" s="5" t="b">
        <f t="shared" si="1"/>
        <v>1</v>
      </c>
      <c r="AJ57" t="str">
        <f t="shared" si="2"/>
        <v>OK</v>
      </c>
      <c r="AK57">
        <f t="shared" si="3"/>
        <v>59</v>
      </c>
    </row>
    <row r="58" spans="1:37">
      <c r="A58" t="s">
        <v>384</v>
      </c>
      <c r="B58" t="s">
        <v>385</v>
      </c>
      <c r="C58" t="s">
        <v>386</v>
      </c>
      <c r="D58" t="s">
        <v>387</v>
      </c>
      <c r="E58" t="s">
        <v>25</v>
      </c>
      <c r="F58" t="s">
        <v>26</v>
      </c>
      <c r="G58" t="s">
        <v>62</v>
      </c>
      <c r="H58" t="s">
        <v>229</v>
      </c>
      <c r="I58" t="s">
        <v>230</v>
      </c>
      <c r="J58" t="s">
        <v>30</v>
      </c>
      <c r="K58" t="s">
        <v>198</v>
      </c>
      <c r="L58" t="s">
        <v>388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  <c r="V58" s="1" t="s">
        <v>25</v>
      </c>
      <c r="W58" s="1" t="s">
        <v>26</v>
      </c>
      <c r="X58" s="1" t="s">
        <v>62</v>
      </c>
      <c r="Y58" s="1" t="s">
        <v>229</v>
      </c>
      <c r="Z58" s="1" t="s">
        <v>230</v>
      </c>
      <c r="AA58" s="1" t="s">
        <v>30</v>
      </c>
      <c r="AB58" s="1" t="s">
        <v>198</v>
      </c>
      <c r="AC58" s="1" t="s">
        <v>33</v>
      </c>
      <c r="AD58" s="1" t="s">
        <v>124</v>
      </c>
      <c r="AE58" s="1" t="s">
        <v>78</v>
      </c>
      <c r="AF58" s="5">
        <f t="shared" si="0"/>
        <v>45662</v>
      </c>
      <c r="AG58" s="5">
        <f t="shared" si="0"/>
        <v>45809</v>
      </c>
      <c r="AH58" s="5" t="b">
        <f t="shared" si="1"/>
        <v>1</v>
      </c>
      <c r="AI58" s="5" t="b">
        <f t="shared" si="1"/>
        <v>1</v>
      </c>
      <c r="AJ58" t="str">
        <f t="shared" si="2"/>
        <v>OK</v>
      </c>
      <c r="AK58">
        <f t="shared" si="3"/>
        <v>147</v>
      </c>
    </row>
    <row r="59" spans="1:37">
      <c r="A59" t="s">
        <v>389</v>
      </c>
      <c r="B59" t="s">
        <v>390</v>
      </c>
      <c r="C59" t="s">
        <v>391</v>
      </c>
      <c r="D59" t="s">
        <v>392</v>
      </c>
      <c r="E59" t="s">
        <v>142</v>
      </c>
      <c r="F59" t="s">
        <v>26</v>
      </c>
      <c r="G59" t="s">
        <v>73</v>
      </c>
      <c r="H59" t="s">
        <v>249</v>
      </c>
      <c r="I59" t="s">
        <v>250</v>
      </c>
      <c r="J59" t="s">
        <v>45</v>
      </c>
      <c r="K59" t="s">
        <v>76</v>
      </c>
      <c r="L59" t="s">
        <v>393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  <c r="V59" s="1" t="s">
        <v>142</v>
      </c>
      <c r="W59" s="1" t="s">
        <v>26</v>
      </c>
      <c r="X59" s="1" t="s">
        <v>73</v>
      </c>
      <c r="Y59" s="1" t="s">
        <v>249</v>
      </c>
      <c r="Z59" s="1" t="s">
        <v>250</v>
      </c>
      <c r="AA59" s="1" t="s">
        <v>45</v>
      </c>
      <c r="AB59" s="1" t="s">
        <v>76</v>
      </c>
      <c r="AC59" s="1" t="s">
        <v>48</v>
      </c>
      <c r="AD59" s="1" t="s">
        <v>34</v>
      </c>
      <c r="AE59" s="1" t="s">
        <v>35</v>
      </c>
      <c r="AF59" s="5">
        <f t="shared" si="0"/>
        <v>45329</v>
      </c>
      <c r="AG59" s="5">
        <f t="shared" si="0"/>
        <v>45337</v>
      </c>
      <c r="AH59" s="5" t="b">
        <f t="shared" si="1"/>
        <v>1</v>
      </c>
      <c r="AI59" s="5" t="b">
        <f t="shared" si="1"/>
        <v>1</v>
      </c>
      <c r="AJ59" t="str">
        <f t="shared" si="2"/>
        <v>OK</v>
      </c>
      <c r="AK59">
        <f t="shared" si="3"/>
        <v>8</v>
      </c>
    </row>
    <row r="60" spans="1:37">
      <c r="A60" t="s">
        <v>394</v>
      </c>
      <c r="B60" t="s">
        <v>395</v>
      </c>
      <c r="C60" t="s">
        <v>396</v>
      </c>
      <c r="D60" t="s">
        <v>397</v>
      </c>
      <c r="E60" t="s">
        <v>53</v>
      </c>
      <c r="F60" t="s">
        <v>115</v>
      </c>
      <c r="G60" t="s">
        <v>27</v>
      </c>
      <c r="H60" t="s">
        <v>28</v>
      </c>
      <c r="I60" t="s">
        <v>29</v>
      </c>
      <c r="J60" t="s">
        <v>30</v>
      </c>
      <c r="K60" t="s">
        <v>156</v>
      </c>
      <c r="L60" t="s">
        <v>398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137</v>
      </c>
      <c r="U60" t="s">
        <v>125</v>
      </c>
      <c r="V60" s="1" t="s">
        <v>53</v>
      </c>
      <c r="W60" s="1" t="s">
        <v>115</v>
      </c>
      <c r="X60" s="1" t="s">
        <v>27</v>
      </c>
      <c r="Y60" s="1" t="s">
        <v>28</v>
      </c>
      <c r="Z60" s="1" t="s">
        <v>29</v>
      </c>
      <c r="AA60" s="1" t="s">
        <v>30</v>
      </c>
      <c r="AB60" s="1" t="s">
        <v>156</v>
      </c>
      <c r="AC60" s="1" t="s">
        <v>4119</v>
      </c>
      <c r="AD60" s="1" t="s">
        <v>137</v>
      </c>
      <c r="AE60" s="1" t="s">
        <v>125</v>
      </c>
      <c r="AF60" s="5">
        <f t="shared" si="0"/>
        <v>45536</v>
      </c>
      <c r="AG60" s="5">
        <f t="shared" si="0"/>
        <v>45542</v>
      </c>
      <c r="AH60" s="5" t="b">
        <f t="shared" si="1"/>
        <v>1</v>
      </c>
      <c r="AI60" s="5" t="b">
        <f t="shared" si="1"/>
        <v>1</v>
      </c>
      <c r="AJ60" t="str">
        <f t="shared" si="2"/>
        <v>OK</v>
      </c>
      <c r="AK60">
        <f t="shared" si="3"/>
        <v>6</v>
      </c>
    </row>
    <row r="61" spans="1:37">
      <c r="A61" t="s">
        <v>399</v>
      </c>
      <c r="B61" t="s">
        <v>400</v>
      </c>
      <c r="C61" t="s">
        <v>401</v>
      </c>
      <c r="D61" t="s">
        <v>402</v>
      </c>
      <c r="E61" t="s">
        <v>142</v>
      </c>
      <c r="F61" t="s">
        <v>108</v>
      </c>
      <c r="G61" t="s">
        <v>42</v>
      </c>
      <c r="H61" t="s">
        <v>216</v>
      </c>
      <c r="I61" t="s">
        <v>217</v>
      </c>
      <c r="J61" t="s">
        <v>30</v>
      </c>
      <c r="K61" t="s">
        <v>109</v>
      </c>
      <c r="L61" t="s">
        <v>403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  <c r="V61" s="1" t="s">
        <v>142</v>
      </c>
      <c r="W61" s="1" t="s">
        <v>108</v>
      </c>
      <c r="X61" s="1" t="s">
        <v>42</v>
      </c>
      <c r="Y61" s="1" t="s">
        <v>216</v>
      </c>
      <c r="Z61" s="1" t="s">
        <v>217</v>
      </c>
      <c r="AA61" s="1" t="s">
        <v>30</v>
      </c>
      <c r="AB61" s="1" t="s">
        <v>109</v>
      </c>
      <c r="AC61" s="1" t="s">
        <v>48</v>
      </c>
      <c r="AD61" s="1" t="s">
        <v>34</v>
      </c>
      <c r="AE61" s="1" t="s">
        <v>78</v>
      </c>
      <c r="AF61" s="5" t="e">
        <f t="shared" si="0"/>
        <v>#N/A</v>
      </c>
      <c r="AG61" s="5">
        <f t="shared" si="0"/>
        <v>45498</v>
      </c>
      <c r="AH61" s="5" t="b">
        <f t="shared" si="1"/>
        <v>0</v>
      </c>
      <c r="AI61" s="5" t="b">
        <f t="shared" si="1"/>
        <v>1</v>
      </c>
      <c r="AJ61" t="e">
        <f t="shared" si="2"/>
        <v>#N/A</v>
      </c>
      <c r="AK61" t="e">
        <f t="shared" si="3"/>
        <v>#N/A</v>
      </c>
    </row>
    <row r="62" spans="1:37">
      <c r="A62" t="s">
        <v>404</v>
      </c>
      <c r="B62" t="s">
        <v>405</v>
      </c>
      <c r="C62" t="s">
        <v>406</v>
      </c>
      <c r="D62" t="s">
        <v>407</v>
      </c>
      <c r="E62" t="s">
        <v>72</v>
      </c>
      <c r="F62" t="s">
        <v>108</v>
      </c>
      <c r="G62" t="s">
        <v>42</v>
      </c>
      <c r="H62" t="s">
        <v>216</v>
      </c>
      <c r="I62" t="s">
        <v>217</v>
      </c>
      <c r="J62" t="s">
        <v>30</v>
      </c>
      <c r="K62" t="s">
        <v>109</v>
      </c>
      <c r="L62" t="s">
        <v>408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  <c r="V62" s="1" t="s">
        <v>72</v>
      </c>
      <c r="W62" s="1" t="s">
        <v>108</v>
      </c>
      <c r="X62" s="1" t="s">
        <v>42</v>
      </c>
      <c r="Y62" s="1" t="s">
        <v>216</v>
      </c>
      <c r="Z62" s="1" t="s">
        <v>217</v>
      </c>
      <c r="AA62" s="1" t="s">
        <v>30</v>
      </c>
      <c r="AB62" s="1" t="s">
        <v>109</v>
      </c>
      <c r="AC62" s="1" t="s">
        <v>48</v>
      </c>
      <c r="AD62" s="1" t="s">
        <v>124</v>
      </c>
      <c r="AE62" s="1" t="s">
        <v>78</v>
      </c>
      <c r="AF62" s="5">
        <f t="shared" si="0"/>
        <v>45486</v>
      </c>
      <c r="AG62" s="5">
        <f t="shared" si="0"/>
        <v>45492</v>
      </c>
      <c r="AH62" s="5" t="b">
        <f t="shared" si="1"/>
        <v>1</v>
      </c>
      <c r="AI62" s="5" t="b">
        <f t="shared" si="1"/>
        <v>1</v>
      </c>
      <c r="AJ62" t="str">
        <f t="shared" si="2"/>
        <v>OK</v>
      </c>
      <c r="AK62">
        <f t="shared" si="3"/>
        <v>6</v>
      </c>
    </row>
    <row r="63" spans="1:37">
      <c r="A63" t="s">
        <v>409</v>
      </c>
      <c r="B63" t="s">
        <v>410</v>
      </c>
      <c r="C63" t="s">
        <v>411</v>
      </c>
      <c r="D63" t="s">
        <v>412</v>
      </c>
      <c r="E63" t="s">
        <v>83</v>
      </c>
      <c r="F63" t="s">
        <v>115</v>
      </c>
      <c r="G63" t="s">
        <v>42</v>
      </c>
      <c r="H63" t="s">
        <v>186</v>
      </c>
      <c r="I63" t="s">
        <v>187</v>
      </c>
      <c r="J63" t="s">
        <v>45</v>
      </c>
      <c r="K63" t="s">
        <v>204</v>
      </c>
      <c r="L63" t="s">
        <v>413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  <c r="V63" s="1" t="s">
        <v>83</v>
      </c>
      <c r="W63" s="1" t="s">
        <v>115</v>
      </c>
      <c r="X63" s="1" t="s">
        <v>42</v>
      </c>
      <c r="Y63" s="1" t="s">
        <v>186</v>
      </c>
      <c r="Z63" s="1" t="s">
        <v>187</v>
      </c>
      <c r="AA63" s="1" t="s">
        <v>45</v>
      </c>
      <c r="AB63" s="1" t="s">
        <v>204</v>
      </c>
      <c r="AC63" s="1" t="s">
        <v>67</v>
      </c>
      <c r="AD63" s="1" t="s">
        <v>34</v>
      </c>
      <c r="AE63" s="1" t="s">
        <v>35</v>
      </c>
      <c r="AF63" s="5">
        <f t="shared" si="0"/>
        <v>45398</v>
      </c>
      <c r="AG63" s="5">
        <f t="shared" si="0"/>
        <v>45398</v>
      </c>
      <c r="AH63" s="5" t="b">
        <f t="shared" si="1"/>
        <v>1</v>
      </c>
      <c r="AI63" s="5" t="b">
        <f t="shared" si="1"/>
        <v>1</v>
      </c>
      <c r="AJ63" t="str">
        <f t="shared" si="2"/>
        <v>OK</v>
      </c>
      <c r="AK63">
        <f t="shared" si="3"/>
        <v>0</v>
      </c>
    </row>
    <row r="64" spans="1:37">
      <c r="A64" t="s">
        <v>414</v>
      </c>
      <c r="B64" t="s">
        <v>415</v>
      </c>
      <c r="C64" t="s">
        <v>416</v>
      </c>
      <c r="D64" t="s">
        <v>417</v>
      </c>
      <c r="E64" t="s">
        <v>168</v>
      </c>
      <c r="F64" t="s">
        <v>115</v>
      </c>
      <c r="G64" t="s">
        <v>27</v>
      </c>
      <c r="H64" t="s">
        <v>28</v>
      </c>
      <c r="I64" t="s">
        <v>29</v>
      </c>
      <c r="J64" t="s">
        <v>86</v>
      </c>
      <c r="K64" t="s">
        <v>223</v>
      </c>
      <c r="L64" t="s">
        <v>418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  <c r="V64" s="1" t="s">
        <v>168</v>
      </c>
      <c r="W64" s="1" t="s">
        <v>115</v>
      </c>
      <c r="X64" s="1" t="s">
        <v>27</v>
      </c>
      <c r="Y64" s="1" t="s">
        <v>28</v>
      </c>
      <c r="Z64" s="1" t="s">
        <v>29</v>
      </c>
      <c r="AA64" s="1" t="s">
        <v>86</v>
      </c>
      <c r="AB64" s="1" t="s">
        <v>223</v>
      </c>
      <c r="AC64" s="1" t="s">
        <v>67</v>
      </c>
      <c r="AD64" s="1" t="s">
        <v>34</v>
      </c>
      <c r="AE64" s="1" t="s">
        <v>35</v>
      </c>
      <c r="AF64" s="5">
        <f t="shared" si="0"/>
        <v>45595</v>
      </c>
      <c r="AG64" s="5">
        <f t="shared" si="0"/>
        <v>45333</v>
      </c>
      <c r="AH64" s="5" t="b">
        <f t="shared" si="1"/>
        <v>1</v>
      </c>
      <c r="AI64" s="5" t="b">
        <f t="shared" si="1"/>
        <v>1</v>
      </c>
      <c r="AJ64" t="str">
        <f t="shared" si="2"/>
        <v>Invalid: Ship before Order</v>
      </c>
      <c r="AK64" t="e">
        <f t="shared" si="3"/>
        <v>#NUM!</v>
      </c>
    </row>
    <row r="65" spans="1:37">
      <c r="A65" t="s">
        <v>419</v>
      </c>
      <c r="B65" t="s">
        <v>420</v>
      </c>
      <c r="C65" t="s">
        <v>421</v>
      </c>
      <c r="D65" t="s">
        <v>422</v>
      </c>
      <c r="E65" t="s">
        <v>168</v>
      </c>
      <c r="F65" t="s">
        <v>115</v>
      </c>
      <c r="G65" t="s">
        <v>27</v>
      </c>
      <c r="H65" t="s">
        <v>323</v>
      </c>
      <c r="I65" t="s">
        <v>324</v>
      </c>
      <c r="J65" t="s">
        <v>30</v>
      </c>
      <c r="K65" t="s">
        <v>198</v>
      </c>
      <c r="L65" t="s">
        <v>423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34</v>
      </c>
      <c r="U65" t="s">
        <v>35</v>
      </c>
      <c r="V65" s="1" t="s">
        <v>168</v>
      </c>
      <c r="W65" s="1" t="s">
        <v>115</v>
      </c>
      <c r="X65" s="1" t="s">
        <v>27</v>
      </c>
      <c r="Y65" s="1" t="s">
        <v>323</v>
      </c>
      <c r="Z65" s="1" t="s">
        <v>324</v>
      </c>
      <c r="AA65" s="1" t="s">
        <v>30</v>
      </c>
      <c r="AB65" s="1" t="s">
        <v>198</v>
      </c>
      <c r="AC65" s="1" t="s">
        <v>48</v>
      </c>
      <c r="AD65" s="1" t="s">
        <v>34</v>
      </c>
      <c r="AE65" s="1" t="s">
        <v>35</v>
      </c>
      <c r="AF65" s="5">
        <f t="shared" si="0"/>
        <v>45316</v>
      </c>
      <c r="AG65" s="5">
        <f t="shared" si="0"/>
        <v>45293</v>
      </c>
      <c r="AH65" s="5" t="b">
        <f t="shared" si="1"/>
        <v>1</v>
      </c>
      <c r="AI65" s="5" t="b">
        <f t="shared" si="1"/>
        <v>1</v>
      </c>
      <c r="AJ65" t="str">
        <f t="shared" si="2"/>
        <v>Invalid: Ship before Order</v>
      </c>
      <c r="AK65" t="e">
        <f t="shared" si="3"/>
        <v>#NUM!</v>
      </c>
    </row>
    <row r="66" spans="1:37">
      <c r="A66" t="s">
        <v>424</v>
      </c>
      <c r="B66" t="s">
        <v>425</v>
      </c>
      <c r="C66" t="s">
        <v>426</v>
      </c>
      <c r="D66" t="s">
        <v>427</v>
      </c>
      <c r="E66" t="s">
        <v>162</v>
      </c>
      <c r="F66" t="s">
        <v>108</v>
      </c>
      <c r="G66" t="s">
        <v>42</v>
      </c>
      <c r="H66" t="s">
        <v>311</v>
      </c>
      <c r="I66" t="s">
        <v>312</v>
      </c>
      <c r="J66" t="s">
        <v>30</v>
      </c>
      <c r="K66" t="s">
        <v>31</v>
      </c>
      <c r="L66" t="s">
        <v>428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  <c r="V66" s="1" t="s">
        <v>162</v>
      </c>
      <c r="W66" s="1" t="s">
        <v>108</v>
      </c>
      <c r="X66" s="1" t="s">
        <v>42</v>
      </c>
      <c r="Y66" s="1" t="s">
        <v>311</v>
      </c>
      <c r="Z66" s="1" t="s">
        <v>312</v>
      </c>
      <c r="AA66" s="1" t="s">
        <v>30</v>
      </c>
      <c r="AB66" s="1" t="s">
        <v>31</v>
      </c>
      <c r="AC66" s="1" t="s">
        <v>56</v>
      </c>
      <c r="AD66" s="1" t="s">
        <v>124</v>
      </c>
      <c r="AE66" s="1" t="s">
        <v>125</v>
      </c>
      <c r="AF66" s="5">
        <f t="shared" si="0"/>
        <v>45649</v>
      </c>
      <c r="AG66" s="5">
        <f t="shared" si="0"/>
        <v>45655</v>
      </c>
      <c r="AH66" s="5" t="b">
        <f t="shared" si="1"/>
        <v>1</v>
      </c>
      <c r="AI66" s="5" t="b">
        <f t="shared" si="1"/>
        <v>1</v>
      </c>
      <c r="AJ66" t="str">
        <f t="shared" si="2"/>
        <v>OK</v>
      </c>
      <c r="AK66">
        <f t="shared" si="3"/>
        <v>6</v>
      </c>
    </row>
    <row r="67" spans="1:37">
      <c r="A67" t="s">
        <v>429</v>
      </c>
      <c r="B67" t="s">
        <v>430</v>
      </c>
      <c r="C67" t="s">
        <v>431</v>
      </c>
      <c r="D67" t="s">
        <v>432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433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  <c r="V67" s="1" t="s">
        <v>40</v>
      </c>
      <c r="W67" s="1" t="s">
        <v>115</v>
      </c>
      <c r="X67" s="1" t="s">
        <v>73</v>
      </c>
      <c r="Y67" s="1" t="s">
        <v>74</v>
      </c>
      <c r="Z67" s="1" t="s">
        <v>75</v>
      </c>
      <c r="AA67" s="1" t="s">
        <v>30</v>
      </c>
      <c r="AB67" s="1" t="s">
        <v>31</v>
      </c>
      <c r="AC67" s="1" t="s">
        <v>33</v>
      </c>
      <c r="AD67" s="1" t="s">
        <v>34</v>
      </c>
      <c r="AE67" s="1" t="s">
        <v>35</v>
      </c>
      <c r="AF67" s="5">
        <f t="shared" ref="AF67:AG130" si="4">IFERROR(DATEVALUE(B67),IFERROR(DATE(VALUE(RIGHT(B67,4)),VALUE(MID(SUBSTITUTE(B67,"-","/"),6,2)),VALUE(LEFT(B67,2))),NA()))</f>
        <v>45404</v>
      </c>
      <c r="AG67" s="5">
        <f t="shared" si="4"/>
        <v>45409</v>
      </c>
      <c r="AH67" s="5" t="b">
        <f t="shared" ref="AH67:AI130" si="5">ISNUMBER(AF67)</f>
        <v>1</v>
      </c>
      <c r="AI67" s="5" t="b">
        <f t="shared" si="5"/>
        <v>1</v>
      </c>
      <c r="AJ67" t="str">
        <f t="shared" ref="AJ67:AJ130" si="6">IF(AG67&lt;AF67,"Invalid: Ship before Order","OK")</f>
        <v>OK</v>
      </c>
      <c r="AK67">
        <f t="shared" ref="AK67:AK130" si="7">DATEDIF(AF67, AG67, "D")</f>
        <v>5</v>
      </c>
    </row>
    <row r="68" spans="1:37">
      <c r="A68" t="s">
        <v>434</v>
      </c>
      <c r="B68" t="s">
        <v>435</v>
      </c>
      <c r="C68" t="s">
        <v>436</v>
      </c>
      <c r="D68" t="s">
        <v>437</v>
      </c>
      <c r="E68" t="s">
        <v>25</v>
      </c>
      <c r="F68" t="s">
        <v>41</v>
      </c>
      <c r="G68" t="s">
        <v>62</v>
      </c>
      <c r="H68" t="s">
        <v>339</v>
      </c>
      <c r="I68" t="s">
        <v>340</v>
      </c>
      <c r="J68" t="s">
        <v>86</v>
      </c>
      <c r="K68" t="s">
        <v>87</v>
      </c>
      <c r="L68" t="s">
        <v>438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  <c r="V68" s="1" t="s">
        <v>25</v>
      </c>
      <c r="W68" s="1" t="s">
        <v>41</v>
      </c>
      <c r="X68" s="1" t="s">
        <v>62</v>
      </c>
      <c r="Y68" s="1" t="s">
        <v>339</v>
      </c>
      <c r="Z68" s="1" t="s">
        <v>340</v>
      </c>
      <c r="AA68" s="1" t="s">
        <v>86</v>
      </c>
      <c r="AB68" s="1" t="s">
        <v>87</v>
      </c>
      <c r="AC68" s="1" t="s">
        <v>48</v>
      </c>
      <c r="AD68" s="1" t="s">
        <v>34</v>
      </c>
      <c r="AE68" s="1" t="s">
        <v>35</v>
      </c>
      <c r="AF68" s="5">
        <f t="shared" si="4"/>
        <v>45897</v>
      </c>
      <c r="AG68" s="5">
        <f t="shared" si="4"/>
        <v>45901</v>
      </c>
      <c r="AH68" s="5" t="b">
        <f t="shared" si="5"/>
        <v>1</v>
      </c>
      <c r="AI68" s="5" t="b">
        <f t="shared" si="5"/>
        <v>1</v>
      </c>
      <c r="AJ68" t="str">
        <f t="shared" si="6"/>
        <v>OK</v>
      </c>
      <c r="AK68">
        <f t="shared" si="7"/>
        <v>4</v>
      </c>
    </row>
    <row r="69" spans="1:37">
      <c r="A69" t="s">
        <v>439</v>
      </c>
      <c r="B69" t="s">
        <v>440</v>
      </c>
      <c r="C69" t="s">
        <v>441</v>
      </c>
      <c r="D69" t="s">
        <v>442</v>
      </c>
      <c r="E69" t="s">
        <v>366</v>
      </c>
      <c r="F69" t="s">
        <v>26</v>
      </c>
      <c r="G69" t="s">
        <v>27</v>
      </c>
      <c r="H69" t="s">
        <v>323</v>
      </c>
      <c r="I69" t="s">
        <v>324</v>
      </c>
      <c r="J69" t="s">
        <v>30</v>
      </c>
      <c r="K69" t="s">
        <v>31</v>
      </c>
      <c r="L69" t="s">
        <v>443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  <c r="V69" s="1" t="s">
        <v>366</v>
      </c>
      <c r="W69" s="1" t="s">
        <v>26</v>
      </c>
      <c r="X69" s="1" t="s">
        <v>27</v>
      </c>
      <c r="Y69" s="1" t="s">
        <v>323</v>
      </c>
      <c r="Z69" s="1" t="s">
        <v>324</v>
      </c>
      <c r="AA69" s="1" t="s">
        <v>30</v>
      </c>
      <c r="AB69" s="1" t="s">
        <v>31</v>
      </c>
      <c r="AC69" s="1" t="s">
        <v>56</v>
      </c>
      <c r="AD69" s="1" t="s">
        <v>34</v>
      </c>
      <c r="AE69" s="1" t="s">
        <v>35</v>
      </c>
      <c r="AF69" s="5">
        <f t="shared" si="4"/>
        <v>45691</v>
      </c>
      <c r="AG69" s="5">
        <f t="shared" si="4"/>
        <v>45840</v>
      </c>
      <c r="AH69" s="5" t="b">
        <f t="shared" si="5"/>
        <v>1</v>
      </c>
      <c r="AI69" s="5" t="b">
        <f t="shared" si="5"/>
        <v>1</v>
      </c>
      <c r="AJ69" t="str">
        <f t="shared" si="6"/>
        <v>OK</v>
      </c>
      <c r="AK69">
        <f t="shared" si="7"/>
        <v>149</v>
      </c>
    </row>
    <row r="70" spans="1:37">
      <c r="A70" t="s">
        <v>444</v>
      </c>
      <c r="B70" t="s">
        <v>105</v>
      </c>
      <c r="C70" t="s">
        <v>445</v>
      </c>
      <c r="D70" t="s">
        <v>446</v>
      </c>
      <c r="E70" t="s">
        <v>53</v>
      </c>
      <c r="F70" t="s">
        <v>108</v>
      </c>
      <c r="G70" t="s">
        <v>42</v>
      </c>
      <c r="H70" t="s">
        <v>311</v>
      </c>
      <c r="I70" t="s">
        <v>312</v>
      </c>
      <c r="J70" t="s">
        <v>30</v>
      </c>
      <c r="K70" t="s">
        <v>156</v>
      </c>
      <c r="L70" t="s">
        <v>447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200</v>
      </c>
      <c r="U70" t="s">
        <v>125</v>
      </c>
      <c r="V70" s="1" t="s">
        <v>53</v>
      </c>
      <c r="W70" s="1" t="s">
        <v>108</v>
      </c>
      <c r="X70" s="1" t="s">
        <v>42</v>
      </c>
      <c r="Y70" s="1" t="s">
        <v>311</v>
      </c>
      <c r="Z70" s="1" t="s">
        <v>312</v>
      </c>
      <c r="AA70" s="1" t="s">
        <v>30</v>
      </c>
      <c r="AB70" s="1" t="s">
        <v>156</v>
      </c>
      <c r="AC70" s="1" t="s">
        <v>33</v>
      </c>
      <c r="AD70" s="1" t="s">
        <v>200</v>
      </c>
      <c r="AE70" s="1" t="s">
        <v>125</v>
      </c>
      <c r="AF70" s="5">
        <f t="shared" si="4"/>
        <v>45606</v>
      </c>
      <c r="AG70" s="5">
        <f t="shared" si="4"/>
        <v>45609</v>
      </c>
      <c r="AH70" s="5" t="b">
        <f t="shared" si="5"/>
        <v>1</v>
      </c>
      <c r="AI70" s="5" t="b">
        <f t="shared" si="5"/>
        <v>1</v>
      </c>
      <c r="AJ70" t="str">
        <f t="shared" si="6"/>
        <v>OK</v>
      </c>
      <c r="AK70">
        <f t="shared" si="7"/>
        <v>3</v>
      </c>
    </row>
    <row r="71" spans="1:37">
      <c r="A71" t="s">
        <v>448</v>
      </c>
      <c r="B71" t="s">
        <v>449</v>
      </c>
      <c r="C71" t="s">
        <v>450</v>
      </c>
      <c r="D71" t="s">
        <v>451</v>
      </c>
      <c r="E71" t="s">
        <v>93</v>
      </c>
      <c r="F71" t="s">
        <v>41</v>
      </c>
      <c r="G71" t="s">
        <v>73</v>
      </c>
      <c r="H71" t="s">
        <v>235</v>
      </c>
      <c r="I71" t="s">
        <v>236</v>
      </c>
      <c r="J71" t="s">
        <v>86</v>
      </c>
      <c r="K71" t="s">
        <v>382</v>
      </c>
      <c r="L71" t="s">
        <v>452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  <c r="V71" s="1" t="s">
        <v>93</v>
      </c>
      <c r="W71" s="1" t="s">
        <v>41</v>
      </c>
      <c r="X71" s="1" t="s">
        <v>73</v>
      </c>
      <c r="Y71" s="1" t="s">
        <v>235</v>
      </c>
      <c r="Z71" s="1" t="s">
        <v>236</v>
      </c>
      <c r="AA71" s="1" t="s">
        <v>86</v>
      </c>
      <c r="AB71" s="1" t="s">
        <v>382</v>
      </c>
      <c r="AC71" s="1" t="s">
        <v>48</v>
      </c>
      <c r="AD71" s="1" t="s">
        <v>124</v>
      </c>
      <c r="AE71" s="1" t="s">
        <v>125</v>
      </c>
      <c r="AF71" s="5">
        <f t="shared" si="4"/>
        <v>45391</v>
      </c>
      <c r="AG71" s="5">
        <f t="shared" si="4"/>
        <v>45396</v>
      </c>
      <c r="AH71" s="5" t="b">
        <f t="shared" si="5"/>
        <v>1</v>
      </c>
      <c r="AI71" s="5" t="b">
        <f t="shared" si="5"/>
        <v>1</v>
      </c>
      <c r="AJ71" t="str">
        <f t="shared" si="6"/>
        <v>OK</v>
      </c>
      <c r="AK71">
        <f t="shared" si="7"/>
        <v>5</v>
      </c>
    </row>
    <row r="72" spans="1:37">
      <c r="A72" t="s">
        <v>453</v>
      </c>
      <c r="B72" t="s">
        <v>454</v>
      </c>
      <c r="C72" t="s">
        <v>455</v>
      </c>
      <c r="D72" t="s">
        <v>456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223</v>
      </c>
      <c r="L72" t="s">
        <v>457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  <c r="V72" s="1" t="s">
        <v>25</v>
      </c>
      <c r="W72" s="1" t="s">
        <v>108</v>
      </c>
      <c r="X72" s="1" t="s">
        <v>62</v>
      </c>
      <c r="Y72" s="1" t="s">
        <v>100</v>
      </c>
      <c r="Z72" s="1" t="s">
        <v>101</v>
      </c>
      <c r="AA72" s="1" t="s">
        <v>86</v>
      </c>
      <c r="AB72" s="1" t="s">
        <v>223</v>
      </c>
      <c r="AC72" s="1" t="s">
        <v>56</v>
      </c>
      <c r="AD72" s="1" t="s">
        <v>34</v>
      </c>
      <c r="AE72" s="1" t="s">
        <v>35</v>
      </c>
      <c r="AF72" s="5">
        <f t="shared" si="4"/>
        <v>45891</v>
      </c>
      <c r="AG72" s="5">
        <f t="shared" si="4"/>
        <v>45896</v>
      </c>
      <c r="AH72" s="5" t="b">
        <f t="shared" si="5"/>
        <v>1</v>
      </c>
      <c r="AI72" s="5" t="b">
        <f t="shared" si="5"/>
        <v>1</v>
      </c>
      <c r="AJ72" t="str">
        <f t="shared" si="6"/>
        <v>OK</v>
      </c>
      <c r="AK72">
        <f t="shared" si="7"/>
        <v>5</v>
      </c>
    </row>
    <row r="73" spans="1:37">
      <c r="A73" t="s">
        <v>458</v>
      </c>
      <c r="B73" t="s">
        <v>91</v>
      </c>
      <c r="C73" t="s">
        <v>459</v>
      </c>
      <c r="D73" t="s">
        <v>460</v>
      </c>
      <c r="E73" t="s">
        <v>40</v>
      </c>
      <c r="F73" t="s">
        <v>41</v>
      </c>
      <c r="G73" t="s">
        <v>73</v>
      </c>
      <c r="H73" t="s">
        <v>249</v>
      </c>
      <c r="I73" t="s">
        <v>250</v>
      </c>
      <c r="J73" t="s">
        <v>86</v>
      </c>
      <c r="K73" t="s">
        <v>382</v>
      </c>
      <c r="L73" t="s">
        <v>461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  <c r="V73" s="1" t="s">
        <v>40</v>
      </c>
      <c r="W73" s="1" t="s">
        <v>41</v>
      </c>
      <c r="X73" s="1" t="s">
        <v>73</v>
      </c>
      <c r="Y73" s="1" t="s">
        <v>249</v>
      </c>
      <c r="Z73" s="1" t="s">
        <v>250</v>
      </c>
      <c r="AA73" s="1" t="s">
        <v>86</v>
      </c>
      <c r="AB73" s="1" t="s">
        <v>382</v>
      </c>
      <c r="AC73" s="1" t="s">
        <v>67</v>
      </c>
      <c r="AD73" s="1" t="s">
        <v>34</v>
      </c>
      <c r="AE73" s="1" t="s">
        <v>35</v>
      </c>
      <c r="AF73" s="5">
        <f t="shared" si="4"/>
        <v>45763</v>
      </c>
      <c r="AG73" s="5">
        <f t="shared" si="4"/>
        <v>45770</v>
      </c>
      <c r="AH73" s="5" t="b">
        <f t="shared" si="5"/>
        <v>1</v>
      </c>
      <c r="AI73" s="5" t="b">
        <f t="shared" si="5"/>
        <v>1</v>
      </c>
      <c r="AJ73" t="str">
        <f t="shared" si="6"/>
        <v>OK</v>
      </c>
      <c r="AK73">
        <f t="shared" si="7"/>
        <v>7</v>
      </c>
    </row>
    <row r="74" spans="1:37">
      <c r="A74" t="s">
        <v>462</v>
      </c>
      <c r="B74" t="s">
        <v>463</v>
      </c>
      <c r="C74" t="s">
        <v>464</v>
      </c>
      <c r="D74" t="s">
        <v>465</v>
      </c>
      <c r="E74" t="s">
        <v>25</v>
      </c>
      <c r="F74" t="s">
        <v>115</v>
      </c>
      <c r="G74" t="s">
        <v>62</v>
      </c>
      <c r="H74" t="s">
        <v>339</v>
      </c>
      <c r="I74" t="s">
        <v>340</v>
      </c>
      <c r="J74" t="s">
        <v>45</v>
      </c>
      <c r="K74" t="s">
        <v>46</v>
      </c>
      <c r="L74" t="s">
        <v>466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  <c r="V74" s="1" t="s">
        <v>25</v>
      </c>
      <c r="W74" s="1" t="s">
        <v>115</v>
      </c>
      <c r="X74" s="1" t="s">
        <v>62</v>
      </c>
      <c r="Y74" s="1" t="s">
        <v>339</v>
      </c>
      <c r="Z74" s="1" t="s">
        <v>340</v>
      </c>
      <c r="AA74" s="1" t="s">
        <v>45</v>
      </c>
      <c r="AB74" s="1" t="s">
        <v>46</v>
      </c>
      <c r="AC74" s="1" t="s">
        <v>56</v>
      </c>
      <c r="AD74" s="1" t="s">
        <v>34</v>
      </c>
      <c r="AE74" s="1" t="s">
        <v>35</v>
      </c>
      <c r="AF74" s="5">
        <f t="shared" si="4"/>
        <v>45333</v>
      </c>
      <c r="AG74" s="5">
        <f t="shared" si="4"/>
        <v>45329</v>
      </c>
      <c r="AH74" s="5" t="b">
        <f t="shared" si="5"/>
        <v>1</v>
      </c>
      <c r="AI74" s="5" t="b">
        <f t="shared" si="5"/>
        <v>1</v>
      </c>
      <c r="AJ74" t="str">
        <f t="shared" si="6"/>
        <v>Invalid: Ship before Order</v>
      </c>
      <c r="AK74" t="e">
        <f t="shared" si="7"/>
        <v>#NUM!</v>
      </c>
    </row>
    <row r="75" spans="1:37">
      <c r="A75" t="s">
        <v>467</v>
      </c>
      <c r="B75" t="s">
        <v>468</v>
      </c>
      <c r="C75" t="s">
        <v>469</v>
      </c>
      <c r="D75" t="s">
        <v>470</v>
      </c>
      <c r="E75" t="s">
        <v>168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204</v>
      </c>
      <c r="L75" t="s">
        <v>471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  <c r="V75" s="1" t="s">
        <v>168</v>
      </c>
      <c r="W75" s="1" t="s">
        <v>108</v>
      </c>
      <c r="X75" s="1" t="s">
        <v>42</v>
      </c>
      <c r="Y75" s="1" t="s">
        <v>121</v>
      </c>
      <c r="Z75" s="1" t="s">
        <v>122</v>
      </c>
      <c r="AA75" s="1" t="s">
        <v>45</v>
      </c>
      <c r="AB75" s="1" t="s">
        <v>204</v>
      </c>
      <c r="AC75" s="1" t="s">
        <v>56</v>
      </c>
      <c r="AD75" s="1" t="s">
        <v>34</v>
      </c>
      <c r="AE75" s="1" t="s">
        <v>35</v>
      </c>
      <c r="AF75" s="5" t="e">
        <f t="shared" si="4"/>
        <v>#N/A</v>
      </c>
      <c r="AG75" s="5">
        <f t="shared" si="4"/>
        <v>45750</v>
      </c>
      <c r="AH75" s="5" t="b">
        <f t="shared" si="5"/>
        <v>0</v>
      </c>
      <c r="AI75" s="5" t="b">
        <f t="shared" si="5"/>
        <v>1</v>
      </c>
      <c r="AJ75" t="e">
        <f t="shared" si="6"/>
        <v>#N/A</v>
      </c>
      <c r="AK75" t="e">
        <f t="shared" si="7"/>
        <v>#N/A</v>
      </c>
    </row>
    <row r="76" spans="1:37">
      <c r="A76" t="s">
        <v>472</v>
      </c>
      <c r="B76" t="s">
        <v>473</v>
      </c>
      <c r="C76" t="s">
        <v>474</v>
      </c>
      <c r="D76" t="s">
        <v>475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476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  <c r="V76" s="1" t="s">
        <v>83</v>
      </c>
      <c r="W76" s="1" t="s">
        <v>41</v>
      </c>
      <c r="X76" s="1" t="s">
        <v>42</v>
      </c>
      <c r="Y76" s="1" t="s">
        <v>121</v>
      </c>
      <c r="Z76" s="1" t="s">
        <v>122</v>
      </c>
      <c r="AA76" s="1" t="s">
        <v>45</v>
      </c>
      <c r="AB76" s="1" t="s">
        <v>76</v>
      </c>
      <c r="AC76" s="1" t="s">
        <v>67</v>
      </c>
      <c r="AD76" s="1" t="s">
        <v>34</v>
      </c>
      <c r="AE76" s="1" t="s">
        <v>35</v>
      </c>
      <c r="AF76" s="5">
        <f t="shared" si="4"/>
        <v>45715</v>
      </c>
      <c r="AG76" s="5">
        <f t="shared" si="4"/>
        <v>45717</v>
      </c>
      <c r="AH76" s="5" t="b">
        <f t="shared" si="5"/>
        <v>1</v>
      </c>
      <c r="AI76" s="5" t="b">
        <f t="shared" si="5"/>
        <v>1</v>
      </c>
      <c r="AJ76" t="str">
        <f t="shared" si="6"/>
        <v>OK</v>
      </c>
      <c r="AK76">
        <f t="shared" si="7"/>
        <v>2</v>
      </c>
    </row>
    <row r="77" spans="1:37">
      <c r="A77" t="s">
        <v>477</v>
      </c>
      <c r="B77" t="s">
        <v>478</v>
      </c>
      <c r="C77" t="s">
        <v>479</v>
      </c>
      <c r="D77" t="s">
        <v>480</v>
      </c>
      <c r="E77" t="s">
        <v>142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481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  <c r="V77" s="1" t="s">
        <v>142</v>
      </c>
      <c r="W77" s="1" t="s">
        <v>41</v>
      </c>
      <c r="X77" s="1" t="s">
        <v>42</v>
      </c>
      <c r="Y77" s="1" t="s">
        <v>43</v>
      </c>
      <c r="Z77" s="1" t="s">
        <v>44</v>
      </c>
      <c r="AA77" s="1" t="s">
        <v>30</v>
      </c>
      <c r="AB77" s="1" t="s">
        <v>109</v>
      </c>
      <c r="AC77" s="1" t="s">
        <v>56</v>
      </c>
      <c r="AD77" s="1" t="s">
        <v>34</v>
      </c>
      <c r="AE77" s="1" t="s">
        <v>35</v>
      </c>
      <c r="AF77" s="5" t="e">
        <f t="shared" si="4"/>
        <v>#N/A</v>
      </c>
      <c r="AG77" s="5">
        <f t="shared" si="4"/>
        <v>45896</v>
      </c>
      <c r="AH77" s="5" t="b">
        <f t="shared" si="5"/>
        <v>0</v>
      </c>
      <c r="AI77" s="5" t="b">
        <f t="shared" si="5"/>
        <v>1</v>
      </c>
      <c r="AJ77" t="e">
        <f t="shared" si="6"/>
        <v>#N/A</v>
      </c>
      <c r="AK77" t="e">
        <f t="shared" si="7"/>
        <v>#N/A</v>
      </c>
    </row>
    <row r="78" spans="1:37">
      <c r="A78" t="s">
        <v>482</v>
      </c>
      <c r="B78" t="s">
        <v>483</v>
      </c>
      <c r="C78" t="s">
        <v>484</v>
      </c>
      <c r="D78" t="s">
        <v>485</v>
      </c>
      <c r="E78" t="s">
        <v>72</v>
      </c>
      <c r="F78" t="s">
        <v>108</v>
      </c>
      <c r="G78" t="s">
        <v>42</v>
      </c>
      <c r="H78" t="s">
        <v>311</v>
      </c>
      <c r="I78" t="s">
        <v>312</v>
      </c>
      <c r="J78" t="s">
        <v>30</v>
      </c>
      <c r="K78" t="s">
        <v>109</v>
      </c>
      <c r="L78" t="s">
        <v>486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  <c r="V78" s="1" t="s">
        <v>72</v>
      </c>
      <c r="W78" s="1" t="s">
        <v>108</v>
      </c>
      <c r="X78" s="1" t="s">
        <v>42</v>
      </c>
      <c r="Y78" s="1" t="s">
        <v>311</v>
      </c>
      <c r="Z78" s="1" t="s">
        <v>312</v>
      </c>
      <c r="AA78" s="1" t="s">
        <v>30</v>
      </c>
      <c r="AB78" s="1" t="s">
        <v>109</v>
      </c>
      <c r="AC78" s="1" t="s">
        <v>33</v>
      </c>
      <c r="AD78" s="1" t="s">
        <v>34</v>
      </c>
      <c r="AE78" s="1" t="s">
        <v>35</v>
      </c>
      <c r="AF78" s="5">
        <f t="shared" si="4"/>
        <v>45599</v>
      </c>
      <c r="AG78" s="5">
        <f t="shared" si="4"/>
        <v>45607</v>
      </c>
      <c r="AH78" s="5" t="b">
        <f t="shared" si="5"/>
        <v>1</v>
      </c>
      <c r="AI78" s="5" t="b">
        <f t="shared" si="5"/>
        <v>1</v>
      </c>
      <c r="AJ78" t="str">
        <f t="shared" si="6"/>
        <v>OK</v>
      </c>
      <c r="AK78">
        <f t="shared" si="7"/>
        <v>8</v>
      </c>
    </row>
    <row r="79" spans="1:37">
      <c r="A79" t="s">
        <v>487</v>
      </c>
      <c r="B79" t="s">
        <v>488</v>
      </c>
      <c r="C79" t="s">
        <v>489</v>
      </c>
      <c r="D79" t="s">
        <v>490</v>
      </c>
      <c r="E79" t="s">
        <v>180</v>
      </c>
      <c r="F79" t="s">
        <v>115</v>
      </c>
      <c r="G79" t="s">
        <v>27</v>
      </c>
      <c r="H79" t="s">
        <v>174</v>
      </c>
      <c r="I79" t="s">
        <v>175</v>
      </c>
      <c r="J79" t="s">
        <v>45</v>
      </c>
      <c r="K79" t="s">
        <v>65</v>
      </c>
      <c r="L79" t="s">
        <v>491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  <c r="V79" s="1" t="s">
        <v>180</v>
      </c>
      <c r="W79" s="1" t="s">
        <v>115</v>
      </c>
      <c r="X79" s="1" t="s">
        <v>27</v>
      </c>
      <c r="Y79" s="1" t="s">
        <v>174</v>
      </c>
      <c r="Z79" s="1" t="s">
        <v>175</v>
      </c>
      <c r="AA79" s="1" t="s">
        <v>45</v>
      </c>
      <c r="AB79" s="1" t="s">
        <v>65</v>
      </c>
      <c r="AC79" s="1" t="s">
        <v>67</v>
      </c>
      <c r="AD79" s="1" t="s">
        <v>124</v>
      </c>
      <c r="AE79" s="1" t="s">
        <v>78</v>
      </c>
      <c r="AF79" s="5">
        <f t="shared" si="4"/>
        <v>45846</v>
      </c>
      <c r="AG79" s="5">
        <f t="shared" si="4"/>
        <v>45998</v>
      </c>
      <c r="AH79" s="5" t="b">
        <f t="shared" si="5"/>
        <v>1</v>
      </c>
      <c r="AI79" s="5" t="b">
        <f t="shared" si="5"/>
        <v>1</v>
      </c>
      <c r="AJ79" t="str">
        <f t="shared" si="6"/>
        <v>OK</v>
      </c>
      <c r="AK79">
        <f t="shared" si="7"/>
        <v>152</v>
      </c>
    </row>
    <row r="80" spans="1:37">
      <c r="A80" t="s">
        <v>492</v>
      </c>
      <c r="B80" t="s">
        <v>493</v>
      </c>
      <c r="C80" t="s">
        <v>494</v>
      </c>
      <c r="D80" t="s">
        <v>495</v>
      </c>
      <c r="E80" t="s">
        <v>168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496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  <c r="V80" s="1" t="s">
        <v>168</v>
      </c>
      <c r="W80" s="1" t="s">
        <v>108</v>
      </c>
      <c r="X80" s="1" t="s">
        <v>42</v>
      </c>
      <c r="Y80" s="1" t="s">
        <v>121</v>
      </c>
      <c r="Z80" s="1" t="s">
        <v>122</v>
      </c>
      <c r="AA80" s="1" t="s">
        <v>45</v>
      </c>
      <c r="AB80" s="1" t="s">
        <v>46</v>
      </c>
      <c r="AC80" s="1" t="s">
        <v>56</v>
      </c>
      <c r="AD80" s="1" t="s">
        <v>34</v>
      </c>
      <c r="AE80" s="1" t="s">
        <v>35</v>
      </c>
      <c r="AF80" s="5">
        <f t="shared" si="4"/>
        <v>45854</v>
      </c>
      <c r="AG80" s="5" t="e">
        <f t="shared" si="4"/>
        <v>#N/A</v>
      </c>
      <c r="AH80" s="5" t="b">
        <f t="shared" si="5"/>
        <v>1</v>
      </c>
      <c r="AI80" s="5" t="b">
        <f t="shared" si="5"/>
        <v>0</v>
      </c>
      <c r="AJ80" t="e">
        <f t="shared" si="6"/>
        <v>#N/A</v>
      </c>
      <c r="AK80" t="e">
        <f t="shared" si="7"/>
        <v>#N/A</v>
      </c>
    </row>
    <row r="81" spans="1:37">
      <c r="A81" t="s">
        <v>497</v>
      </c>
      <c r="B81" t="s">
        <v>498</v>
      </c>
      <c r="C81" t="s">
        <v>499</v>
      </c>
      <c r="D81" t="s">
        <v>500</v>
      </c>
      <c r="E81" t="s">
        <v>210</v>
      </c>
      <c r="F81" t="s">
        <v>115</v>
      </c>
      <c r="G81" t="s">
        <v>62</v>
      </c>
      <c r="H81" t="s">
        <v>339</v>
      </c>
      <c r="I81" t="s">
        <v>340</v>
      </c>
      <c r="J81" t="s">
        <v>45</v>
      </c>
      <c r="K81" t="s">
        <v>76</v>
      </c>
      <c r="L81" t="s">
        <v>501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  <c r="V81" s="1" t="s">
        <v>210</v>
      </c>
      <c r="W81" s="1" t="s">
        <v>115</v>
      </c>
      <c r="X81" s="1" t="s">
        <v>62</v>
      </c>
      <c r="Y81" s="1" t="s">
        <v>339</v>
      </c>
      <c r="Z81" s="1" t="s">
        <v>340</v>
      </c>
      <c r="AA81" s="1" t="s">
        <v>45</v>
      </c>
      <c r="AB81" s="1" t="s">
        <v>76</v>
      </c>
      <c r="AC81" s="1" t="s">
        <v>48</v>
      </c>
      <c r="AD81" s="1" t="s">
        <v>34</v>
      </c>
      <c r="AE81" s="1" t="s">
        <v>35</v>
      </c>
      <c r="AF81" s="5">
        <f t="shared" si="4"/>
        <v>45927</v>
      </c>
      <c r="AG81" s="5">
        <f t="shared" si="4"/>
        <v>45933</v>
      </c>
      <c r="AH81" s="5" t="b">
        <f t="shared" si="5"/>
        <v>1</v>
      </c>
      <c r="AI81" s="5" t="b">
        <f t="shared" si="5"/>
        <v>1</v>
      </c>
      <c r="AJ81" t="str">
        <f t="shared" si="6"/>
        <v>OK</v>
      </c>
      <c r="AK81">
        <f t="shared" si="7"/>
        <v>6</v>
      </c>
    </row>
    <row r="82" spans="1:37">
      <c r="A82" t="s">
        <v>502</v>
      </c>
      <c r="B82" t="s">
        <v>503</v>
      </c>
      <c r="C82" t="s">
        <v>504</v>
      </c>
      <c r="D82" t="s">
        <v>505</v>
      </c>
      <c r="E82" t="s">
        <v>162</v>
      </c>
      <c r="F82" t="s">
        <v>41</v>
      </c>
      <c r="G82" t="s">
        <v>27</v>
      </c>
      <c r="H82" t="s">
        <v>506</v>
      </c>
      <c r="I82" t="s">
        <v>507</v>
      </c>
      <c r="J82" t="s">
        <v>30</v>
      </c>
      <c r="K82" t="s">
        <v>156</v>
      </c>
      <c r="L82" t="s">
        <v>508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137</v>
      </c>
      <c r="U82" t="s">
        <v>125</v>
      </c>
      <c r="V82" s="1" t="s">
        <v>162</v>
      </c>
      <c r="W82" s="1" t="s">
        <v>41</v>
      </c>
      <c r="X82" s="1" t="s">
        <v>27</v>
      </c>
      <c r="Y82" s="1" t="s">
        <v>506</v>
      </c>
      <c r="Z82" s="1" t="s">
        <v>507</v>
      </c>
      <c r="AA82" s="1" t="s">
        <v>30</v>
      </c>
      <c r="AB82" s="1" t="s">
        <v>156</v>
      </c>
      <c r="AC82" s="1" t="s">
        <v>33</v>
      </c>
      <c r="AD82" s="1" t="s">
        <v>137</v>
      </c>
      <c r="AE82" s="1" t="s">
        <v>125</v>
      </c>
      <c r="AF82" s="5">
        <f t="shared" si="4"/>
        <v>45514</v>
      </c>
      <c r="AG82" s="5">
        <f t="shared" si="4"/>
        <v>45518</v>
      </c>
      <c r="AH82" s="5" t="b">
        <f t="shared" si="5"/>
        <v>1</v>
      </c>
      <c r="AI82" s="5" t="b">
        <f t="shared" si="5"/>
        <v>1</v>
      </c>
      <c r="AJ82" t="str">
        <f t="shared" si="6"/>
        <v>OK</v>
      </c>
      <c r="AK82">
        <f t="shared" si="7"/>
        <v>4</v>
      </c>
    </row>
    <row r="83" spans="1:37">
      <c r="A83" t="s">
        <v>509</v>
      </c>
      <c r="B83" t="s">
        <v>510</v>
      </c>
      <c r="C83" t="s">
        <v>511</v>
      </c>
      <c r="D83" t="s">
        <v>512</v>
      </c>
      <c r="E83" t="s">
        <v>25</v>
      </c>
      <c r="F83" t="s">
        <v>115</v>
      </c>
      <c r="G83" t="s">
        <v>73</v>
      </c>
      <c r="H83" t="s">
        <v>249</v>
      </c>
      <c r="I83" t="s">
        <v>250</v>
      </c>
      <c r="J83" t="s">
        <v>30</v>
      </c>
      <c r="K83" t="s">
        <v>109</v>
      </c>
      <c r="L83" t="s">
        <v>513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  <c r="V83" s="1" t="s">
        <v>25</v>
      </c>
      <c r="W83" s="1" t="s">
        <v>115</v>
      </c>
      <c r="X83" s="1" t="s">
        <v>73</v>
      </c>
      <c r="Y83" s="1" t="s">
        <v>249</v>
      </c>
      <c r="Z83" s="1" t="s">
        <v>250</v>
      </c>
      <c r="AA83" s="1" t="s">
        <v>30</v>
      </c>
      <c r="AB83" s="1" t="s">
        <v>109</v>
      </c>
      <c r="AC83" s="1" t="s">
        <v>48</v>
      </c>
      <c r="AD83" s="1" t="s">
        <v>34</v>
      </c>
      <c r="AE83" s="1" t="s">
        <v>35</v>
      </c>
      <c r="AF83" s="5">
        <f t="shared" si="4"/>
        <v>45732</v>
      </c>
      <c r="AG83" s="5" t="e">
        <f t="shared" si="4"/>
        <v>#N/A</v>
      </c>
      <c r="AH83" s="5" t="b">
        <f t="shared" si="5"/>
        <v>1</v>
      </c>
      <c r="AI83" s="5" t="b">
        <f t="shared" si="5"/>
        <v>0</v>
      </c>
      <c r="AJ83" t="e">
        <f t="shared" si="6"/>
        <v>#N/A</v>
      </c>
      <c r="AK83" t="e">
        <f t="shared" si="7"/>
        <v>#N/A</v>
      </c>
    </row>
    <row r="84" spans="1:37">
      <c r="A84" t="s">
        <v>514</v>
      </c>
      <c r="B84" t="s">
        <v>515</v>
      </c>
      <c r="C84" t="s">
        <v>516</v>
      </c>
      <c r="D84" t="s">
        <v>517</v>
      </c>
      <c r="E84" t="s">
        <v>61</v>
      </c>
      <c r="F84" t="s">
        <v>26</v>
      </c>
      <c r="G84" t="s">
        <v>27</v>
      </c>
      <c r="H84" t="s">
        <v>174</v>
      </c>
      <c r="I84" t="s">
        <v>175</v>
      </c>
      <c r="J84" t="s">
        <v>86</v>
      </c>
      <c r="K84" t="s">
        <v>94</v>
      </c>
      <c r="L84" t="s">
        <v>518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200</v>
      </c>
      <c r="U84" t="s">
        <v>125</v>
      </c>
      <c r="V84" s="1" t="s">
        <v>61</v>
      </c>
      <c r="W84" s="1" t="s">
        <v>26</v>
      </c>
      <c r="X84" s="1" t="s">
        <v>27</v>
      </c>
      <c r="Y84" s="1" t="s">
        <v>174</v>
      </c>
      <c r="Z84" s="1" t="s">
        <v>175</v>
      </c>
      <c r="AA84" s="1" t="s">
        <v>86</v>
      </c>
      <c r="AB84" s="1" t="s">
        <v>94</v>
      </c>
      <c r="AC84" s="1" t="s">
        <v>33</v>
      </c>
      <c r="AD84" s="1" t="s">
        <v>200</v>
      </c>
      <c r="AE84" s="1" t="s">
        <v>125</v>
      </c>
      <c r="AF84" s="5">
        <f t="shared" si="4"/>
        <v>45507</v>
      </c>
      <c r="AG84" s="5">
        <f t="shared" si="4"/>
        <v>45390</v>
      </c>
      <c r="AH84" s="5" t="b">
        <f t="shared" si="5"/>
        <v>1</v>
      </c>
      <c r="AI84" s="5" t="b">
        <f t="shared" si="5"/>
        <v>1</v>
      </c>
      <c r="AJ84" t="str">
        <f t="shared" si="6"/>
        <v>Invalid: Ship before Order</v>
      </c>
      <c r="AK84" t="e">
        <f t="shared" si="7"/>
        <v>#NUM!</v>
      </c>
    </row>
    <row r="85" spans="1:37">
      <c r="A85" t="s">
        <v>519</v>
      </c>
      <c r="B85" t="s">
        <v>363</v>
      </c>
      <c r="C85" t="s">
        <v>520</v>
      </c>
      <c r="D85" t="s">
        <v>521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522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  <c r="V85" s="1" t="s">
        <v>107</v>
      </c>
      <c r="W85" s="1" t="s">
        <v>115</v>
      </c>
      <c r="X85" s="1" t="s">
        <v>73</v>
      </c>
      <c r="Y85" s="1" t="s">
        <v>74</v>
      </c>
      <c r="Z85" s="1" t="s">
        <v>75</v>
      </c>
      <c r="AA85" s="1" t="s">
        <v>45</v>
      </c>
      <c r="AB85" s="1" t="s">
        <v>46</v>
      </c>
      <c r="AC85" s="1" t="s">
        <v>33</v>
      </c>
      <c r="AD85" s="1" t="s">
        <v>34</v>
      </c>
      <c r="AE85" s="1" t="s">
        <v>35</v>
      </c>
      <c r="AF85" s="5" t="e">
        <f t="shared" si="4"/>
        <v>#N/A</v>
      </c>
      <c r="AG85" s="5" t="e">
        <f t="shared" si="4"/>
        <v>#N/A</v>
      </c>
      <c r="AH85" s="5" t="b">
        <f t="shared" si="5"/>
        <v>0</v>
      </c>
      <c r="AI85" s="5" t="b">
        <f t="shared" si="5"/>
        <v>0</v>
      </c>
      <c r="AJ85" t="e">
        <f t="shared" si="6"/>
        <v>#N/A</v>
      </c>
      <c r="AK85" t="e">
        <f t="shared" si="7"/>
        <v>#N/A</v>
      </c>
    </row>
    <row r="86" spans="1:37">
      <c r="A86" t="s">
        <v>523</v>
      </c>
      <c r="B86" t="s">
        <v>524</v>
      </c>
      <c r="C86" t="s">
        <v>525</v>
      </c>
      <c r="D86" t="s">
        <v>526</v>
      </c>
      <c r="E86" t="s">
        <v>180</v>
      </c>
      <c r="F86" t="s">
        <v>108</v>
      </c>
      <c r="G86" t="s">
        <v>62</v>
      </c>
      <c r="H86" t="s">
        <v>339</v>
      </c>
      <c r="I86" t="s">
        <v>340</v>
      </c>
      <c r="J86" t="s">
        <v>86</v>
      </c>
      <c r="K86" t="s">
        <v>223</v>
      </c>
      <c r="L86" t="s">
        <v>527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  <c r="V86" s="1" t="s">
        <v>180</v>
      </c>
      <c r="W86" s="1" t="s">
        <v>108</v>
      </c>
      <c r="X86" s="1" t="s">
        <v>62</v>
      </c>
      <c r="Y86" s="1" t="s">
        <v>339</v>
      </c>
      <c r="Z86" s="1" t="s">
        <v>340</v>
      </c>
      <c r="AA86" s="1" t="s">
        <v>86</v>
      </c>
      <c r="AB86" s="1" t="s">
        <v>223</v>
      </c>
      <c r="AC86" s="1" t="s">
        <v>33</v>
      </c>
      <c r="AD86" s="1" t="s">
        <v>34</v>
      </c>
      <c r="AE86" s="1" t="s">
        <v>35</v>
      </c>
      <c r="AF86" s="5">
        <f t="shared" si="4"/>
        <v>45566</v>
      </c>
      <c r="AG86" s="5">
        <f t="shared" si="4"/>
        <v>45568</v>
      </c>
      <c r="AH86" s="5" t="b">
        <f t="shared" si="5"/>
        <v>1</v>
      </c>
      <c r="AI86" s="5" t="b">
        <f t="shared" si="5"/>
        <v>1</v>
      </c>
      <c r="AJ86" t="str">
        <f t="shared" si="6"/>
        <v>OK</v>
      </c>
      <c r="AK86">
        <f t="shared" si="7"/>
        <v>2</v>
      </c>
    </row>
    <row r="87" spans="1:37">
      <c r="A87" t="s">
        <v>528</v>
      </c>
      <c r="B87" t="s">
        <v>529</v>
      </c>
      <c r="C87" t="s">
        <v>530</v>
      </c>
      <c r="D87" t="s">
        <v>531</v>
      </c>
      <c r="E87" t="s">
        <v>366</v>
      </c>
      <c r="F87" t="s">
        <v>108</v>
      </c>
      <c r="G87" t="s">
        <v>27</v>
      </c>
      <c r="H87" t="s">
        <v>506</v>
      </c>
      <c r="I87" t="s">
        <v>507</v>
      </c>
      <c r="J87" t="s">
        <v>30</v>
      </c>
      <c r="K87" t="s">
        <v>198</v>
      </c>
      <c r="L87" t="s">
        <v>532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  <c r="V87" s="1" t="s">
        <v>366</v>
      </c>
      <c r="W87" s="1" t="s">
        <v>108</v>
      </c>
      <c r="X87" s="1" t="s">
        <v>27</v>
      </c>
      <c r="Y87" s="1" t="s">
        <v>506</v>
      </c>
      <c r="Z87" s="1" t="s">
        <v>507</v>
      </c>
      <c r="AA87" s="1" t="s">
        <v>30</v>
      </c>
      <c r="AB87" s="1" t="s">
        <v>198</v>
      </c>
      <c r="AC87" s="1" t="s">
        <v>67</v>
      </c>
      <c r="AD87" s="1" t="s">
        <v>34</v>
      </c>
      <c r="AE87" s="1" t="s">
        <v>78</v>
      </c>
      <c r="AF87" s="5">
        <f t="shared" si="4"/>
        <v>45503</v>
      </c>
      <c r="AG87" s="5">
        <f t="shared" si="4"/>
        <v>45509</v>
      </c>
      <c r="AH87" s="5" t="b">
        <f t="shared" si="5"/>
        <v>1</v>
      </c>
      <c r="AI87" s="5" t="b">
        <f t="shared" si="5"/>
        <v>1</v>
      </c>
      <c r="AJ87" t="str">
        <f t="shared" si="6"/>
        <v>OK</v>
      </c>
      <c r="AK87">
        <f t="shared" si="7"/>
        <v>6</v>
      </c>
    </row>
    <row r="88" spans="1:37">
      <c r="A88" t="s">
        <v>533</v>
      </c>
      <c r="B88" t="s">
        <v>534</v>
      </c>
      <c r="C88" t="s">
        <v>534</v>
      </c>
      <c r="D88" t="s">
        <v>535</v>
      </c>
      <c r="E88" t="s">
        <v>72</v>
      </c>
      <c r="F88" t="s">
        <v>41</v>
      </c>
      <c r="G88" t="s">
        <v>27</v>
      </c>
      <c r="H88" t="s">
        <v>506</v>
      </c>
      <c r="I88" t="s">
        <v>507</v>
      </c>
      <c r="J88" t="s">
        <v>86</v>
      </c>
      <c r="K88" t="s">
        <v>94</v>
      </c>
      <c r="L88" t="s">
        <v>536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  <c r="V88" s="1" t="s">
        <v>72</v>
      </c>
      <c r="W88" s="1" t="s">
        <v>41</v>
      </c>
      <c r="X88" s="1" t="s">
        <v>27</v>
      </c>
      <c r="Y88" s="1" t="s">
        <v>506</v>
      </c>
      <c r="Z88" s="1" t="s">
        <v>507</v>
      </c>
      <c r="AA88" s="1" t="s">
        <v>86</v>
      </c>
      <c r="AB88" s="1" t="s">
        <v>94</v>
      </c>
      <c r="AC88" s="1" t="s">
        <v>33</v>
      </c>
      <c r="AD88" s="1" t="s">
        <v>124</v>
      </c>
      <c r="AE88" s="1" t="s">
        <v>78</v>
      </c>
      <c r="AF88" s="5">
        <f t="shared" si="4"/>
        <v>45474</v>
      </c>
      <c r="AG88" s="5">
        <f t="shared" si="4"/>
        <v>45474</v>
      </c>
      <c r="AH88" s="5" t="b">
        <f t="shared" si="5"/>
        <v>1</v>
      </c>
      <c r="AI88" s="5" t="b">
        <f t="shared" si="5"/>
        <v>1</v>
      </c>
      <c r="AJ88" t="str">
        <f t="shared" si="6"/>
        <v>OK</v>
      </c>
      <c r="AK88">
        <f t="shared" si="7"/>
        <v>0</v>
      </c>
    </row>
    <row r="89" spans="1:37">
      <c r="A89" t="s">
        <v>537</v>
      </c>
      <c r="B89" t="s">
        <v>538</v>
      </c>
      <c r="C89" t="s">
        <v>515</v>
      </c>
      <c r="D89" t="s">
        <v>539</v>
      </c>
      <c r="E89" t="s">
        <v>83</v>
      </c>
      <c r="F89" t="s">
        <v>26</v>
      </c>
      <c r="G89" t="s">
        <v>42</v>
      </c>
      <c r="H89" t="s">
        <v>216</v>
      </c>
      <c r="I89" t="s">
        <v>217</v>
      </c>
      <c r="J89" t="s">
        <v>30</v>
      </c>
      <c r="K89" t="s">
        <v>198</v>
      </c>
      <c r="L89" t="s">
        <v>540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  <c r="V89" s="1" t="s">
        <v>83</v>
      </c>
      <c r="W89" s="1" t="s">
        <v>26</v>
      </c>
      <c r="X89" s="1" t="s">
        <v>42</v>
      </c>
      <c r="Y89" s="1" t="s">
        <v>216</v>
      </c>
      <c r="Z89" s="1" t="s">
        <v>217</v>
      </c>
      <c r="AA89" s="1" t="s">
        <v>30</v>
      </c>
      <c r="AB89" s="1" t="s">
        <v>198</v>
      </c>
      <c r="AC89" s="1" t="s">
        <v>67</v>
      </c>
      <c r="AD89" s="1" t="s">
        <v>34</v>
      </c>
      <c r="AE89" s="1" t="s">
        <v>35</v>
      </c>
      <c r="AF89" s="5">
        <f t="shared" si="4"/>
        <v>45330</v>
      </c>
      <c r="AG89" s="5">
        <f t="shared" si="4"/>
        <v>45507</v>
      </c>
      <c r="AH89" s="5" t="b">
        <f t="shared" si="5"/>
        <v>1</v>
      </c>
      <c r="AI89" s="5" t="b">
        <f t="shared" si="5"/>
        <v>1</v>
      </c>
      <c r="AJ89" t="str">
        <f t="shared" si="6"/>
        <v>OK</v>
      </c>
      <c r="AK89">
        <f t="shared" si="7"/>
        <v>177</v>
      </c>
    </row>
    <row r="90" spans="1:37">
      <c r="A90" t="s">
        <v>541</v>
      </c>
      <c r="B90" t="s">
        <v>542</v>
      </c>
      <c r="C90" t="s">
        <v>543</v>
      </c>
      <c r="D90" t="s">
        <v>544</v>
      </c>
      <c r="E90" t="s">
        <v>180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204</v>
      </c>
      <c r="L90" t="s">
        <v>545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  <c r="V90" s="1" t="s">
        <v>180</v>
      </c>
      <c r="W90" s="1" t="s">
        <v>41</v>
      </c>
      <c r="X90" s="1" t="s">
        <v>73</v>
      </c>
      <c r="Y90" s="1" t="s">
        <v>74</v>
      </c>
      <c r="Z90" s="1" t="s">
        <v>75</v>
      </c>
      <c r="AA90" s="1" t="s">
        <v>45</v>
      </c>
      <c r="AB90" s="1" t="s">
        <v>204</v>
      </c>
      <c r="AC90" s="1" t="s">
        <v>67</v>
      </c>
      <c r="AD90" s="1" t="s">
        <v>34</v>
      </c>
      <c r="AE90" s="1" t="s">
        <v>35</v>
      </c>
      <c r="AF90" s="5">
        <f t="shared" si="4"/>
        <v>45375</v>
      </c>
      <c r="AG90" s="5">
        <f t="shared" si="4"/>
        <v>45378</v>
      </c>
      <c r="AH90" s="5" t="b">
        <f t="shared" si="5"/>
        <v>1</v>
      </c>
      <c r="AI90" s="5" t="b">
        <f t="shared" si="5"/>
        <v>1</v>
      </c>
      <c r="AJ90" t="str">
        <f t="shared" si="6"/>
        <v>OK</v>
      </c>
      <c r="AK90">
        <f t="shared" si="7"/>
        <v>3</v>
      </c>
    </row>
    <row r="91" spans="1:37">
      <c r="A91" t="s">
        <v>546</v>
      </c>
      <c r="B91" t="s">
        <v>38</v>
      </c>
      <c r="C91" t="s">
        <v>38</v>
      </c>
      <c r="D91" t="s">
        <v>547</v>
      </c>
      <c r="E91" t="s">
        <v>366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204</v>
      </c>
      <c r="L91" t="s">
        <v>548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137</v>
      </c>
      <c r="U91" t="s">
        <v>78</v>
      </c>
      <c r="V91" s="1" t="s">
        <v>366</v>
      </c>
      <c r="W91" s="1" t="s">
        <v>26</v>
      </c>
      <c r="X91" s="1" t="s">
        <v>62</v>
      </c>
      <c r="Y91" s="1" t="s">
        <v>100</v>
      </c>
      <c r="Z91" s="1" t="s">
        <v>101</v>
      </c>
      <c r="AA91" s="1" t="s">
        <v>45</v>
      </c>
      <c r="AB91" s="1" t="s">
        <v>204</v>
      </c>
      <c r="AC91" s="1" t="s">
        <v>67</v>
      </c>
      <c r="AD91" s="1" t="s">
        <v>137</v>
      </c>
      <c r="AE91" s="1" t="s">
        <v>78</v>
      </c>
      <c r="AF91" s="5">
        <f t="shared" si="4"/>
        <v>45540</v>
      </c>
      <c r="AG91" s="5">
        <f t="shared" si="4"/>
        <v>45540</v>
      </c>
      <c r="AH91" s="5" t="b">
        <f t="shared" si="5"/>
        <v>1</v>
      </c>
      <c r="AI91" s="5" t="b">
        <f t="shared" si="5"/>
        <v>1</v>
      </c>
      <c r="AJ91" t="str">
        <f t="shared" si="6"/>
        <v>OK</v>
      </c>
      <c r="AK91">
        <f t="shared" si="7"/>
        <v>0</v>
      </c>
    </row>
    <row r="92" spans="1:37">
      <c r="A92" t="s">
        <v>549</v>
      </c>
      <c r="B92" t="s">
        <v>550</v>
      </c>
      <c r="C92" t="s">
        <v>69</v>
      </c>
      <c r="D92" t="s">
        <v>551</v>
      </c>
      <c r="E92" t="s">
        <v>162</v>
      </c>
      <c r="F92" t="s">
        <v>41</v>
      </c>
      <c r="G92" t="s">
        <v>42</v>
      </c>
      <c r="H92" t="s">
        <v>186</v>
      </c>
      <c r="I92" t="s">
        <v>187</v>
      </c>
      <c r="J92" t="s">
        <v>86</v>
      </c>
      <c r="K92" t="s">
        <v>94</v>
      </c>
      <c r="L92" t="s">
        <v>552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  <c r="V92" s="1" t="s">
        <v>162</v>
      </c>
      <c r="W92" s="1" t="s">
        <v>41</v>
      </c>
      <c r="X92" s="1" t="s">
        <v>42</v>
      </c>
      <c r="Y92" s="1" t="s">
        <v>186</v>
      </c>
      <c r="Z92" s="1" t="s">
        <v>187</v>
      </c>
      <c r="AA92" s="1" t="s">
        <v>86</v>
      </c>
      <c r="AB92" s="1" t="s">
        <v>94</v>
      </c>
      <c r="AC92" s="1" t="s">
        <v>56</v>
      </c>
      <c r="AD92" s="1" t="s">
        <v>34</v>
      </c>
      <c r="AE92" s="1" t="s">
        <v>35</v>
      </c>
      <c r="AF92" s="5">
        <f t="shared" si="4"/>
        <v>45893</v>
      </c>
      <c r="AG92" s="5">
        <f t="shared" si="4"/>
        <v>45898</v>
      </c>
      <c r="AH92" s="5" t="b">
        <f t="shared" si="5"/>
        <v>1</v>
      </c>
      <c r="AI92" s="5" t="b">
        <f t="shared" si="5"/>
        <v>1</v>
      </c>
      <c r="AJ92" t="str">
        <f t="shared" si="6"/>
        <v>OK</v>
      </c>
      <c r="AK92">
        <f t="shared" si="7"/>
        <v>5</v>
      </c>
    </row>
    <row r="93" spans="1:37">
      <c r="A93" t="s">
        <v>553</v>
      </c>
      <c r="B93" t="s">
        <v>554</v>
      </c>
      <c r="C93" t="s">
        <v>555</v>
      </c>
      <c r="D93" t="s">
        <v>556</v>
      </c>
      <c r="E93" t="s">
        <v>168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557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  <c r="V93" s="1" t="s">
        <v>168</v>
      </c>
      <c r="W93" s="1" t="s">
        <v>108</v>
      </c>
      <c r="X93" s="1" t="s">
        <v>73</v>
      </c>
      <c r="Y93" s="1" t="s">
        <v>84</v>
      </c>
      <c r="Z93" s="1" t="s">
        <v>85</v>
      </c>
      <c r="AA93" s="1" t="s">
        <v>86</v>
      </c>
      <c r="AB93" s="1" t="s">
        <v>94</v>
      </c>
      <c r="AC93" s="1" t="s">
        <v>33</v>
      </c>
      <c r="AD93" s="1" t="s">
        <v>34</v>
      </c>
      <c r="AE93" s="1" t="s">
        <v>35</v>
      </c>
      <c r="AF93" s="5">
        <f t="shared" si="4"/>
        <v>45691</v>
      </c>
      <c r="AG93" s="5">
        <f t="shared" si="4"/>
        <v>45724</v>
      </c>
      <c r="AH93" s="5" t="b">
        <f t="shared" si="5"/>
        <v>1</v>
      </c>
      <c r="AI93" s="5" t="b">
        <f t="shared" si="5"/>
        <v>1</v>
      </c>
      <c r="AJ93" t="str">
        <f t="shared" si="6"/>
        <v>OK</v>
      </c>
      <c r="AK93">
        <f t="shared" si="7"/>
        <v>33</v>
      </c>
    </row>
    <row r="94" spans="1:37">
      <c r="A94" t="s">
        <v>558</v>
      </c>
      <c r="B94" t="s">
        <v>184</v>
      </c>
      <c r="C94" t="s">
        <v>559</v>
      </c>
      <c r="D94" t="s">
        <v>560</v>
      </c>
      <c r="E94" t="s">
        <v>162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561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  <c r="V94" s="1" t="s">
        <v>162</v>
      </c>
      <c r="W94" s="1" t="s">
        <v>26</v>
      </c>
      <c r="X94" s="1" t="s">
        <v>73</v>
      </c>
      <c r="Y94" s="1" t="s">
        <v>84</v>
      </c>
      <c r="Z94" s="1" t="s">
        <v>85</v>
      </c>
      <c r="AA94" s="1" t="s">
        <v>30</v>
      </c>
      <c r="AB94" s="1" t="s">
        <v>31</v>
      </c>
      <c r="AC94" s="1" t="s">
        <v>67</v>
      </c>
      <c r="AD94" s="1" t="s">
        <v>34</v>
      </c>
      <c r="AE94" s="1" t="s">
        <v>35</v>
      </c>
      <c r="AF94" s="5">
        <f t="shared" si="4"/>
        <v>45680</v>
      </c>
      <c r="AG94" s="5">
        <f t="shared" si="4"/>
        <v>45683</v>
      </c>
      <c r="AH94" s="5" t="b">
        <f t="shared" si="5"/>
        <v>1</v>
      </c>
      <c r="AI94" s="5" t="b">
        <f t="shared" si="5"/>
        <v>1</v>
      </c>
      <c r="AJ94" t="str">
        <f t="shared" si="6"/>
        <v>OK</v>
      </c>
      <c r="AK94">
        <f t="shared" si="7"/>
        <v>3</v>
      </c>
    </row>
    <row r="95" spans="1:37">
      <c r="A95" t="s">
        <v>562</v>
      </c>
      <c r="B95" t="s">
        <v>165</v>
      </c>
      <c r="C95" t="s">
        <v>563</v>
      </c>
      <c r="D95" t="s">
        <v>564</v>
      </c>
      <c r="E95" t="s">
        <v>180</v>
      </c>
      <c r="F95" t="s">
        <v>108</v>
      </c>
      <c r="G95" t="s">
        <v>27</v>
      </c>
      <c r="H95" t="s">
        <v>174</v>
      </c>
      <c r="I95" t="s">
        <v>175</v>
      </c>
      <c r="J95" t="s">
        <v>30</v>
      </c>
      <c r="K95" t="s">
        <v>198</v>
      </c>
      <c r="L95" t="s">
        <v>565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  <c r="V95" s="1" t="s">
        <v>180</v>
      </c>
      <c r="W95" s="1" t="s">
        <v>108</v>
      </c>
      <c r="X95" s="1" t="s">
        <v>27</v>
      </c>
      <c r="Y95" s="1" t="s">
        <v>174</v>
      </c>
      <c r="Z95" s="1" t="s">
        <v>175</v>
      </c>
      <c r="AA95" s="1" t="s">
        <v>30</v>
      </c>
      <c r="AB95" s="1" t="s">
        <v>198</v>
      </c>
      <c r="AC95" s="1" t="s">
        <v>67</v>
      </c>
      <c r="AD95" s="1" t="s">
        <v>34</v>
      </c>
      <c r="AE95" s="1" t="s">
        <v>35</v>
      </c>
      <c r="AF95" s="5">
        <f t="shared" si="4"/>
        <v>45298</v>
      </c>
      <c r="AG95" s="5" t="e">
        <f t="shared" si="4"/>
        <v>#N/A</v>
      </c>
      <c r="AH95" s="5" t="b">
        <f t="shared" si="5"/>
        <v>1</v>
      </c>
      <c r="AI95" s="5" t="b">
        <f t="shared" si="5"/>
        <v>0</v>
      </c>
      <c r="AJ95" t="e">
        <f t="shared" si="6"/>
        <v>#N/A</v>
      </c>
      <c r="AK95" t="e">
        <f t="shared" si="7"/>
        <v>#N/A</v>
      </c>
    </row>
    <row r="96" spans="1:37">
      <c r="A96" t="s">
        <v>566</v>
      </c>
      <c r="B96" t="s">
        <v>567</v>
      </c>
      <c r="C96" t="s">
        <v>568</v>
      </c>
      <c r="D96" t="s">
        <v>569</v>
      </c>
      <c r="E96" t="s">
        <v>210</v>
      </c>
      <c r="F96" t="s">
        <v>26</v>
      </c>
      <c r="G96" t="s">
        <v>27</v>
      </c>
      <c r="H96" t="s">
        <v>323</v>
      </c>
      <c r="I96" t="s">
        <v>324</v>
      </c>
      <c r="J96" t="s">
        <v>86</v>
      </c>
      <c r="K96" t="s">
        <v>223</v>
      </c>
      <c r="L96" t="s">
        <v>570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137</v>
      </c>
      <c r="U96" t="s">
        <v>78</v>
      </c>
      <c r="V96" s="1" t="s">
        <v>210</v>
      </c>
      <c r="W96" s="1" t="s">
        <v>26</v>
      </c>
      <c r="X96" s="1" t="s">
        <v>27</v>
      </c>
      <c r="Y96" s="1" t="s">
        <v>323</v>
      </c>
      <c r="Z96" s="1" t="s">
        <v>324</v>
      </c>
      <c r="AA96" s="1" t="s">
        <v>86</v>
      </c>
      <c r="AB96" s="1" t="s">
        <v>223</v>
      </c>
      <c r="AC96" s="1" t="s">
        <v>33</v>
      </c>
      <c r="AD96" s="1" t="s">
        <v>137</v>
      </c>
      <c r="AE96" s="1" t="s">
        <v>78</v>
      </c>
      <c r="AF96" s="5">
        <f t="shared" si="4"/>
        <v>45541</v>
      </c>
      <c r="AG96" s="5">
        <f t="shared" si="4"/>
        <v>45544</v>
      </c>
      <c r="AH96" s="5" t="b">
        <f t="shared" si="5"/>
        <v>1</v>
      </c>
      <c r="AI96" s="5" t="b">
        <f t="shared" si="5"/>
        <v>1</v>
      </c>
      <c r="AJ96" t="str">
        <f t="shared" si="6"/>
        <v>OK</v>
      </c>
      <c r="AK96">
        <f t="shared" si="7"/>
        <v>3</v>
      </c>
    </row>
    <row r="97" spans="1:37">
      <c r="A97" t="s">
        <v>571</v>
      </c>
      <c r="B97" t="s">
        <v>572</v>
      </c>
      <c r="C97" t="s">
        <v>573</v>
      </c>
      <c r="D97" t="s">
        <v>574</v>
      </c>
      <c r="E97" t="s">
        <v>168</v>
      </c>
      <c r="F97" t="s">
        <v>108</v>
      </c>
      <c r="G97" t="s">
        <v>73</v>
      </c>
      <c r="H97" t="s">
        <v>249</v>
      </c>
      <c r="I97" t="s">
        <v>250</v>
      </c>
      <c r="J97" t="s">
        <v>45</v>
      </c>
      <c r="K97" t="s">
        <v>204</v>
      </c>
      <c r="L97" t="s">
        <v>575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  <c r="V97" s="1" t="s">
        <v>168</v>
      </c>
      <c r="W97" s="1" t="s">
        <v>108</v>
      </c>
      <c r="X97" s="1" t="s">
        <v>73</v>
      </c>
      <c r="Y97" s="1" t="s">
        <v>249</v>
      </c>
      <c r="Z97" s="1" t="s">
        <v>250</v>
      </c>
      <c r="AA97" s="1" t="s">
        <v>45</v>
      </c>
      <c r="AB97" s="1" t="s">
        <v>204</v>
      </c>
      <c r="AC97" s="1" t="s">
        <v>48</v>
      </c>
      <c r="AD97" s="1" t="s">
        <v>34</v>
      </c>
      <c r="AE97" s="1" t="s">
        <v>35</v>
      </c>
      <c r="AF97" s="5">
        <f t="shared" si="4"/>
        <v>45786</v>
      </c>
      <c r="AG97" s="5">
        <f t="shared" si="4"/>
        <v>45910</v>
      </c>
      <c r="AH97" s="5" t="b">
        <f t="shared" si="5"/>
        <v>1</v>
      </c>
      <c r="AI97" s="5" t="b">
        <f t="shared" si="5"/>
        <v>1</v>
      </c>
      <c r="AJ97" t="str">
        <f t="shared" si="6"/>
        <v>OK</v>
      </c>
      <c r="AK97">
        <f t="shared" si="7"/>
        <v>124</v>
      </c>
    </row>
    <row r="98" spans="1:37">
      <c r="A98" t="s">
        <v>576</v>
      </c>
      <c r="B98" t="s">
        <v>577</v>
      </c>
      <c r="C98" t="s">
        <v>578</v>
      </c>
      <c r="D98" t="s">
        <v>579</v>
      </c>
      <c r="E98" t="s">
        <v>148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580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  <c r="V98" s="1" t="s">
        <v>148</v>
      </c>
      <c r="W98" s="1" t="s">
        <v>115</v>
      </c>
      <c r="X98" s="1" t="s">
        <v>42</v>
      </c>
      <c r="Y98" s="1" t="s">
        <v>43</v>
      </c>
      <c r="Z98" s="1" t="s">
        <v>44</v>
      </c>
      <c r="AA98" s="1" t="s">
        <v>86</v>
      </c>
      <c r="AB98" s="1" t="s">
        <v>94</v>
      </c>
      <c r="AC98" s="1" t="s">
        <v>33</v>
      </c>
      <c r="AD98" s="1" t="s">
        <v>34</v>
      </c>
      <c r="AE98" s="1" t="s">
        <v>35</v>
      </c>
      <c r="AF98" s="5">
        <f t="shared" si="4"/>
        <v>45448</v>
      </c>
      <c r="AG98" s="5">
        <f t="shared" si="4"/>
        <v>45479</v>
      </c>
      <c r="AH98" s="5" t="b">
        <f t="shared" si="5"/>
        <v>1</v>
      </c>
      <c r="AI98" s="5" t="b">
        <f t="shared" si="5"/>
        <v>1</v>
      </c>
      <c r="AJ98" t="str">
        <f t="shared" si="6"/>
        <v>OK</v>
      </c>
      <c r="AK98">
        <f t="shared" si="7"/>
        <v>31</v>
      </c>
    </row>
    <row r="99" spans="1:37">
      <c r="A99" t="s">
        <v>581</v>
      </c>
      <c r="B99" t="s">
        <v>582</v>
      </c>
      <c r="C99" t="s">
        <v>583</v>
      </c>
      <c r="D99" t="s">
        <v>584</v>
      </c>
      <c r="E99" t="s">
        <v>210</v>
      </c>
      <c r="F99" t="s">
        <v>41</v>
      </c>
      <c r="G99" t="s">
        <v>73</v>
      </c>
      <c r="H99" t="s">
        <v>235</v>
      </c>
      <c r="I99" t="s">
        <v>236</v>
      </c>
      <c r="J99" t="s">
        <v>30</v>
      </c>
      <c r="K99" t="s">
        <v>156</v>
      </c>
      <c r="L99" t="s">
        <v>585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137</v>
      </c>
      <c r="U99" t="s">
        <v>125</v>
      </c>
      <c r="V99" s="1" t="s">
        <v>210</v>
      </c>
      <c r="W99" s="1" t="s">
        <v>41</v>
      </c>
      <c r="X99" s="1" t="s">
        <v>73</v>
      </c>
      <c r="Y99" s="1" t="s">
        <v>235</v>
      </c>
      <c r="Z99" s="1" t="s">
        <v>236</v>
      </c>
      <c r="AA99" s="1" t="s">
        <v>30</v>
      </c>
      <c r="AB99" s="1" t="s">
        <v>156</v>
      </c>
      <c r="AC99" s="1" t="s">
        <v>48</v>
      </c>
      <c r="AD99" s="1" t="s">
        <v>137</v>
      </c>
      <c r="AE99" s="1" t="s">
        <v>125</v>
      </c>
      <c r="AF99" s="5">
        <f t="shared" si="4"/>
        <v>45877</v>
      </c>
      <c r="AG99" s="5">
        <f t="shared" si="4"/>
        <v>45880</v>
      </c>
      <c r="AH99" s="5" t="b">
        <f t="shared" si="5"/>
        <v>1</v>
      </c>
      <c r="AI99" s="5" t="b">
        <f t="shared" si="5"/>
        <v>1</v>
      </c>
      <c r="AJ99" t="str">
        <f t="shared" si="6"/>
        <v>OK</v>
      </c>
      <c r="AK99">
        <f t="shared" si="7"/>
        <v>3</v>
      </c>
    </row>
    <row r="100" spans="1:37">
      <c r="A100" t="s">
        <v>586</v>
      </c>
      <c r="B100" t="s">
        <v>587</v>
      </c>
      <c r="C100" t="s">
        <v>588</v>
      </c>
      <c r="D100" t="s">
        <v>589</v>
      </c>
      <c r="E100" t="s">
        <v>180</v>
      </c>
      <c r="F100" t="s">
        <v>115</v>
      </c>
      <c r="G100" t="s">
        <v>62</v>
      </c>
      <c r="H100" t="s">
        <v>242</v>
      </c>
      <c r="I100" t="s">
        <v>243</v>
      </c>
      <c r="J100" t="s">
        <v>86</v>
      </c>
      <c r="K100" t="s">
        <v>94</v>
      </c>
      <c r="L100" t="s">
        <v>590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  <c r="V100" s="1" t="s">
        <v>180</v>
      </c>
      <c r="W100" s="1" t="s">
        <v>115</v>
      </c>
      <c r="X100" s="1" t="s">
        <v>62</v>
      </c>
      <c r="Y100" s="1" t="s">
        <v>242</v>
      </c>
      <c r="Z100" s="1" t="s">
        <v>243</v>
      </c>
      <c r="AA100" s="1" t="s">
        <v>86</v>
      </c>
      <c r="AB100" s="1" t="s">
        <v>94</v>
      </c>
      <c r="AC100" s="1" t="s">
        <v>4119</v>
      </c>
      <c r="AD100" s="1" t="s">
        <v>34</v>
      </c>
      <c r="AE100" s="1" t="s">
        <v>35</v>
      </c>
      <c r="AF100" s="5">
        <f t="shared" si="4"/>
        <v>45317</v>
      </c>
      <c r="AG100" s="5">
        <f t="shared" si="4"/>
        <v>45323</v>
      </c>
      <c r="AH100" s="5" t="b">
        <f t="shared" si="5"/>
        <v>1</v>
      </c>
      <c r="AI100" s="5" t="b">
        <f t="shared" si="5"/>
        <v>1</v>
      </c>
      <c r="AJ100" t="str">
        <f t="shared" si="6"/>
        <v>OK</v>
      </c>
      <c r="AK100">
        <f t="shared" si="7"/>
        <v>6</v>
      </c>
    </row>
    <row r="101" spans="1:37">
      <c r="A101" t="s">
        <v>591</v>
      </c>
      <c r="B101" t="s">
        <v>592</v>
      </c>
      <c r="C101" t="s">
        <v>592</v>
      </c>
      <c r="D101" t="s">
        <v>593</v>
      </c>
      <c r="E101" t="s">
        <v>107</v>
      </c>
      <c r="F101" t="s">
        <v>41</v>
      </c>
      <c r="G101" t="s">
        <v>73</v>
      </c>
      <c r="H101" t="s">
        <v>28</v>
      </c>
      <c r="I101" t="s">
        <v>135</v>
      </c>
      <c r="J101" t="s">
        <v>86</v>
      </c>
      <c r="K101" t="s">
        <v>87</v>
      </c>
      <c r="L101" t="s">
        <v>594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  <c r="V101" s="1" t="s">
        <v>107</v>
      </c>
      <c r="W101" s="1" t="s">
        <v>41</v>
      </c>
      <c r="X101" s="1" t="s">
        <v>73</v>
      </c>
      <c r="Y101" s="1" t="s">
        <v>28</v>
      </c>
      <c r="Z101" s="1" t="s">
        <v>135</v>
      </c>
      <c r="AA101" s="1" t="s">
        <v>86</v>
      </c>
      <c r="AB101" s="1" t="s">
        <v>87</v>
      </c>
      <c r="AC101" s="1" t="s">
        <v>48</v>
      </c>
      <c r="AD101" s="1" t="s">
        <v>34</v>
      </c>
      <c r="AE101" s="1" t="s">
        <v>35</v>
      </c>
      <c r="AF101" s="5">
        <f t="shared" si="4"/>
        <v>45962</v>
      </c>
      <c r="AG101" s="5">
        <f t="shared" si="4"/>
        <v>45962</v>
      </c>
      <c r="AH101" s="5" t="b">
        <f t="shared" si="5"/>
        <v>1</v>
      </c>
      <c r="AI101" s="5" t="b">
        <f t="shared" si="5"/>
        <v>1</v>
      </c>
      <c r="AJ101" t="str">
        <f t="shared" si="6"/>
        <v>OK</v>
      </c>
      <c r="AK101">
        <f t="shared" si="7"/>
        <v>0</v>
      </c>
    </row>
    <row r="102" spans="1:37">
      <c r="A102" t="s">
        <v>595</v>
      </c>
      <c r="B102" t="s">
        <v>596</v>
      </c>
      <c r="C102" t="s">
        <v>597</v>
      </c>
      <c r="D102" t="s">
        <v>598</v>
      </c>
      <c r="E102" t="s">
        <v>162</v>
      </c>
      <c r="F102" t="s">
        <v>115</v>
      </c>
      <c r="G102" t="s">
        <v>62</v>
      </c>
      <c r="H102" t="s">
        <v>242</v>
      </c>
      <c r="I102" t="s">
        <v>243</v>
      </c>
      <c r="J102" t="s">
        <v>30</v>
      </c>
      <c r="K102" t="s">
        <v>156</v>
      </c>
      <c r="L102" t="s">
        <v>599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  <c r="V102" s="1" t="s">
        <v>162</v>
      </c>
      <c r="W102" s="1" t="s">
        <v>115</v>
      </c>
      <c r="X102" s="1" t="s">
        <v>62</v>
      </c>
      <c r="Y102" s="1" t="s">
        <v>242</v>
      </c>
      <c r="Z102" s="1" t="s">
        <v>243</v>
      </c>
      <c r="AA102" s="1" t="s">
        <v>30</v>
      </c>
      <c r="AB102" s="1" t="s">
        <v>156</v>
      </c>
      <c r="AC102" s="1" t="s">
        <v>67</v>
      </c>
      <c r="AD102" s="1" t="s">
        <v>34</v>
      </c>
      <c r="AE102" s="1" t="s">
        <v>35</v>
      </c>
      <c r="AF102" s="5">
        <f t="shared" si="4"/>
        <v>45912</v>
      </c>
      <c r="AG102" s="5">
        <f t="shared" si="4"/>
        <v>45918</v>
      </c>
      <c r="AH102" s="5" t="b">
        <f t="shared" si="5"/>
        <v>1</v>
      </c>
      <c r="AI102" s="5" t="b">
        <f t="shared" si="5"/>
        <v>1</v>
      </c>
      <c r="AJ102" t="str">
        <f t="shared" si="6"/>
        <v>OK</v>
      </c>
      <c r="AK102">
        <f t="shared" si="7"/>
        <v>6</v>
      </c>
    </row>
    <row r="103" spans="1:37">
      <c r="A103" t="s">
        <v>600</v>
      </c>
      <c r="B103" t="s">
        <v>320</v>
      </c>
      <c r="C103" t="s">
        <v>601</v>
      </c>
      <c r="D103" t="s">
        <v>602</v>
      </c>
      <c r="E103" t="s">
        <v>180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65</v>
      </c>
      <c r="L103" t="s">
        <v>603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  <c r="V103" s="1" t="s">
        <v>180</v>
      </c>
      <c r="W103" s="1" t="s">
        <v>115</v>
      </c>
      <c r="X103" s="1" t="s">
        <v>42</v>
      </c>
      <c r="Y103" s="1" t="s">
        <v>186</v>
      </c>
      <c r="Z103" s="1" t="s">
        <v>187</v>
      </c>
      <c r="AA103" s="1" t="s">
        <v>45</v>
      </c>
      <c r="AB103" s="1" t="s">
        <v>65</v>
      </c>
      <c r="AC103" s="1" t="s">
        <v>56</v>
      </c>
      <c r="AD103" s="1" t="s">
        <v>34</v>
      </c>
      <c r="AE103" s="1" t="s">
        <v>35</v>
      </c>
      <c r="AF103" s="5">
        <f t="shared" si="4"/>
        <v>45465</v>
      </c>
      <c r="AG103" s="5" t="e">
        <f t="shared" si="4"/>
        <v>#N/A</v>
      </c>
      <c r="AH103" s="5" t="b">
        <f t="shared" si="5"/>
        <v>1</v>
      </c>
      <c r="AI103" s="5" t="b">
        <f t="shared" si="5"/>
        <v>0</v>
      </c>
      <c r="AJ103" t="e">
        <f t="shared" si="6"/>
        <v>#N/A</v>
      </c>
      <c r="AK103" t="e">
        <f t="shared" si="7"/>
        <v>#N/A</v>
      </c>
    </row>
    <row r="104" spans="1:37">
      <c r="A104" t="s">
        <v>604</v>
      </c>
      <c r="B104" t="s">
        <v>605</v>
      </c>
      <c r="C104" t="s">
        <v>606</v>
      </c>
      <c r="D104" t="s">
        <v>607</v>
      </c>
      <c r="E104" t="s">
        <v>83</v>
      </c>
      <c r="F104" t="s">
        <v>26</v>
      </c>
      <c r="G104" t="s">
        <v>62</v>
      </c>
      <c r="H104" t="s">
        <v>229</v>
      </c>
      <c r="I104" t="s">
        <v>230</v>
      </c>
      <c r="J104" t="s">
        <v>45</v>
      </c>
      <c r="K104" t="s">
        <v>76</v>
      </c>
      <c r="L104" t="s">
        <v>608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  <c r="V104" s="1" t="s">
        <v>83</v>
      </c>
      <c r="W104" s="1" t="s">
        <v>26</v>
      </c>
      <c r="X104" s="1" t="s">
        <v>62</v>
      </c>
      <c r="Y104" s="1" t="s">
        <v>229</v>
      </c>
      <c r="Z104" s="1" t="s">
        <v>230</v>
      </c>
      <c r="AA104" s="1" t="s">
        <v>45</v>
      </c>
      <c r="AB104" s="1" t="s">
        <v>76</v>
      </c>
      <c r="AC104" s="1" t="s">
        <v>56</v>
      </c>
      <c r="AD104" s="1" t="s">
        <v>124</v>
      </c>
      <c r="AE104" s="1" t="s">
        <v>78</v>
      </c>
      <c r="AF104" s="5">
        <f t="shared" si="4"/>
        <v>45850</v>
      </c>
      <c r="AG104" s="5">
        <f t="shared" si="4"/>
        <v>45854</v>
      </c>
      <c r="AH104" s="5" t="b">
        <f t="shared" si="5"/>
        <v>1</v>
      </c>
      <c r="AI104" s="5" t="b">
        <f t="shared" si="5"/>
        <v>1</v>
      </c>
      <c r="AJ104" t="str">
        <f t="shared" si="6"/>
        <v>OK</v>
      </c>
      <c r="AK104">
        <f t="shared" si="7"/>
        <v>4</v>
      </c>
    </row>
    <row r="105" spans="1:37">
      <c r="A105" t="s">
        <v>609</v>
      </c>
      <c r="B105" t="s">
        <v>610</v>
      </c>
      <c r="C105" t="s">
        <v>611</v>
      </c>
      <c r="D105" t="s">
        <v>612</v>
      </c>
      <c r="E105" t="s">
        <v>366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613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  <c r="V105" s="1" t="s">
        <v>366</v>
      </c>
      <c r="W105" s="1" t="s">
        <v>108</v>
      </c>
      <c r="X105" s="1" t="s">
        <v>73</v>
      </c>
      <c r="Y105" s="1" t="s">
        <v>74</v>
      </c>
      <c r="Z105" s="1" t="s">
        <v>75</v>
      </c>
      <c r="AA105" s="1" t="s">
        <v>45</v>
      </c>
      <c r="AB105" s="1" t="s">
        <v>46</v>
      </c>
      <c r="AC105" s="1" t="s">
        <v>56</v>
      </c>
      <c r="AD105" s="1" t="s">
        <v>34</v>
      </c>
      <c r="AE105" s="1" t="s">
        <v>35</v>
      </c>
      <c r="AF105" s="5">
        <f t="shared" si="4"/>
        <v>45779</v>
      </c>
      <c r="AG105" s="5">
        <f t="shared" si="4"/>
        <v>45787</v>
      </c>
      <c r="AH105" s="5" t="b">
        <f t="shared" si="5"/>
        <v>1</v>
      </c>
      <c r="AI105" s="5" t="b">
        <f t="shared" si="5"/>
        <v>1</v>
      </c>
      <c r="AJ105" t="str">
        <f t="shared" si="6"/>
        <v>OK</v>
      </c>
      <c r="AK105">
        <f t="shared" si="7"/>
        <v>8</v>
      </c>
    </row>
    <row r="106" spans="1:37">
      <c r="A106" t="s">
        <v>614</v>
      </c>
      <c r="B106" t="s">
        <v>615</v>
      </c>
      <c r="C106" t="s">
        <v>616</v>
      </c>
      <c r="D106" t="s">
        <v>617</v>
      </c>
      <c r="E106" t="s">
        <v>72</v>
      </c>
      <c r="F106" t="s">
        <v>26</v>
      </c>
      <c r="G106" t="s">
        <v>62</v>
      </c>
      <c r="H106" t="s">
        <v>229</v>
      </c>
      <c r="I106" t="s">
        <v>230</v>
      </c>
      <c r="J106" t="s">
        <v>30</v>
      </c>
      <c r="K106" t="s">
        <v>109</v>
      </c>
      <c r="L106" t="s">
        <v>618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  <c r="V106" s="1" t="s">
        <v>72</v>
      </c>
      <c r="W106" s="1" t="s">
        <v>26</v>
      </c>
      <c r="X106" s="1" t="s">
        <v>62</v>
      </c>
      <c r="Y106" s="1" t="s">
        <v>229</v>
      </c>
      <c r="Z106" s="1" t="s">
        <v>230</v>
      </c>
      <c r="AA106" s="1" t="s">
        <v>30</v>
      </c>
      <c r="AB106" s="1" t="s">
        <v>109</v>
      </c>
      <c r="AC106" s="1" t="s">
        <v>48</v>
      </c>
      <c r="AD106" s="1" t="s">
        <v>34</v>
      </c>
      <c r="AE106" s="1" t="s">
        <v>78</v>
      </c>
      <c r="AF106" s="5">
        <f t="shared" si="4"/>
        <v>45689</v>
      </c>
      <c r="AG106" s="5">
        <f t="shared" si="4"/>
        <v>45696</v>
      </c>
      <c r="AH106" s="5" t="b">
        <f t="shared" si="5"/>
        <v>1</v>
      </c>
      <c r="AI106" s="5" t="b">
        <f t="shared" si="5"/>
        <v>1</v>
      </c>
      <c r="AJ106" t="str">
        <f t="shared" si="6"/>
        <v>OK</v>
      </c>
      <c r="AK106">
        <f t="shared" si="7"/>
        <v>7</v>
      </c>
    </row>
    <row r="107" spans="1:37">
      <c r="A107" t="s">
        <v>619</v>
      </c>
      <c r="B107" t="s">
        <v>620</v>
      </c>
      <c r="C107" t="s">
        <v>621</v>
      </c>
      <c r="D107" t="s">
        <v>622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623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  <c r="V107" s="1" t="s">
        <v>40</v>
      </c>
      <c r="W107" s="1" t="s">
        <v>115</v>
      </c>
      <c r="X107" s="1" t="s">
        <v>42</v>
      </c>
      <c r="Y107" s="1" t="s">
        <v>121</v>
      </c>
      <c r="Z107" s="1" t="s">
        <v>122</v>
      </c>
      <c r="AA107" s="1" t="s">
        <v>45</v>
      </c>
      <c r="AB107" s="1" t="s">
        <v>46</v>
      </c>
      <c r="AC107" s="1" t="s">
        <v>33</v>
      </c>
      <c r="AD107" s="1" t="s">
        <v>34</v>
      </c>
      <c r="AE107" s="1" t="s">
        <v>35</v>
      </c>
      <c r="AF107" s="5">
        <f t="shared" si="4"/>
        <v>45467</v>
      </c>
      <c r="AG107" s="5" t="e">
        <f t="shared" si="4"/>
        <v>#N/A</v>
      </c>
      <c r="AH107" s="5" t="b">
        <f t="shared" si="5"/>
        <v>1</v>
      </c>
      <c r="AI107" s="5" t="b">
        <f t="shared" si="5"/>
        <v>0</v>
      </c>
      <c r="AJ107" t="e">
        <f t="shared" si="6"/>
        <v>#N/A</v>
      </c>
      <c r="AK107" t="e">
        <f t="shared" si="7"/>
        <v>#N/A</v>
      </c>
    </row>
    <row r="108" spans="1:37">
      <c r="A108" t="s">
        <v>624</v>
      </c>
      <c r="B108" t="s">
        <v>625</v>
      </c>
      <c r="C108" t="s">
        <v>626</v>
      </c>
      <c r="D108" t="s">
        <v>627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628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  <c r="V108" s="1" t="s">
        <v>61</v>
      </c>
      <c r="W108" s="1" t="s">
        <v>115</v>
      </c>
      <c r="X108" s="1" t="s">
        <v>42</v>
      </c>
      <c r="Y108" s="1" t="s">
        <v>121</v>
      </c>
      <c r="Z108" s="1" t="s">
        <v>122</v>
      </c>
      <c r="AA108" s="1" t="s">
        <v>30</v>
      </c>
      <c r="AB108" s="1" t="s">
        <v>31</v>
      </c>
      <c r="AC108" s="1" t="s">
        <v>67</v>
      </c>
      <c r="AD108" s="1" t="s">
        <v>34</v>
      </c>
      <c r="AE108" s="1" t="s">
        <v>78</v>
      </c>
      <c r="AF108" s="5" t="e">
        <f t="shared" si="4"/>
        <v>#N/A</v>
      </c>
      <c r="AG108" s="5">
        <f t="shared" si="4"/>
        <v>45350</v>
      </c>
      <c r="AH108" s="5" t="b">
        <f t="shared" si="5"/>
        <v>0</v>
      </c>
      <c r="AI108" s="5" t="b">
        <f t="shared" si="5"/>
        <v>1</v>
      </c>
      <c r="AJ108" t="e">
        <f t="shared" si="6"/>
        <v>#N/A</v>
      </c>
      <c r="AK108" t="e">
        <f t="shared" si="7"/>
        <v>#N/A</v>
      </c>
    </row>
    <row r="109" spans="1:37">
      <c r="A109" t="s">
        <v>629</v>
      </c>
      <c r="B109" t="s">
        <v>630</v>
      </c>
      <c r="C109" t="s">
        <v>631</v>
      </c>
      <c r="D109" t="s">
        <v>632</v>
      </c>
      <c r="E109" t="s">
        <v>180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633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  <c r="V109" s="1" t="s">
        <v>180</v>
      </c>
      <c r="W109" s="1" t="s">
        <v>115</v>
      </c>
      <c r="X109" s="1" t="s">
        <v>42</v>
      </c>
      <c r="Y109" s="1" t="s">
        <v>121</v>
      </c>
      <c r="Z109" s="1" t="s">
        <v>122</v>
      </c>
      <c r="AA109" s="1" t="s">
        <v>45</v>
      </c>
      <c r="AB109" s="1" t="s">
        <v>65</v>
      </c>
      <c r="AC109" s="1" t="s">
        <v>56</v>
      </c>
      <c r="AD109" s="1" t="s">
        <v>34</v>
      </c>
      <c r="AE109" s="1" t="s">
        <v>35</v>
      </c>
      <c r="AF109" s="5">
        <f t="shared" si="4"/>
        <v>45594</v>
      </c>
      <c r="AG109" s="5">
        <f t="shared" si="4"/>
        <v>45600</v>
      </c>
      <c r="AH109" s="5" t="b">
        <f t="shared" si="5"/>
        <v>1</v>
      </c>
      <c r="AI109" s="5" t="b">
        <f t="shared" si="5"/>
        <v>1</v>
      </c>
      <c r="AJ109" t="str">
        <f t="shared" si="6"/>
        <v>OK</v>
      </c>
      <c r="AK109">
        <f t="shared" si="7"/>
        <v>6</v>
      </c>
    </row>
    <row r="110" spans="1:37">
      <c r="A110" t="s">
        <v>634</v>
      </c>
      <c r="B110" t="s">
        <v>635</v>
      </c>
      <c r="C110" t="s">
        <v>636</v>
      </c>
      <c r="D110" t="s">
        <v>637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204</v>
      </c>
      <c r="L110" t="s">
        <v>638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  <c r="V110" s="1" t="s">
        <v>107</v>
      </c>
      <c r="W110" s="1" t="s">
        <v>41</v>
      </c>
      <c r="X110" s="1" t="s">
        <v>42</v>
      </c>
      <c r="Y110" s="1" t="s">
        <v>43</v>
      </c>
      <c r="Z110" s="1" t="s">
        <v>44</v>
      </c>
      <c r="AA110" s="1" t="s">
        <v>45</v>
      </c>
      <c r="AB110" s="1" t="s">
        <v>204</v>
      </c>
      <c r="AC110" s="1" t="s">
        <v>48</v>
      </c>
      <c r="AD110" s="1" t="s">
        <v>34</v>
      </c>
      <c r="AE110" s="1" t="s">
        <v>35</v>
      </c>
      <c r="AF110" s="5">
        <f t="shared" si="4"/>
        <v>45519</v>
      </c>
      <c r="AG110" s="5">
        <f t="shared" si="4"/>
        <v>45527</v>
      </c>
      <c r="AH110" s="5" t="b">
        <f t="shared" si="5"/>
        <v>1</v>
      </c>
      <c r="AI110" s="5" t="b">
        <f t="shared" si="5"/>
        <v>1</v>
      </c>
      <c r="AJ110" t="str">
        <f t="shared" si="6"/>
        <v>OK</v>
      </c>
      <c r="AK110">
        <f t="shared" si="7"/>
        <v>8</v>
      </c>
    </row>
    <row r="111" spans="1:37">
      <c r="A111" t="s">
        <v>639</v>
      </c>
      <c r="B111" t="s">
        <v>640</v>
      </c>
      <c r="C111" t="s">
        <v>479</v>
      </c>
      <c r="D111" t="s">
        <v>641</v>
      </c>
      <c r="E111" t="s">
        <v>168</v>
      </c>
      <c r="F111" t="s">
        <v>26</v>
      </c>
      <c r="G111" t="s">
        <v>27</v>
      </c>
      <c r="H111" t="s">
        <v>506</v>
      </c>
      <c r="I111" t="s">
        <v>507</v>
      </c>
      <c r="J111" t="s">
        <v>30</v>
      </c>
      <c r="K111" t="s">
        <v>198</v>
      </c>
      <c r="L111" t="s">
        <v>642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  <c r="V111" s="1" t="s">
        <v>168</v>
      </c>
      <c r="W111" s="1" t="s">
        <v>26</v>
      </c>
      <c r="X111" s="1" t="s">
        <v>27</v>
      </c>
      <c r="Y111" s="1" t="s">
        <v>506</v>
      </c>
      <c r="Z111" s="1" t="s">
        <v>507</v>
      </c>
      <c r="AA111" s="1" t="s">
        <v>30</v>
      </c>
      <c r="AB111" s="1" t="s">
        <v>198</v>
      </c>
      <c r="AC111" s="1" t="s">
        <v>33</v>
      </c>
      <c r="AD111" s="1" t="s">
        <v>34</v>
      </c>
      <c r="AE111" s="1" t="s">
        <v>35</v>
      </c>
      <c r="AF111" s="5" t="e">
        <f t="shared" si="4"/>
        <v>#N/A</v>
      </c>
      <c r="AG111" s="5">
        <f t="shared" si="4"/>
        <v>45896</v>
      </c>
      <c r="AH111" s="5" t="b">
        <f t="shared" si="5"/>
        <v>0</v>
      </c>
      <c r="AI111" s="5" t="b">
        <f t="shared" si="5"/>
        <v>1</v>
      </c>
      <c r="AJ111" t="e">
        <f t="shared" si="6"/>
        <v>#N/A</v>
      </c>
      <c r="AK111" t="e">
        <f t="shared" si="7"/>
        <v>#N/A</v>
      </c>
    </row>
    <row r="112" spans="1:37">
      <c r="A112" t="s">
        <v>643</v>
      </c>
      <c r="B112" t="s">
        <v>644</v>
      </c>
      <c r="C112" t="s">
        <v>645</v>
      </c>
      <c r="D112" t="s">
        <v>646</v>
      </c>
      <c r="E112" t="s">
        <v>83</v>
      </c>
      <c r="F112" t="s">
        <v>108</v>
      </c>
      <c r="G112" t="s">
        <v>62</v>
      </c>
      <c r="H112" t="s">
        <v>242</v>
      </c>
      <c r="I112" t="s">
        <v>243</v>
      </c>
      <c r="J112" t="s">
        <v>30</v>
      </c>
      <c r="K112" t="s">
        <v>109</v>
      </c>
      <c r="L112" t="s">
        <v>647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  <c r="V112" s="1" t="s">
        <v>83</v>
      </c>
      <c r="W112" s="1" t="s">
        <v>108</v>
      </c>
      <c r="X112" s="1" t="s">
        <v>62</v>
      </c>
      <c r="Y112" s="1" t="s">
        <v>242</v>
      </c>
      <c r="Z112" s="1" t="s">
        <v>243</v>
      </c>
      <c r="AA112" s="1" t="s">
        <v>30</v>
      </c>
      <c r="AB112" s="1" t="s">
        <v>109</v>
      </c>
      <c r="AC112" s="1" t="s">
        <v>56</v>
      </c>
      <c r="AD112" s="1" t="s">
        <v>124</v>
      </c>
      <c r="AE112" s="1" t="s">
        <v>78</v>
      </c>
      <c r="AF112" s="5">
        <f t="shared" si="4"/>
        <v>45583</v>
      </c>
      <c r="AG112" s="5">
        <f t="shared" si="4"/>
        <v>45589</v>
      </c>
      <c r="AH112" s="5" t="b">
        <f t="shared" si="5"/>
        <v>1</v>
      </c>
      <c r="AI112" s="5" t="b">
        <f t="shared" si="5"/>
        <v>1</v>
      </c>
      <c r="AJ112" t="str">
        <f t="shared" si="6"/>
        <v>OK</v>
      </c>
      <c r="AK112">
        <f t="shared" si="7"/>
        <v>6</v>
      </c>
    </row>
    <row r="113" spans="1:37">
      <c r="A113" t="s">
        <v>648</v>
      </c>
      <c r="B113" t="s">
        <v>649</v>
      </c>
      <c r="C113" t="s">
        <v>650</v>
      </c>
      <c r="D113" t="s">
        <v>651</v>
      </c>
      <c r="E113" t="s">
        <v>93</v>
      </c>
      <c r="F113" t="s">
        <v>108</v>
      </c>
      <c r="G113" t="s">
        <v>42</v>
      </c>
      <c r="H113" t="s">
        <v>186</v>
      </c>
      <c r="I113" t="s">
        <v>187</v>
      </c>
      <c r="J113" t="s">
        <v>86</v>
      </c>
      <c r="K113" t="s">
        <v>87</v>
      </c>
      <c r="L113" t="s">
        <v>652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137</v>
      </c>
      <c r="U113" t="s">
        <v>78</v>
      </c>
      <c r="V113" s="1" t="s">
        <v>93</v>
      </c>
      <c r="W113" s="1" t="s">
        <v>108</v>
      </c>
      <c r="X113" s="1" t="s">
        <v>42</v>
      </c>
      <c r="Y113" s="1" t="s">
        <v>186</v>
      </c>
      <c r="Z113" s="1" t="s">
        <v>187</v>
      </c>
      <c r="AA113" s="1" t="s">
        <v>86</v>
      </c>
      <c r="AB113" s="1" t="s">
        <v>87</v>
      </c>
      <c r="AC113" s="1" t="s">
        <v>56</v>
      </c>
      <c r="AD113" s="1" t="s">
        <v>137</v>
      </c>
      <c r="AE113" s="1" t="s">
        <v>78</v>
      </c>
      <c r="AF113" s="5">
        <f t="shared" si="4"/>
        <v>45835</v>
      </c>
      <c r="AG113" s="5">
        <f t="shared" si="4"/>
        <v>45838</v>
      </c>
      <c r="AH113" s="5" t="b">
        <f t="shared" si="5"/>
        <v>1</v>
      </c>
      <c r="AI113" s="5" t="b">
        <f t="shared" si="5"/>
        <v>1</v>
      </c>
      <c r="AJ113" t="str">
        <f t="shared" si="6"/>
        <v>OK</v>
      </c>
      <c r="AK113">
        <f t="shared" si="7"/>
        <v>3</v>
      </c>
    </row>
    <row r="114" spans="1:37">
      <c r="A114" t="s">
        <v>653</v>
      </c>
      <c r="B114" t="s">
        <v>654</v>
      </c>
      <c r="C114" t="s">
        <v>655</v>
      </c>
      <c r="D114" t="s">
        <v>656</v>
      </c>
      <c r="E114" t="s">
        <v>168</v>
      </c>
      <c r="F114" t="s">
        <v>26</v>
      </c>
      <c r="H114" t="s">
        <v>235</v>
      </c>
      <c r="I114" t="s">
        <v>236</v>
      </c>
      <c r="J114" t="s">
        <v>86</v>
      </c>
      <c r="K114" t="s">
        <v>87</v>
      </c>
      <c r="L114" t="s">
        <v>657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  <c r="V114" s="1" t="s">
        <v>168</v>
      </c>
      <c r="W114" s="1" t="s">
        <v>26</v>
      </c>
      <c r="X114" s="1" t="s">
        <v>4119</v>
      </c>
      <c r="Y114" s="1" t="s">
        <v>235</v>
      </c>
      <c r="Z114" s="1" t="s">
        <v>236</v>
      </c>
      <c r="AA114" s="1" t="s">
        <v>86</v>
      </c>
      <c r="AB114" s="1" t="s">
        <v>87</v>
      </c>
      <c r="AC114" s="1" t="s">
        <v>67</v>
      </c>
      <c r="AD114" s="1" t="s">
        <v>34</v>
      </c>
      <c r="AE114" s="1" t="s">
        <v>35</v>
      </c>
      <c r="AF114" s="5">
        <f t="shared" si="4"/>
        <v>45301</v>
      </c>
      <c r="AG114" s="5" t="e">
        <f t="shared" si="4"/>
        <v>#N/A</v>
      </c>
      <c r="AH114" s="5" t="b">
        <f t="shared" si="5"/>
        <v>1</v>
      </c>
      <c r="AI114" s="5" t="b">
        <f t="shared" si="5"/>
        <v>0</v>
      </c>
      <c r="AJ114" t="e">
        <f t="shared" si="6"/>
        <v>#N/A</v>
      </c>
      <c r="AK114" t="e">
        <f t="shared" si="7"/>
        <v>#N/A</v>
      </c>
    </row>
    <row r="115" spans="1:37">
      <c r="A115" t="s">
        <v>658</v>
      </c>
      <c r="B115" t="s">
        <v>659</v>
      </c>
      <c r="C115" t="s">
        <v>659</v>
      </c>
      <c r="D115" t="s">
        <v>521</v>
      </c>
      <c r="E115" t="s">
        <v>53</v>
      </c>
      <c r="F115" t="s">
        <v>115</v>
      </c>
      <c r="G115" t="s">
        <v>62</v>
      </c>
      <c r="H115" t="s">
        <v>339</v>
      </c>
      <c r="I115" t="s">
        <v>340</v>
      </c>
      <c r="J115" t="s">
        <v>45</v>
      </c>
      <c r="K115" t="s">
        <v>46</v>
      </c>
      <c r="L115" t="s">
        <v>660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  <c r="V115" s="1" t="s">
        <v>53</v>
      </c>
      <c r="W115" s="1" t="s">
        <v>115</v>
      </c>
      <c r="X115" s="1" t="s">
        <v>62</v>
      </c>
      <c r="Y115" s="1" t="s">
        <v>339</v>
      </c>
      <c r="Z115" s="1" t="s">
        <v>340</v>
      </c>
      <c r="AA115" s="1" t="s">
        <v>45</v>
      </c>
      <c r="AB115" s="1" t="s">
        <v>46</v>
      </c>
      <c r="AC115" s="1" t="s">
        <v>67</v>
      </c>
      <c r="AD115" s="1" t="s">
        <v>34</v>
      </c>
      <c r="AE115" s="1" t="s">
        <v>35</v>
      </c>
      <c r="AF115" s="5">
        <f t="shared" si="4"/>
        <v>45628</v>
      </c>
      <c r="AG115" s="5">
        <f t="shared" si="4"/>
        <v>45628</v>
      </c>
      <c r="AH115" s="5" t="b">
        <f t="shared" si="5"/>
        <v>1</v>
      </c>
      <c r="AI115" s="5" t="b">
        <f t="shared" si="5"/>
        <v>1</v>
      </c>
      <c r="AJ115" t="str">
        <f t="shared" si="6"/>
        <v>OK</v>
      </c>
      <c r="AK115">
        <f t="shared" si="7"/>
        <v>0</v>
      </c>
    </row>
    <row r="116" spans="1:37">
      <c r="A116" t="s">
        <v>661</v>
      </c>
      <c r="B116" t="s">
        <v>662</v>
      </c>
      <c r="C116" t="s">
        <v>663</v>
      </c>
      <c r="D116" t="s">
        <v>664</v>
      </c>
      <c r="E116" t="s">
        <v>93</v>
      </c>
      <c r="F116" t="s">
        <v>41</v>
      </c>
      <c r="G116" t="s">
        <v>27</v>
      </c>
      <c r="H116" t="s">
        <v>28</v>
      </c>
      <c r="I116" t="s">
        <v>29</v>
      </c>
      <c r="J116" t="s">
        <v>86</v>
      </c>
      <c r="K116" t="s">
        <v>87</v>
      </c>
      <c r="L116" t="s">
        <v>665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137</v>
      </c>
      <c r="U116" t="s">
        <v>78</v>
      </c>
      <c r="V116" s="1" t="s">
        <v>93</v>
      </c>
      <c r="W116" s="1" t="s">
        <v>41</v>
      </c>
      <c r="X116" s="1" t="s">
        <v>27</v>
      </c>
      <c r="Y116" s="1" t="s">
        <v>28</v>
      </c>
      <c r="Z116" s="1" t="s">
        <v>29</v>
      </c>
      <c r="AA116" s="1" t="s">
        <v>86</v>
      </c>
      <c r="AB116" s="1" t="s">
        <v>87</v>
      </c>
      <c r="AC116" s="1" t="s">
        <v>33</v>
      </c>
      <c r="AD116" s="1" t="s">
        <v>137</v>
      </c>
      <c r="AE116" s="1" t="s">
        <v>78</v>
      </c>
      <c r="AF116" s="5">
        <f t="shared" si="4"/>
        <v>45560</v>
      </c>
      <c r="AG116" s="5">
        <f t="shared" si="4"/>
        <v>45565</v>
      </c>
      <c r="AH116" s="5" t="b">
        <f t="shared" si="5"/>
        <v>1</v>
      </c>
      <c r="AI116" s="5" t="b">
        <f t="shared" si="5"/>
        <v>1</v>
      </c>
      <c r="AJ116" t="str">
        <f t="shared" si="6"/>
        <v>OK</v>
      </c>
      <c r="AK116">
        <f t="shared" si="7"/>
        <v>5</v>
      </c>
    </row>
    <row r="117" spans="1:37">
      <c r="A117" t="s">
        <v>666</v>
      </c>
      <c r="B117" t="s">
        <v>667</v>
      </c>
      <c r="C117" t="s">
        <v>668</v>
      </c>
      <c r="D117" t="s">
        <v>669</v>
      </c>
      <c r="E117" t="s">
        <v>366</v>
      </c>
      <c r="F117" t="s">
        <v>108</v>
      </c>
      <c r="G117" t="s">
        <v>62</v>
      </c>
      <c r="H117" t="s">
        <v>339</v>
      </c>
      <c r="I117" t="s">
        <v>340</v>
      </c>
      <c r="J117" t="s">
        <v>30</v>
      </c>
      <c r="K117" t="s">
        <v>198</v>
      </c>
      <c r="L117" t="s">
        <v>670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  <c r="V117" s="1" t="s">
        <v>366</v>
      </c>
      <c r="W117" s="1" t="s">
        <v>108</v>
      </c>
      <c r="X117" s="1" t="s">
        <v>62</v>
      </c>
      <c r="Y117" s="1" t="s">
        <v>339</v>
      </c>
      <c r="Z117" s="1" t="s">
        <v>340</v>
      </c>
      <c r="AA117" s="1" t="s">
        <v>30</v>
      </c>
      <c r="AB117" s="1" t="s">
        <v>198</v>
      </c>
      <c r="AC117" s="1" t="s">
        <v>48</v>
      </c>
      <c r="AD117" s="1" t="s">
        <v>34</v>
      </c>
      <c r="AE117" s="1" t="s">
        <v>78</v>
      </c>
      <c r="AF117" s="5">
        <f t="shared" si="4"/>
        <v>45653</v>
      </c>
      <c r="AG117" s="5">
        <f t="shared" si="4"/>
        <v>45658</v>
      </c>
      <c r="AH117" s="5" t="b">
        <f t="shared" si="5"/>
        <v>1</v>
      </c>
      <c r="AI117" s="5" t="b">
        <f t="shared" si="5"/>
        <v>1</v>
      </c>
      <c r="AJ117" t="str">
        <f t="shared" si="6"/>
        <v>OK</v>
      </c>
      <c r="AK117">
        <f t="shared" si="7"/>
        <v>5</v>
      </c>
    </row>
    <row r="118" spans="1:37">
      <c r="A118" t="s">
        <v>671</v>
      </c>
      <c r="B118" t="s">
        <v>672</v>
      </c>
      <c r="C118" t="s">
        <v>673</v>
      </c>
      <c r="D118" t="s">
        <v>674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198</v>
      </c>
      <c r="L118" t="s">
        <v>675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200</v>
      </c>
      <c r="U118" t="s">
        <v>78</v>
      </c>
      <c r="V118" s="1" t="s">
        <v>72</v>
      </c>
      <c r="W118" s="1" t="s">
        <v>41</v>
      </c>
      <c r="X118" s="1" t="s">
        <v>4119</v>
      </c>
      <c r="Y118" s="1" t="s">
        <v>84</v>
      </c>
      <c r="Z118" s="1" t="s">
        <v>85</v>
      </c>
      <c r="AA118" s="1" t="s">
        <v>30</v>
      </c>
      <c r="AB118" s="1" t="s">
        <v>198</v>
      </c>
      <c r="AC118" s="1" t="s">
        <v>56</v>
      </c>
      <c r="AD118" s="1" t="s">
        <v>200</v>
      </c>
      <c r="AE118" s="1" t="s">
        <v>78</v>
      </c>
      <c r="AF118" s="5">
        <f t="shared" si="4"/>
        <v>45703</v>
      </c>
      <c r="AG118" s="5">
        <f t="shared" si="4"/>
        <v>45707</v>
      </c>
      <c r="AH118" s="5" t="b">
        <f t="shared" si="5"/>
        <v>1</v>
      </c>
      <c r="AI118" s="5" t="b">
        <f t="shared" si="5"/>
        <v>1</v>
      </c>
      <c r="AJ118" t="str">
        <f t="shared" si="6"/>
        <v>OK</v>
      </c>
      <c r="AK118">
        <f t="shared" si="7"/>
        <v>4</v>
      </c>
    </row>
    <row r="119" spans="1:37">
      <c r="A119" t="s">
        <v>676</v>
      </c>
      <c r="B119" t="s">
        <v>677</v>
      </c>
      <c r="C119" t="s">
        <v>678</v>
      </c>
      <c r="D119" t="s">
        <v>679</v>
      </c>
      <c r="E119" t="s">
        <v>40</v>
      </c>
      <c r="F119" t="s">
        <v>115</v>
      </c>
      <c r="G119" t="s">
        <v>62</v>
      </c>
      <c r="H119" t="s">
        <v>339</v>
      </c>
      <c r="I119" t="s">
        <v>340</v>
      </c>
      <c r="J119" t="s">
        <v>86</v>
      </c>
      <c r="K119" t="s">
        <v>382</v>
      </c>
      <c r="L119" t="s">
        <v>680</v>
      </c>
      <c r="M119" t="s">
        <v>67</v>
      </c>
      <c r="N119">
        <v>9</v>
      </c>
      <c r="O119">
        <v>3324.55</v>
      </c>
      <c r="P119" t="s">
        <v>681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  <c r="V119" s="1" t="s">
        <v>40</v>
      </c>
      <c r="W119" s="1" t="s">
        <v>115</v>
      </c>
      <c r="X119" s="1" t="s">
        <v>62</v>
      </c>
      <c r="Y119" s="1" t="s">
        <v>339</v>
      </c>
      <c r="Z119" s="1" t="s">
        <v>340</v>
      </c>
      <c r="AA119" s="1" t="s">
        <v>86</v>
      </c>
      <c r="AB119" s="1" t="s">
        <v>382</v>
      </c>
      <c r="AC119" s="1" t="s">
        <v>67</v>
      </c>
      <c r="AD119" s="1" t="s">
        <v>34</v>
      </c>
      <c r="AE119" s="1" t="s">
        <v>35</v>
      </c>
      <c r="AF119" s="5">
        <f t="shared" si="4"/>
        <v>45337</v>
      </c>
      <c r="AG119" s="5">
        <f t="shared" si="4"/>
        <v>45339</v>
      </c>
      <c r="AH119" s="5" t="b">
        <f t="shared" si="5"/>
        <v>1</v>
      </c>
      <c r="AI119" s="5" t="b">
        <f t="shared" si="5"/>
        <v>1</v>
      </c>
      <c r="AJ119" t="str">
        <f t="shared" si="6"/>
        <v>OK</v>
      </c>
      <c r="AK119">
        <f t="shared" si="7"/>
        <v>2</v>
      </c>
    </row>
    <row r="120" spans="1:37">
      <c r="A120" t="s">
        <v>682</v>
      </c>
      <c r="B120" t="s">
        <v>683</v>
      </c>
      <c r="C120" t="s">
        <v>684</v>
      </c>
      <c r="D120" t="s">
        <v>685</v>
      </c>
      <c r="E120" t="s">
        <v>686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687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  <c r="V120" s="1" t="s">
        <v>83</v>
      </c>
      <c r="W120" s="1" t="s">
        <v>115</v>
      </c>
      <c r="X120" s="1" t="s">
        <v>62</v>
      </c>
      <c r="Y120" s="1" t="s">
        <v>100</v>
      </c>
      <c r="Z120" s="1" t="s">
        <v>101</v>
      </c>
      <c r="AA120" s="1" t="s">
        <v>86</v>
      </c>
      <c r="AB120" s="1" t="s">
        <v>94</v>
      </c>
      <c r="AC120" s="1" t="s">
        <v>48</v>
      </c>
      <c r="AD120" s="1" t="s">
        <v>34</v>
      </c>
      <c r="AE120" s="1" t="s">
        <v>35</v>
      </c>
      <c r="AF120" s="5">
        <f t="shared" si="4"/>
        <v>45453</v>
      </c>
      <c r="AG120" s="5">
        <f t="shared" si="4"/>
        <v>45461</v>
      </c>
      <c r="AH120" s="5" t="b">
        <f t="shared" si="5"/>
        <v>1</v>
      </c>
      <c r="AI120" s="5" t="b">
        <f t="shared" si="5"/>
        <v>1</v>
      </c>
      <c r="AJ120" t="str">
        <f t="shared" si="6"/>
        <v>OK</v>
      </c>
      <c r="AK120">
        <f t="shared" si="7"/>
        <v>8</v>
      </c>
    </row>
    <row r="121" spans="1:37">
      <c r="A121" t="s">
        <v>688</v>
      </c>
      <c r="B121" t="s">
        <v>689</v>
      </c>
      <c r="C121" t="s">
        <v>690</v>
      </c>
      <c r="D121" t="s">
        <v>691</v>
      </c>
      <c r="E121" t="s">
        <v>107</v>
      </c>
      <c r="F121" t="s">
        <v>41</v>
      </c>
      <c r="G121" t="s">
        <v>62</v>
      </c>
      <c r="H121" t="s">
        <v>242</v>
      </c>
      <c r="I121" t="s">
        <v>243</v>
      </c>
      <c r="J121" t="s">
        <v>45</v>
      </c>
      <c r="K121" t="s">
        <v>76</v>
      </c>
      <c r="L121" t="s">
        <v>692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  <c r="V121" s="1" t="s">
        <v>107</v>
      </c>
      <c r="W121" s="1" t="s">
        <v>41</v>
      </c>
      <c r="X121" s="1" t="s">
        <v>62</v>
      </c>
      <c r="Y121" s="1" t="s">
        <v>242</v>
      </c>
      <c r="Z121" s="1" t="s">
        <v>243</v>
      </c>
      <c r="AA121" s="1" t="s">
        <v>45</v>
      </c>
      <c r="AB121" s="1" t="s">
        <v>76</v>
      </c>
      <c r="AC121" s="1" t="s">
        <v>67</v>
      </c>
      <c r="AD121" s="1" t="s">
        <v>124</v>
      </c>
      <c r="AE121" s="1" t="s">
        <v>125</v>
      </c>
      <c r="AF121" s="5">
        <f t="shared" si="4"/>
        <v>45455</v>
      </c>
      <c r="AG121" s="5">
        <f t="shared" si="4"/>
        <v>45462</v>
      </c>
      <c r="AH121" s="5" t="b">
        <f t="shared" si="5"/>
        <v>1</v>
      </c>
      <c r="AI121" s="5" t="b">
        <f t="shared" si="5"/>
        <v>1</v>
      </c>
      <c r="AJ121" t="str">
        <f t="shared" si="6"/>
        <v>OK</v>
      </c>
      <c r="AK121">
        <f t="shared" si="7"/>
        <v>7</v>
      </c>
    </row>
    <row r="122" spans="1:37">
      <c r="A122" t="s">
        <v>693</v>
      </c>
      <c r="B122" t="s">
        <v>503</v>
      </c>
      <c r="C122" t="s">
        <v>694</v>
      </c>
      <c r="D122" t="s">
        <v>695</v>
      </c>
      <c r="E122" t="s">
        <v>168</v>
      </c>
      <c r="F122" t="s">
        <v>41</v>
      </c>
      <c r="G122" t="s">
        <v>42</v>
      </c>
      <c r="H122" t="s">
        <v>186</v>
      </c>
      <c r="I122" t="s">
        <v>187</v>
      </c>
      <c r="J122" t="s">
        <v>86</v>
      </c>
      <c r="K122" t="s">
        <v>223</v>
      </c>
      <c r="L122" t="s">
        <v>696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  <c r="V122" s="1" t="s">
        <v>168</v>
      </c>
      <c r="W122" s="1" t="s">
        <v>41</v>
      </c>
      <c r="X122" s="1" t="s">
        <v>42</v>
      </c>
      <c r="Y122" s="1" t="s">
        <v>186</v>
      </c>
      <c r="Z122" s="1" t="s">
        <v>187</v>
      </c>
      <c r="AA122" s="1" t="s">
        <v>86</v>
      </c>
      <c r="AB122" s="1" t="s">
        <v>223</v>
      </c>
      <c r="AC122" s="1" t="s">
        <v>67</v>
      </c>
      <c r="AD122" s="1" t="s">
        <v>34</v>
      </c>
      <c r="AE122" s="1" t="s">
        <v>125</v>
      </c>
      <c r="AF122" s="5">
        <f t="shared" si="4"/>
        <v>45514</v>
      </c>
      <c r="AG122" s="5">
        <f t="shared" si="4"/>
        <v>45522</v>
      </c>
      <c r="AH122" s="5" t="b">
        <f t="shared" si="5"/>
        <v>1</v>
      </c>
      <c r="AI122" s="5" t="b">
        <f t="shared" si="5"/>
        <v>1</v>
      </c>
      <c r="AJ122" t="str">
        <f t="shared" si="6"/>
        <v>OK</v>
      </c>
      <c r="AK122">
        <f t="shared" si="7"/>
        <v>8</v>
      </c>
    </row>
    <row r="123" spans="1:37">
      <c r="A123" t="s">
        <v>697</v>
      </c>
      <c r="B123" t="s">
        <v>698</v>
      </c>
      <c r="C123" t="s">
        <v>699</v>
      </c>
      <c r="D123" t="s">
        <v>700</v>
      </c>
      <c r="E123" t="s">
        <v>366</v>
      </c>
      <c r="F123" t="s">
        <v>701</v>
      </c>
      <c r="G123" t="s">
        <v>62</v>
      </c>
      <c r="H123" t="s">
        <v>100</v>
      </c>
      <c r="I123" t="s">
        <v>101</v>
      </c>
      <c r="J123" t="s">
        <v>86</v>
      </c>
      <c r="K123" t="s">
        <v>382</v>
      </c>
      <c r="L123" t="s">
        <v>702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  <c r="V123" s="1" t="s">
        <v>366</v>
      </c>
      <c r="W123" s="1" t="s">
        <v>41</v>
      </c>
      <c r="X123" s="1" t="s">
        <v>62</v>
      </c>
      <c r="Y123" s="1" t="s">
        <v>100</v>
      </c>
      <c r="Z123" s="1" t="s">
        <v>101</v>
      </c>
      <c r="AA123" s="1" t="s">
        <v>86</v>
      </c>
      <c r="AB123" s="1" t="s">
        <v>382</v>
      </c>
      <c r="AC123" s="1" t="s">
        <v>33</v>
      </c>
      <c r="AD123" s="1" t="s">
        <v>124</v>
      </c>
      <c r="AE123" s="1" t="s">
        <v>78</v>
      </c>
      <c r="AF123" s="5">
        <f t="shared" si="4"/>
        <v>45891</v>
      </c>
      <c r="AG123" s="5">
        <f t="shared" si="4"/>
        <v>45895</v>
      </c>
      <c r="AH123" s="5" t="b">
        <f t="shared" si="5"/>
        <v>1</v>
      </c>
      <c r="AI123" s="5" t="b">
        <f t="shared" si="5"/>
        <v>1</v>
      </c>
      <c r="AJ123" t="str">
        <f t="shared" si="6"/>
        <v>OK</v>
      </c>
      <c r="AK123">
        <f t="shared" si="7"/>
        <v>4</v>
      </c>
    </row>
    <row r="124" spans="1:37">
      <c r="A124" t="s">
        <v>703</v>
      </c>
      <c r="B124" t="s">
        <v>704</v>
      </c>
      <c r="C124" t="s">
        <v>705</v>
      </c>
      <c r="D124" t="s">
        <v>706</v>
      </c>
      <c r="E124" t="s">
        <v>72</v>
      </c>
      <c r="F124" t="s">
        <v>41</v>
      </c>
      <c r="G124" t="s">
        <v>42</v>
      </c>
      <c r="H124" t="s">
        <v>216</v>
      </c>
      <c r="I124" t="s">
        <v>217</v>
      </c>
      <c r="J124" t="s">
        <v>45</v>
      </c>
      <c r="K124" t="s">
        <v>76</v>
      </c>
      <c r="L124" t="s">
        <v>707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  <c r="V124" s="1" t="s">
        <v>72</v>
      </c>
      <c r="W124" s="1" t="s">
        <v>41</v>
      </c>
      <c r="X124" s="1" t="s">
        <v>42</v>
      </c>
      <c r="Y124" s="1" t="s">
        <v>216</v>
      </c>
      <c r="Z124" s="1" t="s">
        <v>217</v>
      </c>
      <c r="AA124" s="1" t="s">
        <v>45</v>
      </c>
      <c r="AB124" s="1" t="s">
        <v>76</v>
      </c>
      <c r="AC124" s="1" t="s">
        <v>33</v>
      </c>
      <c r="AD124" s="1" t="s">
        <v>34</v>
      </c>
      <c r="AE124" s="1" t="s">
        <v>35</v>
      </c>
      <c r="AF124" s="5">
        <f t="shared" si="4"/>
        <v>45626</v>
      </c>
      <c r="AG124" s="5">
        <f t="shared" si="4"/>
        <v>45394</v>
      </c>
      <c r="AH124" s="5" t="b">
        <f t="shared" si="5"/>
        <v>1</v>
      </c>
      <c r="AI124" s="5" t="b">
        <f t="shared" si="5"/>
        <v>1</v>
      </c>
      <c r="AJ124" t="str">
        <f t="shared" si="6"/>
        <v>Invalid: Ship before Order</v>
      </c>
      <c r="AK124" t="e">
        <f t="shared" si="7"/>
        <v>#NUM!</v>
      </c>
    </row>
    <row r="125" spans="1:37">
      <c r="A125" t="s">
        <v>708</v>
      </c>
      <c r="B125" t="s">
        <v>709</v>
      </c>
      <c r="C125" t="s">
        <v>710</v>
      </c>
      <c r="D125" t="s">
        <v>711</v>
      </c>
      <c r="E125" t="s">
        <v>168</v>
      </c>
      <c r="F125" t="s">
        <v>41</v>
      </c>
      <c r="G125" t="s">
        <v>712</v>
      </c>
      <c r="H125" t="s">
        <v>154</v>
      </c>
      <c r="I125" t="s">
        <v>155</v>
      </c>
      <c r="J125" t="s">
        <v>86</v>
      </c>
      <c r="K125" t="s">
        <v>94</v>
      </c>
      <c r="L125" t="s">
        <v>713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  <c r="V125" s="1" t="s">
        <v>168</v>
      </c>
      <c r="W125" s="1" t="s">
        <v>41</v>
      </c>
      <c r="X125" s="1" t="s">
        <v>27</v>
      </c>
      <c r="Y125" s="1" t="s">
        <v>154</v>
      </c>
      <c r="Z125" s="1" t="s">
        <v>155</v>
      </c>
      <c r="AA125" s="1" t="s">
        <v>86</v>
      </c>
      <c r="AB125" s="1" t="s">
        <v>94</v>
      </c>
      <c r="AC125" s="1" t="s">
        <v>48</v>
      </c>
      <c r="AD125" s="1" t="s">
        <v>124</v>
      </c>
      <c r="AE125" s="1" t="s">
        <v>78</v>
      </c>
      <c r="AF125" s="5">
        <f t="shared" si="4"/>
        <v>45436</v>
      </c>
      <c r="AG125" s="5">
        <f t="shared" si="4"/>
        <v>45437</v>
      </c>
      <c r="AH125" s="5" t="b">
        <f t="shared" si="5"/>
        <v>1</v>
      </c>
      <c r="AI125" s="5" t="b">
        <f t="shared" si="5"/>
        <v>1</v>
      </c>
      <c r="AJ125" t="str">
        <f t="shared" si="6"/>
        <v>OK</v>
      </c>
      <c r="AK125">
        <f t="shared" si="7"/>
        <v>1</v>
      </c>
    </row>
    <row r="126" spans="1:37">
      <c r="A126" t="s">
        <v>714</v>
      </c>
      <c r="B126" t="s">
        <v>22</v>
      </c>
      <c r="C126" t="s">
        <v>715</v>
      </c>
      <c r="D126" t="s">
        <v>716</v>
      </c>
      <c r="E126" t="s">
        <v>53</v>
      </c>
      <c r="F126" t="s">
        <v>108</v>
      </c>
      <c r="G126" t="s">
        <v>62</v>
      </c>
      <c r="H126" t="s">
        <v>229</v>
      </c>
      <c r="I126" t="s">
        <v>230</v>
      </c>
      <c r="J126" t="s">
        <v>86</v>
      </c>
      <c r="K126" t="s">
        <v>94</v>
      </c>
      <c r="L126" t="s">
        <v>717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35</v>
      </c>
      <c r="V126" s="1" t="s">
        <v>53</v>
      </c>
      <c r="W126" s="1" t="s">
        <v>108</v>
      </c>
      <c r="X126" s="1" t="s">
        <v>62</v>
      </c>
      <c r="Y126" s="1" t="s">
        <v>229</v>
      </c>
      <c r="Z126" s="1" t="s">
        <v>230</v>
      </c>
      <c r="AA126" s="1" t="s">
        <v>86</v>
      </c>
      <c r="AB126" s="1" t="s">
        <v>94</v>
      </c>
      <c r="AC126" s="1" t="s">
        <v>67</v>
      </c>
      <c r="AD126" s="1" t="s">
        <v>34</v>
      </c>
      <c r="AE126" s="1" t="s">
        <v>35</v>
      </c>
      <c r="AF126" s="5">
        <f t="shared" si="4"/>
        <v>45494</v>
      </c>
      <c r="AG126" s="5">
        <f t="shared" si="4"/>
        <v>45497</v>
      </c>
      <c r="AH126" s="5" t="b">
        <f t="shared" si="5"/>
        <v>1</v>
      </c>
      <c r="AI126" s="5" t="b">
        <f t="shared" si="5"/>
        <v>1</v>
      </c>
      <c r="AJ126" t="str">
        <f t="shared" si="6"/>
        <v>OK</v>
      </c>
      <c r="AK126">
        <f t="shared" si="7"/>
        <v>3</v>
      </c>
    </row>
    <row r="127" spans="1:37">
      <c r="A127" t="s">
        <v>718</v>
      </c>
      <c r="B127" t="s">
        <v>719</v>
      </c>
      <c r="C127" t="s">
        <v>720</v>
      </c>
      <c r="D127" t="s">
        <v>721</v>
      </c>
      <c r="E127" t="s">
        <v>93</v>
      </c>
      <c r="F127" t="s">
        <v>41</v>
      </c>
      <c r="G127" t="s">
        <v>73</v>
      </c>
      <c r="H127" t="s">
        <v>28</v>
      </c>
      <c r="I127" t="s">
        <v>135</v>
      </c>
      <c r="J127" t="s">
        <v>45</v>
      </c>
      <c r="K127" t="s">
        <v>46</v>
      </c>
      <c r="L127" t="s">
        <v>722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  <c r="V127" s="1" t="s">
        <v>93</v>
      </c>
      <c r="W127" s="1" t="s">
        <v>41</v>
      </c>
      <c r="X127" s="1" t="s">
        <v>73</v>
      </c>
      <c r="Y127" s="1" t="s">
        <v>28</v>
      </c>
      <c r="Z127" s="1" t="s">
        <v>135</v>
      </c>
      <c r="AA127" s="1" t="s">
        <v>45</v>
      </c>
      <c r="AB127" s="1" t="s">
        <v>46</v>
      </c>
      <c r="AC127" s="1" t="s">
        <v>48</v>
      </c>
      <c r="AD127" s="1" t="s">
        <v>124</v>
      </c>
      <c r="AE127" s="1" t="s">
        <v>125</v>
      </c>
      <c r="AF127" s="5">
        <f t="shared" si="4"/>
        <v>45855</v>
      </c>
      <c r="AG127" s="5" t="e">
        <f t="shared" si="4"/>
        <v>#N/A</v>
      </c>
      <c r="AH127" s="5" t="b">
        <f t="shared" si="5"/>
        <v>1</v>
      </c>
      <c r="AI127" s="5" t="b">
        <f t="shared" si="5"/>
        <v>0</v>
      </c>
      <c r="AJ127" t="e">
        <f t="shared" si="6"/>
        <v>#N/A</v>
      </c>
      <c r="AK127" t="e">
        <f t="shared" si="7"/>
        <v>#N/A</v>
      </c>
    </row>
    <row r="128" spans="1:37">
      <c r="A128" t="s">
        <v>723</v>
      </c>
      <c r="B128" t="s">
        <v>724</v>
      </c>
      <c r="C128" t="s">
        <v>725</v>
      </c>
      <c r="D128" t="s">
        <v>726</v>
      </c>
      <c r="E128" t="s">
        <v>142</v>
      </c>
      <c r="F128" t="s">
        <v>108</v>
      </c>
      <c r="G128" t="s">
        <v>27</v>
      </c>
      <c r="H128" t="s">
        <v>506</v>
      </c>
      <c r="I128" t="s">
        <v>507</v>
      </c>
      <c r="J128" t="s">
        <v>86</v>
      </c>
      <c r="K128" t="s">
        <v>94</v>
      </c>
      <c r="L128" t="s">
        <v>727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  <c r="V128" s="1" t="s">
        <v>142</v>
      </c>
      <c r="W128" s="1" t="s">
        <v>108</v>
      </c>
      <c r="X128" s="1" t="s">
        <v>27</v>
      </c>
      <c r="Y128" s="1" t="s">
        <v>506</v>
      </c>
      <c r="Z128" s="1" t="s">
        <v>507</v>
      </c>
      <c r="AA128" s="1" t="s">
        <v>86</v>
      </c>
      <c r="AB128" s="1" t="s">
        <v>94</v>
      </c>
      <c r="AC128" s="1" t="s">
        <v>67</v>
      </c>
      <c r="AD128" s="1" t="s">
        <v>34</v>
      </c>
      <c r="AE128" s="1" t="s">
        <v>35</v>
      </c>
      <c r="AF128" s="5" t="e">
        <f t="shared" si="4"/>
        <v>#N/A</v>
      </c>
      <c r="AG128" s="5">
        <f t="shared" si="4"/>
        <v>45926</v>
      </c>
      <c r="AH128" s="5" t="b">
        <f t="shared" si="5"/>
        <v>0</v>
      </c>
      <c r="AI128" s="5" t="b">
        <f t="shared" si="5"/>
        <v>1</v>
      </c>
      <c r="AJ128" t="e">
        <f t="shared" si="6"/>
        <v>#N/A</v>
      </c>
      <c r="AK128" t="e">
        <f t="shared" si="7"/>
        <v>#N/A</v>
      </c>
    </row>
    <row r="129" spans="1:37">
      <c r="A129" t="s">
        <v>728</v>
      </c>
      <c r="B129" t="s">
        <v>191</v>
      </c>
      <c r="C129" t="s">
        <v>729</v>
      </c>
      <c r="D129" t="s">
        <v>730</v>
      </c>
      <c r="E129" t="s">
        <v>142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156</v>
      </c>
      <c r="L129" t="s">
        <v>731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  <c r="V129" s="1" t="s">
        <v>142</v>
      </c>
      <c r="W129" s="1" t="s">
        <v>108</v>
      </c>
      <c r="X129" s="1" t="s">
        <v>73</v>
      </c>
      <c r="Y129" s="1" t="s">
        <v>84</v>
      </c>
      <c r="Z129" s="1" t="s">
        <v>85</v>
      </c>
      <c r="AA129" s="1" t="s">
        <v>30</v>
      </c>
      <c r="AB129" s="1" t="s">
        <v>156</v>
      </c>
      <c r="AC129" s="1" t="s">
        <v>33</v>
      </c>
      <c r="AD129" s="1" t="s">
        <v>34</v>
      </c>
      <c r="AE129" s="1" t="s">
        <v>35</v>
      </c>
      <c r="AF129" s="5">
        <f t="shared" si="4"/>
        <v>45687</v>
      </c>
      <c r="AG129" s="5" t="e">
        <f t="shared" si="4"/>
        <v>#N/A</v>
      </c>
      <c r="AH129" s="5" t="b">
        <f t="shared" si="5"/>
        <v>1</v>
      </c>
      <c r="AI129" s="5" t="b">
        <f t="shared" si="5"/>
        <v>0</v>
      </c>
      <c r="AJ129" t="e">
        <f t="shared" si="6"/>
        <v>#N/A</v>
      </c>
      <c r="AK129" t="e">
        <f t="shared" si="7"/>
        <v>#N/A</v>
      </c>
    </row>
    <row r="130" spans="1:37">
      <c r="A130" t="s">
        <v>732</v>
      </c>
      <c r="B130" t="s">
        <v>733</v>
      </c>
      <c r="C130" t="s">
        <v>734</v>
      </c>
      <c r="D130" t="s">
        <v>735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736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  <c r="V130" s="1" t="s">
        <v>93</v>
      </c>
      <c r="W130" s="1" t="s">
        <v>41</v>
      </c>
      <c r="X130" s="1" t="s">
        <v>42</v>
      </c>
      <c r="Y130" s="1" t="s">
        <v>43</v>
      </c>
      <c r="Z130" s="1" t="s">
        <v>44</v>
      </c>
      <c r="AA130" s="1" t="s">
        <v>45</v>
      </c>
      <c r="AB130" s="1" t="s">
        <v>65</v>
      </c>
      <c r="AC130" s="1" t="s">
        <v>67</v>
      </c>
      <c r="AD130" s="1" t="s">
        <v>34</v>
      </c>
      <c r="AE130" s="1" t="s">
        <v>125</v>
      </c>
      <c r="AF130" s="5">
        <f t="shared" si="4"/>
        <v>45639</v>
      </c>
      <c r="AG130" s="5">
        <f t="shared" si="4"/>
        <v>45642</v>
      </c>
      <c r="AH130" s="5" t="b">
        <f t="shared" si="5"/>
        <v>1</v>
      </c>
      <c r="AI130" s="5" t="b">
        <f t="shared" si="5"/>
        <v>1</v>
      </c>
      <c r="AJ130" t="str">
        <f t="shared" si="6"/>
        <v>OK</v>
      </c>
      <c r="AK130">
        <f t="shared" si="7"/>
        <v>3</v>
      </c>
    </row>
    <row r="131" spans="1:37">
      <c r="A131" t="s">
        <v>737</v>
      </c>
      <c r="B131" t="s">
        <v>406</v>
      </c>
      <c r="C131" t="s">
        <v>738</v>
      </c>
      <c r="D131" t="s">
        <v>739</v>
      </c>
      <c r="E131" t="s">
        <v>53</v>
      </c>
      <c r="F131" t="s">
        <v>41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740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  <c r="V131" s="1" t="s">
        <v>53</v>
      </c>
      <c r="W131" s="1" t="s">
        <v>41</v>
      </c>
      <c r="X131" s="1" t="s">
        <v>73</v>
      </c>
      <c r="Y131" s="1" t="s">
        <v>249</v>
      </c>
      <c r="Z131" s="1" t="s">
        <v>250</v>
      </c>
      <c r="AA131" s="1" t="s">
        <v>30</v>
      </c>
      <c r="AB131" s="1" t="s">
        <v>198</v>
      </c>
      <c r="AC131" s="1" t="s">
        <v>67</v>
      </c>
      <c r="AD131" s="1" t="s">
        <v>34</v>
      </c>
      <c r="AE131" s="1" t="s">
        <v>35</v>
      </c>
      <c r="AF131" s="5">
        <f t="shared" ref="AF131:AG194" si="8">IFERROR(DATEVALUE(B131),IFERROR(DATE(VALUE(RIGHT(B131,4)),VALUE(MID(SUBSTITUTE(B131,"-","/"),6,2)),VALUE(LEFT(B131,2))),NA()))</f>
        <v>45492</v>
      </c>
      <c r="AG131" s="5" t="e">
        <f t="shared" si="8"/>
        <v>#N/A</v>
      </c>
      <c r="AH131" s="5" t="b">
        <f t="shared" ref="AH131:AI194" si="9">ISNUMBER(AF131)</f>
        <v>1</v>
      </c>
      <c r="AI131" s="5" t="b">
        <f t="shared" si="9"/>
        <v>0</v>
      </c>
      <c r="AJ131" t="e">
        <f t="shared" ref="AJ131:AJ194" si="10">IF(AG131&lt;AF131,"Invalid: Ship before Order","OK")</f>
        <v>#N/A</v>
      </c>
      <c r="AK131" t="e">
        <f t="shared" ref="AK131:AK194" si="11">DATEDIF(AF131, AG131, "D")</f>
        <v>#N/A</v>
      </c>
    </row>
    <row r="132" spans="1:37">
      <c r="A132" t="s">
        <v>741</v>
      </c>
      <c r="B132" t="s">
        <v>742</v>
      </c>
      <c r="C132" t="s">
        <v>743</v>
      </c>
      <c r="D132" t="s">
        <v>744</v>
      </c>
      <c r="E132" t="s">
        <v>61</v>
      </c>
      <c r="F132" t="s">
        <v>26</v>
      </c>
      <c r="G132" t="s">
        <v>73</v>
      </c>
      <c r="H132" t="s">
        <v>235</v>
      </c>
      <c r="I132" t="s">
        <v>236</v>
      </c>
      <c r="J132" t="s">
        <v>30</v>
      </c>
      <c r="K132" t="s">
        <v>109</v>
      </c>
      <c r="L132" t="s">
        <v>745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137</v>
      </c>
      <c r="U132" t="s">
        <v>78</v>
      </c>
      <c r="V132" s="1" t="s">
        <v>61</v>
      </c>
      <c r="W132" s="1" t="s">
        <v>26</v>
      </c>
      <c r="X132" s="1" t="s">
        <v>73</v>
      </c>
      <c r="Y132" s="1" t="s">
        <v>235</v>
      </c>
      <c r="Z132" s="1" t="s">
        <v>236</v>
      </c>
      <c r="AA132" s="1" t="s">
        <v>30</v>
      </c>
      <c r="AB132" s="1" t="s">
        <v>109</v>
      </c>
      <c r="AC132" s="1" t="s">
        <v>48</v>
      </c>
      <c r="AD132" s="1" t="s">
        <v>137</v>
      </c>
      <c r="AE132" s="1" t="s">
        <v>78</v>
      </c>
      <c r="AF132" s="5">
        <f t="shared" si="8"/>
        <v>45318</v>
      </c>
      <c r="AG132" s="5">
        <f t="shared" si="8"/>
        <v>45324</v>
      </c>
      <c r="AH132" s="5" t="b">
        <f t="shared" si="9"/>
        <v>1</v>
      </c>
      <c r="AI132" s="5" t="b">
        <f t="shared" si="9"/>
        <v>1</v>
      </c>
      <c r="AJ132" t="str">
        <f t="shared" si="10"/>
        <v>OK</v>
      </c>
      <c r="AK132">
        <f t="shared" si="11"/>
        <v>6</v>
      </c>
    </row>
    <row r="133" spans="1:37">
      <c r="A133" t="s">
        <v>746</v>
      </c>
      <c r="B133" t="s">
        <v>747</v>
      </c>
      <c r="C133" t="s">
        <v>748</v>
      </c>
      <c r="D133" t="s">
        <v>749</v>
      </c>
      <c r="E133" t="s">
        <v>72</v>
      </c>
      <c r="F133" t="s">
        <v>115</v>
      </c>
      <c r="G133" t="s">
        <v>42</v>
      </c>
      <c r="H133" t="s">
        <v>311</v>
      </c>
      <c r="I133" t="s">
        <v>312</v>
      </c>
      <c r="J133" t="s">
        <v>30</v>
      </c>
      <c r="K133" t="s">
        <v>31</v>
      </c>
      <c r="L133" t="s">
        <v>750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  <c r="V133" s="1" t="s">
        <v>72</v>
      </c>
      <c r="W133" s="1" t="s">
        <v>115</v>
      </c>
      <c r="X133" s="1" t="s">
        <v>42</v>
      </c>
      <c r="Y133" s="1" t="s">
        <v>311</v>
      </c>
      <c r="Z133" s="1" t="s">
        <v>312</v>
      </c>
      <c r="AA133" s="1" t="s">
        <v>30</v>
      </c>
      <c r="AB133" s="1" t="s">
        <v>31</v>
      </c>
      <c r="AC133" s="1" t="s">
        <v>48</v>
      </c>
      <c r="AD133" s="1" t="s">
        <v>34</v>
      </c>
      <c r="AE133" s="1" t="s">
        <v>35</v>
      </c>
      <c r="AF133" s="5">
        <f t="shared" si="8"/>
        <v>45929</v>
      </c>
      <c r="AG133" s="5">
        <f t="shared" si="8"/>
        <v>45934</v>
      </c>
      <c r="AH133" s="5" t="b">
        <f t="shared" si="9"/>
        <v>1</v>
      </c>
      <c r="AI133" s="5" t="b">
        <f t="shared" si="9"/>
        <v>1</v>
      </c>
      <c r="AJ133" t="str">
        <f t="shared" si="10"/>
        <v>OK</v>
      </c>
      <c r="AK133">
        <f t="shared" si="11"/>
        <v>5</v>
      </c>
    </row>
    <row r="134" spans="1:37">
      <c r="A134" t="s">
        <v>751</v>
      </c>
      <c r="B134" t="s">
        <v>752</v>
      </c>
      <c r="C134" t="s">
        <v>752</v>
      </c>
      <c r="D134" t="s">
        <v>753</v>
      </c>
      <c r="E134" t="s">
        <v>366</v>
      </c>
      <c r="F134" t="s">
        <v>108</v>
      </c>
      <c r="G134" t="s">
        <v>42</v>
      </c>
      <c r="H134" t="s">
        <v>216</v>
      </c>
      <c r="I134" t="s">
        <v>217</v>
      </c>
      <c r="J134" t="s">
        <v>86</v>
      </c>
      <c r="K134" t="s">
        <v>382</v>
      </c>
      <c r="L134" t="s">
        <v>754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200</v>
      </c>
      <c r="U134" t="s">
        <v>78</v>
      </c>
      <c r="V134" s="1" t="s">
        <v>366</v>
      </c>
      <c r="W134" s="1" t="s">
        <v>108</v>
      </c>
      <c r="X134" s="1" t="s">
        <v>42</v>
      </c>
      <c r="Y134" s="1" t="s">
        <v>216</v>
      </c>
      <c r="Z134" s="1" t="s">
        <v>217</v>
      </c>
      <c r="AA134" s="1" t="s">
        <v>86</v>
      </c>
      <c r="AB134" s="1" t="s">
        <v>382</v>
      </c>
      <c r="AC134" s="1" t="s">
        <v>56</v>
      </c>
      <c r="AD134" s="1" t="s">
        <v>200</v>
      </c>
      <c r="AE134" s="1" t="s">
        <v>78</v>
      </c>
      <c r="AF134" s="5">
        <f t="shared" si="8"/>
        <v>45600</v>
      </c>
      <c r="AG134" s="5">
        <f t="shared" si="8"/>
        <v>45600</v>
      </c>
      <c r="AH134" s="5" t="b">
        <f t="shared" si="9"/>
        <v>1</v>
      </c>
      <c r="AI134" s="5" t="b">
        <f t="shared" si="9"/>
        <v>1</v>
      </c>
      <c r="AJ134" t="str">
        <f t="shared" si="10"/>
        <v>OK</v>
      </c>
      <c r="AK134">
        <f t="shared" si="11"/>
        <v>0</v>
      </c>
    </row>
    <row r="135" spans="1:37">
      <c r="A135" t="s">
        <v>755</v>
      </c>
      <c r="B135" t="s">
        <v>756</v>
      </c>
      <c r="C135" t="s">
        <v>757</v>
      </c>
      <c r="D135" t="s">
        <v>758</v>
      </c>
      <c r="E135" t="s">
        <v>25</v>
      </c>
      <c r="F135" t="s">
        <v>26</v>
      </c>
      <c r="G135" t="s">
        <v>73</v>
      </c>
      <c r="H135" t="s">
        <v>249</v>
      </c>
      <c r="I135" t="s">
        <v>250</v>
      </c>
      <c r="J135" t="s">
        <v>86</v>
      </c>
      <c r="K135" t="s">
        <v>223</v>
      </c>
      <c r="L135" t="s">
        <v>759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  <c r="V135" s="1" t="s">
        <v>25</v>
      </c>
      <c r="W135" s="1" t="s">
        <v>26</v>
      </c>
      <c r="X135" s="1" t="s">
        <v>73</v>
      </c>
      <c r="Y135" s="1" t="s">
        <v>249</v>
      </c>
      <c r="Z135" s="1" t="s">
        <v>250</v>
      </c>
      <c r="AA135" s="1" t="s">
        <v>86</v>
      </c>
      <c r="AB135" s="1" t="s">
        <v>223</v>
      </c>
      <c r="AC135" s="1" t="s">
        <v>33</v>
      </c>
      <c r="AD135" s="1" t="s">
        <v>34</v>
      </c>
      <c r="AE135" s="1" t="s">
        <v>35</v>
      </c>
      <c r="AF135" s="5">
        <f t="shared" si="8"/>
        <v>45639</v>
      </c>
      <c r="AG135" s="5">
        <f t="shared" si="8"/>
        <v>45644</v>
      </c>
      <c r="AH135" s="5" t="b">
        <f t="shared" si="9"/>
        <v>1</v>
      </c>
      <c r="AI135" s="5" t="b">
        <f t="shared" si="9"/>
        <v>1</v>
      </c>
      <c r="AJ135" t="str">
        <f t="shared" si="10"/>
        <v>OK</v>
      </c>
      <c r="AK135">
        <f t="shared" si="11"/>
        <v>5</v>
      </c>
    </row>
    <row r="136" spans="1:37">
      <c r="A136" t="s">
        <v>760</v>
      </c>
      <c r="B136" t="s">
        <v>761</v>
      </c>
      <c r="C136" t="s">
        <v>762</v>
      </c>
      <c r="D136" t="s">
        <v>763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204</v>
      </c>
      <c r="L136" t="s">
        <v>764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137</v>
      </c>
      <c r="U136" t="s">
        <v>78</v>
      </c>
      <c r="V136" s="1" t="s">
        <v>83</v>
      </c>
      <c r="W136" s="1" t="s">
        <v>115</v>
      </c>
      <c r="X136" s="1" t="s">
        <v>42</v>
      </c>
      <c r="Y136" s="1" t="s">
        <v>121</v>
      </c>
      <c r="Z136" s="1" t="s">
        <v>122</v>
      </c>
      <c r="AA136" s="1" t="s">
        <v>45</v>
      </c>
      <c r="AB136" s="1" t="s">
        <v>204</v>
      </c>
      <c r="AC136" s="1" t="s">
        <v>4119</v>
      </c>
      <c r="AD136" s="1" t="s">
        <v>137</v>
      </c>
      <c r="AE136" s="1" t="s">
        <v>78</v>
      </c>
      <c r="AF136" s="5">
        <f t="shared" si="8"/>
        <v>45852</v>
      </c>
      <c r="AG136" s="5">
        <f t="shared" si="8"/>
        <v>45852</v>
      </c>
      <c r="AH136" s="5" t="b">
        <f t="shared" si="9"/>
        <v>1</v>
      </c>
      <c r="AI136" s="5" t="b">
        <f t="shared" si="9"/>
        <v>1</v>
      </c>
      <c r="AJ136" t="str">
        <f t="shared" si="10"/>
        <v>OK</v>
      </c>
      <c r="AK136">
        <f t="shared" si="11"/>
        <v>0</v>
      </c>
    </row>
    <row r="137" spans="1:37">
      <c r="A137" t="s">
        <v>765</v>
      </c>
      <c r="B137" t="s">
        <v>766</v>
      </c>
      <c r="C137" t="s">
        <v>766</v>
      </c>
      <c r="D137" t="s">
        <v>767</v>
      </c>
      <c r="E137" t="s">
        <v>210</v>
      </c>
      <c r="F137" t="s">
        <v>41</v>
      </c>
      <c r="G137" t="s">
        <v>62</v>
      </c>
      <c r="H137" t="s">
        <v>242</v>
      </c>
      <c r="I137" t="s">
        <v>243</v>
      </c>
      <c r="J137" t="s">
        <v>45</v>
      </c>
      <c r="K137" t="s">
        <v>204</v>
      </c>
      <c r="L137" t="s">
        <v>768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  <c r="V137" s="1" t="s">
        <v>210</v>
      </c>
      <c r="W137" s="1" t="s">
        <v>41</v>
      </c>
      <c r="X137" s="1" t="s">
        <v>62</v>
      </c>
      <c r="Y137" s="1" t="s">
        <v>242</v>
      </c>
      <c r="Z137" s="1" t="s">
        <v>243</v>
      </c>
      <c r="AA137" s="1" t="s">
        <v>45</v>
      </c>
      <c r="AB137" s="1" t="s">
        <v>204</v>
      </c>
      <c r="AC137" s="1" t="s">
        <v>67</v>
      </c>
      <c r="AD137" s="1" t="s">
        <v>34</v>
      </c>
      <c r="AE137" s="1" t="s">
        <v>35</v>
      </c>
      <c r="AF137" s="5">
        <f t="shared" si="8"/>
        <v>45893</v>
      </c>
      <c r="AG137" s="5">
        <f t="shared" si="8"/>
        <v>45893</v>
      </c>
      <c r="AH137" s="5" t="b">
        <f t="shared" si="9"/>
        <v>1</v>
      </c>
      <c r="AI137" s="5" t="b">
        <f t="shared" si="9"/>
        <v>1</v>
      </c>
      <c r="AJ137" t="str">
        <f t="shared" si="10"/>
        <v>OK</v>
      </c>
      <c r="AK137">
        <f t="shared" si="11"/>
        <v>0</v>
      </c>
    </row>
    <row r="138" spans="1:37">
      <c r="A138" t="s">
        <v>769</v>
      </c>
      <c r="B138" t="s">
        <v>770</v>
      </c>
      <c r="C138" t="s">
        <v>771</v>
      </c>
      <c r="D138" t="s">
        <v>772</v>
      </c>
      <c r="E138" t="s">
        <v>40</v>
      </c>
      <c r="F138" t="s">
        <v>115</v>
      </c>
      <c r="G138" t="s">
        <v>42</v>
      </c>
      <c r="H138" t="s">
        <v>311</v>
      </c>
      <c r="I138" t="s">
        <v>312</v>
      </c>
      <c r="J138" t="s">
        <v>30</v>
      </c>
      <c r="K138" t="s">
        <v>198</v>
      </c>
      <c r="L138" t="s">
        <v>773</v>
      </c>
      <c r="M138" t="s">
        <v>774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  <c r="V138" s="1" t="s">
        <v>40</v>
      </c>
      <c r="W138" s="1" t="s">
        <v>115</v>
      </c>
      <c r="X138" s="1" t="s">
        <v>42</v>
      </c>
      <c r="Y138" s="1" t="s">
        <v>311</v>
      </c>
      <c r="Z138" s="1" t="s">
        <v>312</v>
      </c>
      <c r="AA138" s="1" t="s">
        <v>30</v>
      </c>
      <c r="AB138" s="1" t="s">
        <v>198</v>
      </c>
      <c r="AC138" s="1" t="s">
        <v>67</v>
      </c>
      <c r="AD138" s="1" t="s">
        <v>34</v>
      </c>
      <c r="AE138" s="1" t="s">
        <v>35</v>
      </c>
      <c r="AF138" s="5">
        <f t="shared" si="8"/>
        <v>45902</v>
      </c>
      <c r="AG138" s="5" t="e">
        <f t="shared" si="8"/>
        <v>#N/A</v>
      </c>
      <c r="AH138" s="5" t="b">
        <f t="shared" si="9"/>
        <v>1</v>
      </c>
      <c r="AI138" s="5" t="b">
        <f t="shared" si="9"/>
        <v>0</v>
      </c>
      <c r="AJ138" t="e">
        <f t="shared" si="10"/>
        <v>#N/A</v>
      </c>
      <c r="AK138" t="e">
        <f t="shared" si="11"/>
        <v>#N/A</v>
      </c>
    </row>
    <row r="139" spans="1:37">
      <c r="A139" t="s">
        <v>775</v>
      </c>
      <c r="B139" t="s">
        <v>776</v>
      </c>
      <c r="C139" t="s">
        <v>777</v>
      </c>
      <c r="D139" t="s">
        <v>778</v>
      </c>
      <c r="E139" t="s">
        <v>168</v>
      </c>
      <c r="F139" t="s">
        <v>41</v>
      </c>
      <c r="G139" t="s">
        <v>27</v>
      </c>
      <c r="H139" t="s">
        <v>28</v>
      </c>
      <c r="I139" t="s">
        <v>29</v>
      </c>
      <c r="J139" t="s">
        <v>45</v>
      </c>
      <c r="K139" t="s">
        <v>76</v>
      </c>
      <c r="L139" t="s">
        <v>779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  <c r="V139" s="1" t="s">
        <v>168</v>
      </c>
      <c r="W139" s="1" t="s">
        <v>41</v>
      </c>
      <c r="X139" s="1" t="s">
        <v>27</v>
      </c>
      <c r="Y139" s="1" t="s">
        <v>28</v>
      </c>
      <c r="Z139" s="1" t="s">
        <v>29</v>
      </c>
      <c r="AA139" s="1" t="s">
        <v>45</v>
      </c>
      <c r="AB139" s="1" t="s">
        <v>76</v>
      </c>
      <c r="AC139" s="1" t="s">
        <v>48</v>
      </c>
      <c r="AD139" s="1" t="s">
        <v>34</v>
      </c>
      <c r="AE139" s="1" t="s">
        <v>35</v>
      </c>
      <c r="AF139" s="5">
        <f t="shared" si="8"/>
        <v>45666</v>
      </c>
      <c r="AG139" s="5">
        <f t="shared" si="8"/>
        <v>45666</v>
      </c>
      <c r="AH139" s="5" t="b">
        <f t="shared" si="9"/>
        <v>1</v>
      </c>
      <c r="AI139" s="5" t="b">
        <f t="shared" si="9"/>
        <v>1</v>
      </c>
      <c r="AJ139" t="str">
        <f t="shared" si="10"/>
        <v>OK</v>
      </c>
      <c r="AK139">
        <f t="shared" si="11"/>
        <v>0</v>
      </c>
    </row>
    <row r="140" spans="1:37">
      <c r="A140" t="s">
        <v>780</v>
      </c>
      <c r="B140" t="s">
        <v>781</v>
      </c>
      <c r="C140" t="s">
        <v>782</v>
      </c>
      <c r="D140" t="s">
        <v>783</v>
      </c>
      <c r="E140" t="s">
        <v>210</v>
      </c>
      <c r="F140" t="s">
        <v>115</v>
      </c>
      <c r="G140" t="s">
        <v>42</v>
      </c>
      <c r="H140" t="s">
        <v>311</v>
      </c>
      <c r="I140" t="s">
        <v>312</v>
      </c>
      <c r="J140" t="s">
        <v>86</v>
      </c>
      <c r="K140" t="s">
        <v>382</v>
      </c>
      <c r="L140" t="s">
        <v>784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  <c r="V140" s="1" t="s">
        <v>210</v>
      </c>
      <c r="W140" s="1" t="s">
        <v>115</v>
      </c>
      <c r="X140" s="1" t="s">
        <v>42</v>
      </c>
      <c r="Y140" s="1" t="s">
        <v>311</v>
      </c>
      <c r="Z140" s="1" t="s">
        <v>312</v>
      </c>
      <c r="AA140" s="1" t="s">
        <v>86</v>
      </c>
      <c r="AB140" s="1" t="s">
        <v>382</v>
      </c>
      <c r="AC140" s="1" t="s">
        <v>67</v>
      </c>
      <c r="AD140" s="1" t="s">
        <v>34</v>
      </c>
      <c r="AE140" s="1" t="s">
        <v>35</v>
      </c>
      <c r="AF140" s="5">
        <f t="shared" si="8"/>
        <v>45311</v>
      </c>
      <c r="AG140" s="5" t="e">
        <f t="shared" si="8"/>
        <v>#N/A</v>
      </c>
      <c r="AH140" s="5" t="b">
        <f t="shared" si="9"/>
        <v>1</v>
      </c>
      <c r="AI140" s="5" t="b">
        <f t="shared" si="9"/>
        <v>0</v>
      </c>
      <c r="AJ140" t="e">
        <f t="shared" si="10"/>
        <v>#N/A</v>
      </c>
      <c r="AK140" t="e">
        <f t="shared" si="11"/>
        <v>#N/A</v>
      </c>
    </row>
    <row r="141" spans="1:37">
      <c r="A141" t="s">
        <v>785</v>
      </c>
      <c r="B141" t="s">
        <v>786</v>
      </c>
      <c r="C141" t="s">
        <v>787</v>
      </c>
      <c r="D141" t="s">
        <v>788</v>
      </c>
      <c r="E141" t="s">
        <v>93</v>
      </c>
      <c r="F141" t="s">
        <v>115</v>
      </c>
      <c r="G141" t="s">
        <v>62</v>
      </c>
      <c r="H141" t="s">
        <v>229</v>
      </c>
      <c r="I141" t="s">
        <v>230</v>
      </c>
      <c r="J141" t="s">
        <v>30</v>
      </c>
      <c r="K141" t="s">
        <v>109</v>
      </c>
      <c r="L141" t="s">
        <v>789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  <c r="V141" s="1" t="s">
        <v>93</v>
      </c>
      <c r="W141" s="1" t="s">
        <v>115</v>
      </c>
      <c r="X141" s="1" t="s">
        <v>62</v>
      </c>
      <c r="Y141" s="1" t="s">
        <v>229</v>
      </c>
      <c r="Z141" s="1" t="s">
        <v>230</v>
      </c>
      <c r="AA141" s="1" t="s">
        <v>30</v>
      </c>
      <c r="AB141" s="1" t="s">
        <v>109</v>
      </c>
      <c r="AC141" s="1" t="s">
        <v>67</v>
      </c>
      <c r="AD141" s="1" t="s">
        <v>34</v>
      </c>
      <c r="AE141" s="1" t="s">
        <v>35</v>
      </c>
      <c r="AF141" s="5">
        <f t="shared" si="8"/>
        <v>45718</v>
      </c>
      <c r="AG141" s="5">
        <f t="shared" si="8"/>
        <v>45841</v>
      </c>
      <c r="AH141" s="5" t="b">
        <f t="shared" si="9"/>
        <v>1</v>
      </c>
      <c r="AI141" s="5" t="b">
        <f t="shared" si="9"/>
        <v>1</v>
      </c>
      <c r="AJ141" t="str">
        <f t="shared" si="10"/>
        <v>OK</v>
      </c>
      <c r="AK141">
        <f t="shared" si="11"/>
        <v>123</v>
      </c>
    </row>
    <row r="142" spans="1:37">
      <c r="A142" t="s">
        <v>790</v>
      </c>
      <c r="B142" t="s">
        <v>791</v>
      </c>
      <c r="C142" t="s">
        <v>792</v>
      </c>
      <c r="D142" t="s">
        <v>793</v>
      </c>
      <c r="E142" t="s">
        <v>40</v>
      </c>
      <c r="F142" t="s">
        <v>108</v>
      </c>
      <c r="G142" t="s">
        <v>62</v>
      </c>
      <c r="H142" t="s">
        <v>229</v>
      </c>
      <c r="I142" t="s">
        <v>230</v>
      </c>
      <c r="J142" t="s">
        <v>45</v>
      </c>
      <c r="K142" t="s">
        <v>204</v>
      </c>
      <c r="L142" t="s">
        <v>794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  <c r="V142" s="1" t="s">
        <v>40</v>
      </c>
      <c r="W142" s="1" t="s">
        <v>108</v>
      </c>
      <c r="X142" s="1" t="s">
        <v>62</v>
      </c>
      <c r="Y142" s="1" t="s">
        <v>229</v>
      </c>
      <c r="Z142" s="1" t="s">
        <v>230</v>
      </c>
      <c r="AA142" s="1" t="s">
        <v>45</v>
      </c>
      <c r="AB142" s="1" t="s">
        <v>204</v>
      </c>
      <c r="AC142" s="1" t="s">
        <v>48</v>
      </c>
      <c r="AD142" s="1" t="s">
        <v>34</v>
      </c>
      <c r="AE142" s="1" t="s">
        <v>35</v>
      </c>
      <c r="AF142" s="5" t="e">
        <f t="shared" si="8"/>
        <v>#N/A</v>
      </c>
      <c r="AG142" s="5">
        <f t="shared" si="8"/>
        <v>45444</v>
      </c>
      <c r="AH142" s="5" t="b">
        <f t="shared" si="9"/>
        <v>0</v>
      </c>
      <c r="AI142" s="5" t="b">
        <f t="shared" si="9"/>
        <v>1</v>
      </c>
      <c r="AJ142" t="e">
        <f t="shared" si="10"/>
        <v>#N/A</v>
      </c>
      <c r="AK142" t="e">
        <f t="shared" si="11"/>
        <v>#N/A</v>
      </c>
    </row>
    <row r="143" spans="1:37">
      <c r="A143" t="s">
        <v>795</v>
      </c>
      <c r="B143" t="s">
        <v>796</v>
      </c>
      <c r="C143" t="s">
        <v>797</v>
      </c>
      <c r="D143" t="s">
        <v>798</v>
      </c>
      <c r="E143" t="s">
        <v>142</v>
      </c>
      <c r="F143" t="s">
        <v>108</v>
      </c>
      <c r="G143" t="s">
        <v>27</v>
      </c>
      <c r="H143" t="s">
        <v>506</v>
      </c>
      <c r="I143" t="s">
        <v>507</v>
      </c>
      <c r="J143" t="s">
        <v>45</v>
      </c>
      <c r="K143" t="s">
        <v>204</v>
      </c>
      <c r="L143" t="s">
        <v>799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  <c r="V143" s="1" t="s">
        <v>142</v>
      </c>
      <c r="W143" s="1" t="s">
        <v>108</v>
      </c>
      <c r="X143" s="1" t="s">
        <v>27</v>
      </c>
      <c r="Y143" s="1" t="s">
        <v>506</v>
      </c>
      <c r="Z143" s="1" t="s">
        <v>507</v>
      </c>
      <c r="AA143" s="1" t="s">
        <v>45</v>
      </c>
      <c r="AB143" s="1" t="s">
        <v>204</v>
      </c>
      <c r="AC143" s="1" t="s">
        <v>48</v>
      </c>
      <c r="AD143" s="1" t="s">
        <v>34</v>
      </c>
      <c r="AE143" s="1" t="s">
        <v>125</v>
      </c>
      <c r="AF143" s="5">
        <f t="shared" si="8"/>
        <v>45374</v>
      </c>
      <c r="AG143" s="5">
        <f t="shared" si="8"/>
        <v>45380</v>
      </c>
      <c r="AH143" s="5" t="b">
        <f t="shared" si="9"/>
        <v>1</v>
      </c>
      <c r="AI143" s="5" t="b">
        <f t="shared" si="9"/>
        <v>1</v>
      </c>
      <c r="AJ143" t="str">
        <f t="shared" si="10"/>
        <v>OK</v>
      </c>
      <c r="AK143">
        <f t="shared" si="11"/>
        <v>6</v>
      </c>
    </row>
    <row r="144" spans="1:37">
      <c r="A144" t="s">
        <v>800</v>
      </c>
      <c r="B144" t="s">
        <v>801</v>
      </c>
      <c r="C144" t="s">
        <v>802</v>
      </c>
      <c r="D144" t="s">
        <v>803</v>
      </c>
      <c r="E144" t="s">
        <v>107</v>
      </c>
      <c r="F144" t="s">
        <v>115</v>
      </c>
      <c r="G144" t="s">
        <v>27</v>
      </c>
      <c r="H144" t="s">
        <v>28</v>
      </c>
      <c r="I144" t="s">
        <v>29</v>
      </c>
      <c r="J144" t="s">
        <v>86</v>
      </c>
      <c r="K144" t="s">
        <v>223</v>
      </c>
      <c r="L144" t="s">
        <v>804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  <c r="V144" s="1" t="s">
        <v>107</v>
      </c>
      <c r="W144" s="1" t="s">
        <v>115</v>
      </c>
      <c r="X144" s="1" t="s">
        <v>27</v>
      </c>
      <c r="Y144" s="1" t="s">
        <v>28</v>
      </c>
      <c r="Z144" s="1" t="s">
        <v>29</v>
      </c>
      <c r="AA144" s="1" t="s">
        <v>86</v>
      </c>
      <c r="AB144" s="1" t="s">
        <v>223</v>
      </c>
      <c r="AC144" s="1" t="s">
        <v>33</v>
      </c>
      <c r="AD144" s="1" t="s">
        <v>34</v>
      </c>
      <c r="AE144" s="1" t="s">
        <v>35</v>
      </c>
      <c r="AF144" s="5">
        <f t="shared" si="8"/>
        <v>45381</v>
      </c>
      <c r="AG144" s="5">
        <f t="shared" si="8"/>
        <v>45377</v>
      </c>
      <c r="AH144" s="5" t="b">
        <f t="shared" si="9"/>
        <v>1</v>
      </c>
      <c r="AI144" s="5" t="b">
        <f t="shared" si="9"/>
        <v>1</v>
      </c>
      <c r="AJ144" t="str">
        <f t="shared" si="10"/>
        <v>Invalid: Ship before Order</v>
      </c>
      <c r="AK144" t="e">
        <f t="shared" si="11"/>
        <v>#NUM!</v>
      </c>
    </row>
    <row r="145" spans="1:37">
      <c r="A145" t="s">
        <v>805</v>
      </c>
      <c r="B145" t="s">
        <v>542</v>
      </c>
      <c r="C145" t="s">
        <v>806</v>
      </c>
      <c r="D145" t="s">
        <v>807</v>
      </c>
      <c r="E145" t="s">
        <v>142</v>
      </c>
      <c r="F145" t="s">
        <v>26</v>
      </c>
      <c r="G145" t="s">
        <v>73</v>
      </c>
      <c r="H145" t="s">
        <v>235</v>
      </c>
      <c r="I145" t="s">
        <v>236</v>
      </c>
      <c r="J145" t="s">
        <v>30</v>
      </c>
      <c r="K145" t="s">
        <v>31</v>
      </c>
      <c r="L145" t="s">
        <v>808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  <c r="V145" s="1" t="s">
        <v>142</v>
      </c>
      <c r="W145" s="1" t="s">
        <v>26</v>
      </c>
      <c r="X145" s="1" t="s">
        <v>73</v>
      </c>
      <c r="Y145" s="1" t="s">
        <v>235</v>
      </c>
      <c r="Z145" s="1" t="s">
        <v>236</v>
      </c>
      <c r="AA145" s="1" t="s">
        <v>30</v>
      </c>
      <c r="AB145" s="1" t="s">
        <v>31</v>
      </c>
      <c r="AC145" s="1" t="s">
        <v>33</v>
      </c>
      <c r="AD145" s="1" t="s">
        <v>34</v>
      </c>
      <c r="AE145" s="1" t="s">
        <v>125</v>
      </c>
      <c r="AF145" s="5">
        <f t="shared" si="8"/>
        <v>45375</v>
      </c>
      <c r="AG145" s="5">
        <f t="shared" si="8"/>
        <v>45377</v>
      </c>
      <c r="AH145" s="5" t="b">
        <f t="shared" si="9"/>
        <v>1</v>
      </c>
      <c r="AI145" s="5" t="b">
        <f t="shared" si="9"/>
        <v>1</v>
      </c>
      <c r="AJ145" t="str">
        <f t="shared" si="10"/>
        <v>OK</v>
      </c>
      <c r="AK145">
        <f t="shared" si="11"/>
        <v>2</v>
      </c>
    </row>
    <row r="146" spans="1:37">
      <c r="A146" t="s">
        <v>809</v>
      </c>
      <c r="B146" t="s">
        <v>578</v>
      </c>
      <c r="C146" t="s">
        <v>810</v>
      </c>
      <c r="D146" t="s">
        <v>811</v>
      </c>
      <c r="E146" t="s">
        <v>366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812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  <c r="V146" s="1" t="s">
        <v>366</v>
      </c>
      <c r="W146" s="1" t="s">
        <v>41</v>
      </c>
      <c r="X146" s="1" t="s">
        <v>62</v>
      </c>
      <c r="Y146" s="1" t="s">
        <v>63</v>
      </c>
      <c r="Z146" s="1" t="s">
        <v>64</v>
      </c>
      <c r="AA146" s="1" t="s">
        <v>86</v>
      </c>
      <c r="AB146" s="1" t="s">
        <v>87</v>
      </c>
      <c r="AC146" s="1" t="s">
        <v>56</v>
      </c>
      <c r="AD146" s="1" t="s">
        <v>124</v>
      </c>
      <c r="AE146" s="1" t="s">
        <v>125</v>
      </c>
      <c r="AF146" s="5">
        <f t="shared" si="8"/>
        <v>45479</v>
      </c>
      <c r="AG146" s="5">
        <f t="shared" si="8"/>
        <v>45458</v>
      </c>
      <c r="AH146" s="5" t="b">
        <f t="shared" si="9"/>
        <v>1</v>
      </c>
      <c r="AI146" s="5" t="b">
        <f t="shared" si="9"/>
        <v>1</v>
      </c>
      <c r="AJ146" t="str">
        <f t="shared" si="10"/>
        <v>Invalid: Ship before Order</v>
      </c>
      <c r="AK146" t="e">
        <f t="shared" si="11"/>
        <v>#NUM!</v>
      </c>
    </row>
    <row r="147" spans="1:37">
      <c r="A147" t="s">
        <v>813</v>
      </c>
      <c r="B147" t="s">
        <v>814</v>
      </c>
      <c r="C147" t="s">
        <v>815</v>
      </c>
      <c r="D147" t="s">
        <v>816</v>
      </c>
      <c r="E147" t="s">
        <v>40</v>
      </c>
      <c r="F147" t="s">
        <v>41</v>
      </c>
      <c r="G147" t="s">
        <v>73</v>
      </c>
      <c r="H147" t="s">
        <v>249</v>
      </c>
      <c r="I147" t="s">
        <v>250</v>
      </c>
      <c r="J147" t="s">
        <v>30</v>
      </c>
      <c r="K147" t="s">
        <v>31</v>
      </c>
      <c r="L147" t="s">
        <v>817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  <c r="V147" s="1" t="s">
        <v>40</v>
      </c>
      <c r="W147" s="1" t="s">
        <v>41</v>
      </c>
      <c r="X147" s="1" t="s">
        <v>73</v>
      </c>
      <c r="Y147" s="1" t="s">
        <v>249</v>
      </c>
      <c r="Z147" s="1" t="s">
        <v>250</v>
      </c>
      <c r="AA147" s="1" t="s">
        <v>30</v>
      </c>
      <c r="AB147" s="1" t="s">
        <v>31</v>
      </c>
      <c r="AC147" s="1" t="s">
        <v>67</v>
      </c>
      <c r="AD147" s="1" t="s">
        <v>34</v>
      </c>
      <c r="AE147" s="1" t="s">
        <v>35</v>
      </c>
      <c r="AF147" s="5">
        <f t="shared" si="8"/>
        <v>45965</v>
      </c>
      <c r="AG147" s="5">
        <f t="shared" si="8"/>
        <v>45760</v>
      </c>
      <c r="AH147" s="5" t="b">
        <f t="shared" si="9"/>
        <v>1</v>
      </c>
      <c r="AI147" s="5" t="b">
        <f t="shared" si="9"/>
        <v>1</v>
      </c>
      <c r="AJ147" t="str">
        <f t="shared" si="10"/>
        <v>Invalid: Ship before Order</v>
      </c>
      <c r="AK147" t="e">
        <f t="shared" si="11"/>
        <v>#NUM!</v>
      </c>
    </row>
    <row r="148" spans="1:37">
      <c r="A148" t="s">
        <v>818</v>
      </c>
      <c r="B148" t="s">
        <v>819</v>
      </c>
      <c r="C148" t="s">
        <v>820</v>
      </c>
      <c r="D148" t="s">
        <v>821</v>
      </c>
      <c r="E148" t="s">
        <v>168</v>
      </c>
      <c r="F148" t="s">
        <v>41</v>
      </c>
      <c r="G148" t="s">
        <v>62</v>
      </c>
      <c r="H148" t="s">
        <v>339</v>
      </c>
      <c r="I148" t="s">
        <v>340</v>
      </c>
      <c r="J148" t="s">
        <v>30</v>
      </c>
      <c r="K148" t="s">
        <v>156</v>
      </c>
      <c r="L148" t="s">
        <v>822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  <c r="V148" s="1" t="s">
        <v>168</v>
      </c>
      <c r="W148" s="1" t="s">
        <v>41</v>
      </c>
      <c r="X148" s="1" t="s">
        <v>62</v>
      </c>
      <c r="Y148" s="1" t="s">
        <v>339</v>
      </c>
      <c r="Z148" s="1" t="s">
        <v>340</v>
      </c>
      <c r="AA148" s="1" t="s">
        <v>30</v>
      </c>
      <c r="AB148" s="1" t="s">
        <v>156</v>
      </c>
      <c r="AC148" s="1" t="s">
        <v>48</v>
      </c>
      <c r="AD148" s="1" t="s">
        <v>34</v>
      </c>
      <c r="AE148" s="1" t="s">
        <v>35</v>
      </c>
      <c r="AF148" s="5">
        <f t="shared" si="8"/>
        <v>45868</v>
      </c>
      <c r="AG148" s="5">
        <f t="shared" si="8"/>
        <v>45870</v>
      </c>
      <c r="AH148" s="5" t="b">
        <f t="shared" si="9"/>
        <v>1</v>
      </c>
      <c r="AI148" s="5" t="b">
        <f t="shared" si="9"/>
        <v>1</v>
      </c>
      <c r="AJ148" t="str">
        <f t="shared" si="10"/>
        <v>OK</v>
      </c>
      <c r="AK148">
        <f t="shared" si="11"/>
        <v>2</v>
      </c>
    </row>
    <row r="149" spans="1:37">
      <c r="A149" t="s">
        <v>823</v>
      </c>
      <c r="B149" t="s">
        <v>824</v>
      </c>
      <c r="C149" t="s">
        <v>825</v>
      </c>
      <c r="D149" t="s">
        <v>826</v>
      </c>
      <c r="E149" t="s">
        <v>142</v>
      </c>
      <c r="F149" t="s">
        <v>115</v>
      </c>
      <c r="G149" t="s">
        <v>73</v>
      </c>
      <c r="H149" t="s">
        <v>249</v>
      </c>
      <c r="I149" t="s">
        <v>250</v>
      </c>
      <c r="J149" t="s">
        <v>45</v>
      </c>
      <c r="K149" t="s">
        <v>65</v>
      </c>
      <c r="L149" t="s">
        <v>827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  <c r="V149" s="1" t="s">
        <v>142</v>
      </c>
      <c r="W149" s="1" t="s">
        <v>115</v>
      </c>
      <c r="X149" s="1" t="s">
        <v>73</v>
      </c>
      <c r="Y149" s="1" t="s">
        <v>249</v>
      </c>
      <c r="Z149" s="1" t="s">
        <v>250</v>
      </c>
      <c r="AA149" s="1" t="s">
        <v>45</v>
      </c>
      <c r="AB149" s="1" t="s">
        <v>65</v>
      </c>
      <c r="AC149" s="1" t="s">
        <v>56</v>
      </c>
      <c r="AD149" s="1" t="s">
        <v>34</v>
      </c>
      <c r="AE149" s="1" t="s">
        <v>35</v>
      </c>
      <c r="AF149" s="5" t="e">
        <f t="shared" si="8"/>
        <v>#N/A</v>
      </c>
      <c r="AG149" s="5">
        <f t="shared" si="8"/>
        <v>45656</v>
      </c>
      <c r="AH149" s="5" t="b">
        <f t="shared" si="9"/>
        <v>0</v>
      </c>
      <c r="AI149" s="5" t="b">
        <f t="shared" si="9"/>
        <v>1</v>
      </c>
      <c r="AJ149" t="e">
        <f t="shared" si="10"/>
        <v>#N/A</v>
      </c>
      <c r="AK149" t="e">
        <f t="shared" si="11"/>
        <v>#N/A</v>
      </c>
    </row>
    <row r="150" spans="1:37">
      <c r="A150" t="s">
        <v>828</v>
      </c>
      <c r="B150" t="s">
        <v>829</v>
      </c>
      <c r="C150" t="s">
        <v>830</v>
      </c>
      <c r="D150" t="s">
        <v>831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223</v>
      </c>
      <c r="L150" t="s">
        <v>832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  <c r="V150" s="1" t="s">
        <v>40</v>
      </c>
      <c r="W150" s="1" t="s">
        <v>115</v>
      </c>
      <c r="X150" s="1" t="s">
        <v>73</v>
      </c>
      <c r="Y150" s="1" t="s">
        <v>84</v>
      </c>
      <c r="Z150" s="1" t="s">
        <v>85</v>
      </c>
      <c r="AA150" s="1" t="s">
        <v>86</v>
      </c>
      <c r="AB150" s="1" t="s">
        <v>223</v>
      </c>
      <c r="AC150" s="1" t="s">
        <v>4119</v>
      </c>
      <c r="AD150" s="1" t="s">
        <v>34</v>
      </c>
      <c r="AE150" s="1" t="s">
        <v>35</v>
      </c>
      <c r="AF150" s="5">
        <f t="shared" si="8"/>
        <v>45697</v>
      </c>
      <c r="AG150" s="5" t="e">
        <f t="shared" si="8"/>
        <v>#N/A</v>
      </c>
      <c r="AH150" s="5" t="b">
        <f t="shared" si="9"/>
        <v>1</v>
      </c>
      <c r="AI150" s="5" t="b">
        <f t="shared" si="9"/>
        <v>0</v>
      </c>
      <c r="AJ150" t="e">
        <f t="shared" si="10"/>
        <v>#N/A</v>
      </c>
      <c r="AK150" t="e">
        <f t="shared" si="11"/>
        <v>#N/A</v>
      </c>
    </row>
    <row r="151" spans="1:37">
      <c r="A151" t="s">
        <v>833</v>
      </c>
      <c r="B151" t="s">
        <v>834</v>
      </c>
      <c r="C151" t="s">
        <v>834</v>
      </c>
      <c r="D151" t="s">
        <v>835</v>
      </c>
      <c r="E151" t="s">
        <v>162</v>
      </c>
      <c r="F151" t="s">
        <v>41</v>
      </c>
      <c r="G151" t="s">
        <v>836</v>
      </c>
      <c r="H151" t="s">
        <v>28</v>
      </c>
      <c r="I151" t="s">
        <v>135</v>
      </c>
      <c r="J151" t="s">
        <v>86</v>
      </c>
      <c r="K151" t="s">
        <v>94</v>
      </c>
      <c r="L151" t="s">
        <v>837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  <c r="V151" s="1" t="s">
        <v>162</v>
      </c>
      <c r="W151" s="1" t="s">
        <v>41</v>
      </c>
      <c r="X151" s="1" t="s">
        <v>73</v>
      </c>
      <c r="Y151" s="1" t="s">
        <v>28</v>
      </c>
      <c r="Z151" s="1" t="s">
        <v>135</v>
      </c>
      <c r="AA151" s="1" t="s">
        <v>86</v>
      </c>
      <c r="AB151" s="1" t="s">
        <v>94</v>
      </c>
      <c r="AC151" s="1" t="s">
        <v>48</v>
      </c>
      <c r="AD151" s="1" t="s">
        <v>34</v>
      </c>
      <c r="AE151" s="1" t="s">
        <v>35</v>
      </c>
      <c r="AF151" s="5" t="e">
        <f t="shared" si="8"/>
        <v>#N/A</v>
      </c>
      <c r="AG151" s="5" t="e">
        <f t="shared" si="8"/>
        <v>#N/A</v>
      </c>
      <c r="AH151" s="5" t="b">
        <f t="shared" si="9"/>
        <v>0</v>
      </c>
      <c r="AI151" s="5" t="b">
        <f t="shared" si="9"/>
        <v>0</v>
      </c>
      <c r="AJ151" t="e">
        <f t="shared" si="10"/>
        <v>#N/A</v>
      </c>
      <c r="AK151" t="e">
        <f t="shared" si="11"/>
        <v>#N/A</v>
      </c>
    </row>
    <row r="152" spans="1:37">
      <c r="A152" t="s">
        <v>838</v>
      </c>
      <c r="B152" t="s">
        <v>839</v>
      </c>
      <c r="C152" t="s">
        <v>840</v>
      </c>
      <c r="D152" t="s">
        <v>841</v>
      </c>
      <c r="E152" t="s">
        <v>61</v>
      </c>
      <c r="F152" t="s">
        <v>26</v>
      </c>
      <c r="H152" t="s">
        <v>235</v>
      </c>
      <c r="I152" t="s">
        <v>236</v>
      </c>
      <c r="J152" t="s">
        <v>45</v>
      </c>
      <c r="K152" t="s">
        <v>204</v>
      </c>
      <c r="L152" t="s">
        <v>842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  <c r="V152" s="1" t="s">
        <v>61</v>
      </c>
      <c r="W152" s="1" t="s">
        <v>26</v>
      </c>
      <c r="X152" s="1" t="s">
        <v>4119</v>
      </c>
      <c r="Y152" s="1" t="s">
        <v>235</v>
      </c>
      <c r="Z152" s="1" t="s">
        <v>236</v>
      </c>
      <c r="AA152" s="1" t="s">
        <v>45</v>
      </c>
      <c r="AB152" s="1" t="s">
        <v>204</v>
      </c>
      <c r="AC152" s="1" t="s">
        <v>56</v>
      </c>
      <c r="AD152" s="1" t="s">
        <v>34</v>
      </c>
      <c r="AE152" s="1" t="s">
        <v>35</v>
      </c>
      <c r="AF152" s="5">
        <f t="shared" si="8"/>
        <v>45385</v>
      </c>
      <c r="AG152" s="5">
        <f t="shared" si="8"/>
        <v>45363</v>
      </c>
      <c r="AH152" s="5" t="b">
        <f t="shared" si="9"/>
        <v>1</v>
      </c>
      <c r="AI152" s="5" t="b">
        <f t="shared" si="9"/>
        <v>1</v>
      </c>
      <c r="AJ152" t="str">
        <f t="shared" si="10"/>
        <v>Invalid: Ship before Order</v>
      </c>
      <c r="AK152" t="e">
        <f t="shared" si="11"/>
        <v>#NUM!</v>
      </c>
    </row>
    <row r="153" spans="1:37">
      <c r="A153" t="s">
        <v>843</v>
      </c>
      <c r="B153" t="s">
        <v>844</v>
      </c>
      <c r="C153" t="s">
        <v>845</v>
      </c>
      <c r="D153" t="s">
        <v>846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847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137</v>
      </c>
      <c r="U153" t="s">
        <v>125</v>
      </c>
      <c r="V153" s="1" t="s">
        <v>93</v>
      </c>
      <c r="W153" s="1" t="s">
        <v>115</v>
      </c>
      <c r="X153" s="1" t="s">
        <v>4119</v>
      </c>
      <c r="Y153" s="1" t="s">
        <v>84</v>
      </c>
      <c r="Z153" s="1" t="s">
        <v>85</v>
      </c>
      <c r="AA153" s="1" t="s">
        <v>86</v>
      </c>
      <c r="AB153" s="1" t="s">
        <v>94</v>
      </c>
      <c r="AC153" s="1" t="s">
        <v>67</v>
      </c>
      <c r="AD153" s="1" t="s">
        <v>137</v>
      </c>
      <c r="AE153" s="1" t="s">
        <v>125</v>
      </c>
      <c r="AF153" s="5">
        <f t="shared" si="8"/>
        <v>45470</v>
      </c>
      <c r="AG153" s="5">
        <f t="shared" si="8"/>
        <v>45470</v>
      </c>
      <c r="AH153" s="5" t="b">
        <f t="shared" si="9"/>
        <v>1</v>
      </c>
      <c r="AI153" s="5" t="b">
        <f t="shared" si="9"/>
        <v>1</v>
      </c>
      <c r="AJ153" t="str">
        <f t="shared" si="10"/>
        <v>OK</v>
      </c>
      <c r="AK153">
        <f t="shared" si="11"/>
        <v>0</v>
      </c>
    </row>
    <row r="154" spans="1:37">
      <c r="A154" t="s">
        <v>848</v>
      </c>
      <c r="B154" t="s">
        <v>849</v>
      </c>
      <c r="C154" t="s">
        <v>850</v>
      </c>
      <c r="D154" t="s">
        <v>851</v>
      </c>
      <c r="E154" t="s">
        <v>366</v>
      </c>
      <c r="F154" t="s">
        <v>41</v>
      </c>
      <c r="G154" t="s">
        <v>62</v>
      </c>
      <c r="H154" t="s">
        <v>242</v>
      </c>
      <c r="I154" t="s">
        <v>243</v>
      </c>
      <c r="J154" t="s">
        <v>45</v>
      </c>
      <c r="K154" t="s">
        <v>46</v>
      </c>
      <c r="L154" t="s">
        <v>852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137</v>
      </c>
      <c r="U154" t="s">
        <v>125</v>
      </c>
      <c r="V154" s="1" t="s">
        <v>366</v>
      </c>
      <c r="W154" s="1" t="s">
        <v>41</v>
      </c>
      <c r="X154" s="1" t="s">
        <v>62</v>
      </c>
      <c r="Y154" s="1" t="s">
        <v>242</v>
      </c>
      <c r="Z154" s="1" t="s">
        <v>243</v>
      </c>
      <c r="AA154" s="1" t="s">
        <v>45</v>
      </c>
      <c r="AB154" s="1" t="s">
        <v>46</v>
      </c>
      <c r="AC154" s="1" t="s">
        <v>33</v>
      </c>
      <c r="AD154" s="1" t="s">
        <v>137</v>
      </c>
      <c r="AE154" s="1" t="s">
        <v>125</v>
      </c>
      <c r="AF154" s="5">
        <f t="shared" si="8"/>
        <v>45457</v>
      </c>
      <c r="AG154" s="5">
        <f t="shared" si="8"/>
        <v>45460</v>
      </c>
      <c r="AH154" s="5" t="b">
        <f t="shared" si="9"/>
        <v>1</v>
      </c>
      <c r="AI154" s="5" t="b">
        <f t="shared" si="9"/>
        <v>1</v>
      </c>
      <c r="AJ154" t="str">
        <f t="shared" si="10"/>
        <v>OK</v>
      </c>
      <c r="AK154">
        <f t="shared" si="11"/>
        <v>3</v>
      </c>
    </row>
    <row r="155" spans="1:37">
      <c r="A155" t="s">
        <v>853</v>
      </c>
      <c r="B155" t="s">
        <v>854</v>
      </c>
      <c r="C155" t="s">
        <v>855</v>
      </c>
      <c r="D155" t="s">
        <v>856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857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  <c r="V155" s="1" t="s">
        <v>107</v>
      </c>
      <c r="W155" s="1" t="s">
        <v>26</v>
      </c>
      <c r="X155" s="1" t="s">
        <v>42</v>
      </c>
      <c r="Y155" s="1" t="s">
        <v>43</v>
      </c>
      <c r="Z155" s="1" t="s">
        <v>44</v>
      </c>
      <c r="AA155" s="1" t="s">
        <v>30</v>
      </c>
      <c r="AB155" s="1" t="s">
        <v>109</v>
      </c>
      <c r="AC155" s="1" t="s">
        <v>67</v>
      </c>
      <c r="AD155" s="1" t="s">
        <v>124</v>
      </c>
      <c r="AE155" s="1" t="s">
        <v>125</v>
      </c>
      <c r="AF155" s="5">
        <f t="shared" si="8"/>
        <v>45923</v>
      </c>
      <c r="AG155" s="5">
        <f t="shared" si="8"/>
        <v>45925</v>
      </c>
      <c r="AH155" s="5" t="b">
        <f t="shared" si="9"/>
        <v>1</v>
      </c>
      <c r="AI155" s="5" t="b">
        <f t="shared" si="9"/>
        <v>1</v>
      </c>
      <c r="AJ155" t="str">
        <f t="shared" si="10"/>
        <v>OK</v>
      </c>
      <c r="AK155">
        <f t="shared" si="11"/>
        <v>2</v>
      </c>
    </row>
    <row r="156" spans="1:37">
      <c r="A156" t="s">
        <v>858</v>
      </c>
      <c r="B156" t="s">
        <v>859</v>
      </c>
      <c r="C156" t="s">
        <v>860</v>
      </c>
      <c r="D156" t="s">
        <v>669</v>
      </c>
      <c r="E156" t="s">
        <v>142</v>
      </c>
      <c r="F156" t="s">
        <v>26</v>
      </c>
      <c r="G156" t="s">
        <v>62</v>
      </c>
      <c r="H156" t="s">
        <v>339</v>
      </c>
      <c r="I156" t="s">
        <v>340</v>
      </c>
      <c r="J156" t="s">
        <v>45</v>
      </c>
      <c r="K156" t="s">
        <v>204</v>
      </c>
      <c r="L156" t="s">
        <v>861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  <c r="V156" s="1" t="s">
        <v>142</v>
      </c>
      <c r="W156" s="1" t="s">
        <v>26</v>
      </c>
      <c r="X156" s="1" t="s">
        <v>62</v>
      </c>
      <c r="Y156" s="1" t="s">
        <v>339</v>
      </c>
      <c r="Z156" s="1" t="s">
        <v>340</v>
      </c>
      <c r="AA156" s="1" t="s">
        <v>45</v>
      </c>
      <c r="AB156" s="1" t="s">
        <v>204</v>
      </c>
      <c r="AC156" s="1" t="s">
        <v>48</v>
      </c>
      <c r="AD156" s="1" t="s">
        <v>34</v>
      </c>
      <c r="AE156" s="1" t="s">
        <v>35</v>
      </c>
      <c r="AF156" s="5">
        <f t="shared" si="8"/>
        <v>45334</v>
      </c>
      <c r="AG156" s="5">
        <f t="shared" si="8"/>
        <v>45333</v>
      </c>
      <c r="AH156" s="5" t="b">
        <f t="shared" si="9"/>
        <v>1</v>
      </c>
      <c r="AI156" s="5" t="b">
        <f t="shared" si="9"/>
        <v>1</v>
      </c>
      <c r="AJ156" t="str">
        <f t="shared" si="10"/>
        <v>Invalid: Ship before Order</v>
      </c>
      <c r="AK156" t="e">
        <f t="shared" si="11"/>
        <v>#NUM!</v>
      </c>
    </row>
    <row r="157" spans="1:37">
      <c r="A157" t="s">
        <v>862</v>
      </c>
      <c r="B157" t="s">
        <v>559</v>
      </c>
      <c r="C157" t="s">
        <v>440</v>
      </c>
      <c r="D157" t="s">
        <v>863</v>
      </c>
      <c r="E157" t="s">
        <v>25</v>
      </c>
      <c r="F157" t="s">
        <v>108</v>
      </c>
      <c r="G157" t="s">
        <v>73</v>
      </c>
      <c r="H157" t="s">
        <v>28</v>
      </c>
      <c r="I157" t="s">
        <v>135</v>
      </c>
      <c r="J157" t="s">
        <v>45</v>
      </c>
      <c r="K157" t="s">
        <v>65</v>
      </c>
      <c r="L157" t="s">
        <v>864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  <c r="V157" s="1" t="s">
        <v>25</v>
      </c>
      <c r="W157" s="1" t="s">
        <v>108</v>
      </c>
      <c r="X157" s="1" t="s">
        <v>73</v>
      </c>
      <c r="Y157" s="1" t="s">
        <v>28</v>
      </c>
      <c r="Z157" s="1" t="s">
        <v>135</v>
      </c>
      <c r="AA157" s="1" t="s">
        <v>45</v>
      </c>
      <c r="AB157" s="1" t="s">
        <v>65</v>
      </c>
      <c r="AC157" s="1" t="s">
        <v>48</v>
      </c>
      <c r="AD157" s="1" t="s">
        <v>124</v>
      </c>
      <c r="AE157" s="1" t="s">
        <v>125</v>
      </c>
      <c r="AF157" s="5">
        <f t="shared" si="8"/>
        <v>45683</v>
      </c>
      <c r="AG157" s="5">
        <f t="shared" si="8"/>
        <v>45691</v>
      </c>
      <c r="AH157" s="5" t="b">
        <f t="shared" si="9"/>
        <v>1</v>
      </c>
      <c r="AI157" s="5" t="b">
        <f t="shared" si="9"/>
        <v>1</v>
      </c>
      <c r="AJ157" t="str">
        <f t="shared" si="10"/>
        <v>OK</v>
      </c>
      <c r="AK157">
        <f t="shared" si="11"/>
        <v>8</v>
      </c>
    </row>
    <row r="158" spans="1:37">
      <c r="A158" t="s">
        <v>865</v>
      </c>
      <c r="B158" t="s">
        <v>866</v>
      </c>
      <c r="C158" t="s">
        <v>867</v>
      </c>
      <c r="D158" t="s">
        <v>868</v>
      </c>
      <c r="E158" t="s">
        <v>83</v>
      </c>
      <c r="F158" t="s">
        <v>41</v>
      </c>
      <c r="G158" t="s">
        <v>42</v>
      </c>
      <c r="H158" t="s">
        <v>186</v>
      </c>
      <c r="I158" t="s">
        <v>187</v>
      </c>
      <c r="J158" t="s">
        <v>86</v>
      </c>
      <c r="K158" t="s">
        <v>382</v>
      </c>
      <c r="L158" t="s">
        <v>869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35</v>
      </c>
      <c r="V158" s="1" t="s">
        <v>83</v>
      </c>
      <c r="W158" s="1" t="s">
        <v>41</v>
      </c>
      <c r="X158" s="1" t="s">
        <v>42</v>
      </c>
      <c r="Y158" s="1" t="s">
        <v>186</v>
      </c>
      <c r="Z158" s="1" t="s">
        <v>187</v>
      </c>
      <c r="AA158" s="1" t="s">
        <v>86</v>
      </c>
      <c r="AB158" s="1" t="s">
        <v>382</v>
      </c>
      <c r="AC158" s="1" t="s">
        <v>33</v>
      </c>
      <c r="AD158" s="1" t="s">
        <v>34</v>
      </c>
      <c r="AE158" s="1" t="s">
        <v>35</v>
      </c>
      <c r="AF158" s="5" t="e">
        <f t="shared" si="8"/>
        <v>#N/A</v>
      </c>
      <c r="AG158" s="5">
        <f t="shared" si="8"/>
        <v>45743</v>
      </c>
      <c r="AH158" s="5" t="b">
        <f t="shared" si="9"/>
        <v>0</v>
      </c>
      <c r="AI158" s="5" t="b">
        <f t="shared" si="9"/>
        <v>1</v>
      </c>
      <c r="AJ158" t="e">
        <f t="shared" si="10"/>
        <v>#N/A</v>
      </c>
      <c r="AK158" t="e">
        <f t="shared" si="11"/>
        <v>#N/A</v>
      </c>
    </row>
    <row r="159" spans="1:37">
      <c r="A159" t="s">
        <v>870</v>
      </c>
      <c r="B159" t="s">
        <v>871</v>
      </c>
      <c r="C159" t="s">
        <v>872</v>
      </c>
      <c r="D159" t="s">
        <v>873</v>
      </c>
      <c r="E159" t="s">
        <v>180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204</v>
      </c>
      <c r="L159" t="s">
        <v>874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  <c r="V159" s="1" t="s">
        <v>180</v>
      </c>
      <c r="W159" s="1" t="s">
        <v>41</v>
      </c>
      <c r="X159" s="1" t="s">
        <v>62</v>
      </c>
      <c r="Y159" s="1" t="s">
        <v>100</v>
      </c>
      <c r="Z159" s="1" t="s">
        <v>101</v>
      </c>
      <c r="AA159" s="1" t="s">
        <v>45</v>
      </c>
      <c r="AB159" s="1" t="s">
        <v>204</v>
      </c>
      <c r="AC159" s="1" t="s">
        <v>67</v>
      </c>
      <c r="AD159" s="1" t="s">
        <v>34</v>
      </c>
      <c r="AE159" s="1" t="s">
        <v>35</v>
      </c>
      <c r="AF159" s="5">
        <f t="shared" si="8"/>
        <v>45587</v>
      </c>
      <c r="AG159" s="5" t="e">
        <f t="shared" si="8"/>
        <v>#N/A</v>
      </c>
      <c r="AH159" s="5" t="b">
        <f t="shared" si="9"/>
        <v>1</v>
      </c>
      <c r="AI159" s="5" t="b">
        <f t="shared" si="9"/>
        <v>0</v>
      </c>
      <c r="AJ159" t="e">
        <f t="shared" si="10"/>
        <v>#N/A</v>
      </c>
      <c r="AK159" t="e">
        <f t="shared" si="11"/>
        <v>#N/A</v>
      </c>
    </row>
    <row r="160" spans="1:37">
      <c r="A160" t="s">
        <v>875</v>
      </c>
      <c r="B160" t="s">
        <v>876</v>
      </c>
      <c r="C160" t="s">
        <v>877</v>
      </c>
      <c r="D160" t="s">
        <v>878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204</v>
      </c>
      <c r="L160" t="s">
        <v>879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  <c r="V160" s="1" t="s">
        <v>93</v>
      </c>
      <c r="W160" s="1" t="s">
        <v>115</v>
      </c>
      <c r="X160" s="1" t="s">
        <v>62</v>
      </c>
      <c r="Y160" s="1" t="s">
        <v>63</v>
      </c>
      <c r="Z160" s="1" t="s">
        <v>64</v>
      </c>
      <c r="AA160" s="1" t="s">
        <v>45</v>
      </c>
      <c r="AB160" s="1" t="s">
        <v>204</v>
      </c>
      <c r="AC160" s="1" t="s">
        <v>56</v>
      </c>
      <c r="AD160" s="1" t="s">
        <v>34</v>
      </c>
      <c r="AE160" s="1" t="s">
        <v>35</v>
      </c>
      <c r="AF160" s="5">
        <f t="shared" si="8"/>
        <v>45544</v>
      </c>
      <c r="AG160" s="5">
        <f t="shared" si="8"/>
        <v>45546</v>
      </c>
      <c r="AH160" s="5" t="b">
        <f t="shared" si="9"/>
        <v>1</v>
      </c>
      <c r="AI160" s="5" t="b">
        <f t="shared" si="9"/>
        <v>1</v>
      </c>
      <c r="AJ160" t="str">
        <f t="shared" si="10"/>
        <v>OK</v>
      </c>
      <c r="AK160">
        <f t="shared" si="11"/>
        <v>2</v>
      </c>
    </row>
    <row r="161" spans="1:37">
      <c r="A161" t="s">
        <v>880</v>
      </c>
      <c r="B161" t="s">
        <v>881</v>
      </c>
      <c r="C161" t="s">
        <v>882</v>
      </c>
      <c r="D161" t="s">
        <v>883</v>
      </c>
      <c r="E161" t="s">
        <v>142</v>
      </c>
      <c r="F161" t="s">
        <v>108</v>
      </c>
      <c r="G161" t="s">
        <v>27</v>
      </c>
      <c r="H161" t="s">
        <v>323</v>
      </c>
      <c r="I161" t="s">
        <v>324</v>
      </c>
      <c r="J161" t="s">
        <v>45</v>
      </c>
      <c r="K161" t="s">
        <v>76</v>
      </c>
      <c r="L161" t="s">
        <v>884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137</v>
      </c>
      <c r="U161" t="s">
        <v>78</v>
      </c>
      <c r="V161" s="1" t="s">
        <v>142</v>
      </c>
      <c r="W161" s="1" t="s">
        <v>108</v>
      </c>
      <c r="X161" s="1" t="s">
        <v>27</v>
      </c>
      <c r="Y161" s="1" t="s">
        <v>323</v>
      </c>
      <c r="Z161" s="1" t="s">
        <v>324</v>
      </c>
      <c r="AA161" s="1" t="s">
        <v>45</v>
      </c>
      <c r="AB161" s="1" t="s">
        <v>76</v>
      </c>
      <c r="AC161" s="1" t="s">
        <v>48</v>
      </c>
      <c r="AD161" s="1" t="s">
        <v>137</v>
      </c>
      <c r="AE161" s="1" t="s">
        <v>78</v>
      </c>
      <c r="AF161" s="5">
        <f t="shared" si="8"/>
        <v>45687</v>
      </c>
      <c r="AG161" s="5">
        <f t="shared" si="8"/>
        <v>45749</v>
      </c>
      <c r="AH161" s="5" t="b">
        <f t="shared" si="9"/>
        <v>1</v>
      </c>
      <c r="AI161" s="5" t="b">
        <f t="shared" si="9"/>
        <v>1</v>
      </c>
      <c r="AJ161" t="str">
        <f t="shared" si="10"/>
        <v>OK</v>
      </c>
      <c r="AK161">
        <f t="shared" si="11"/>
        <v>62</v>
      </c>
    </row>
    <row r="162" spans="1:37">
      <c r="A162" t="s">
        <v>885</v>
      </c>
      <c r="B162" t="s">
        <v>886</v>
      </c>
      <c r="C162" t="s">
        <v>887</v>
      </c>
      <c r="D162" t="s">
        <v>888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889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137</v>
      </c>
      <c r="U162" t="s">
        <v>78</v>
      </c>
      <c r="V162" s="1" t="s">
        <v>83</v>
      </c>
      <c r="W162" s="1" t="s">
        <v>41</v>
      </c>
      <c r="X162" s="1" t="s">
        <v>73</v>
      </c>
      <c r="Y162" s="1" t="s">
        <v>74</v>
      </c>
      <c r="Z162" s="1" t="s">
        <v>75</v>
      </c>
      <c r="AA162" s="1" t="s">
        <v>30</v>
      </c>
      <c r="AB162" s="1" t="s">
        <v>31</v>
      </c>
      <c r="AC162" s="1" t="s">
        <v>33</v>
      </c>
      <c r="AD162" s="1" t="s">
        <v>137</v>
      </c>
      <c r="AE162" s="1" t="s">
        <v>78</v>
      </c>
      <c r="AF162" s="5">
        <f t="shared" si="8"/>
        <v>45879</v>
      </c>
      <c r="AG162" s="5">
        <f t="shared" si="8"/>
        <v>45936</v>
      </c>
      <c r="AH162" s="5" t="b">
        <f t="shared" si="9"/>
        <v>1</v>
      </c>
      <c r="AI162" s="5" t="b">
        <f t="shared" si="9"/>
        <v>1</v>
      </c>
      <c r="AJ162" t="str">
        <f t="shared" si="10"/>
        <v>OK</v>
      </c>
      <c r="AK162">
        <f t="shared" si="11"/>
        <v>57</v>
      </c>
    </row>
    <row r="163" spans="1:37">
      <c r="A163" t="s">
        <v>890</v>
      </c>
      <c r="B163" t="s">
        <v>891</v>
      </c>
      <c r="C163" t="s">
        <v>892</v>
      </c>
      <c r="D163" t="s">
        <v>893</v>
      </c>
      <c r="E163" t="s">
        <v>61</v>
      </c>
      <c r="F163" t="s">
        <v>894</v>
      </c>
      <c r="G163" t="s">
        <v>73</v>
      </c>
      <c r="H163" t="s">
        <v>28</v>
      </c>
      <c r="I163" t="s">
        <v>135</v>
      </c>
      <c r="J163" t="s">
        <v>30</v>
      </c>
      <c r="K163" t="s">
        <v>198</v>
      </c>
      <c r="L163" t="s">
        <v>895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137</v>
      </c>
      <c r="U163" t="s">
        <v>78</v>
      </c>
      <c r="V163" s="1" t="s">
        <v>61</v>
      </c>
      <c r="W163" s="1" t="s">
        <v>26</v>
      </c>
      <c r="X163" s="1" t="s">
        <v>73</v>
      </c>
      <c r="Y163" s="1" t="s">
        <v>28</v>
      </c>
      <c r="Z163" s="1" t="s">
        <v>135</v>
      </c>
      <c r="AA163" s="1" t="s">
        <v>30</v>
      </c>
      <c r="AB163" s="1" t="s">
        <v>198</v>
      </c>
      <c r="AC163" s="1" t="s">
        <v>67</v>
      </c>
      <c r="AD163" s="1" t="s">
        <v>137</v>
      </c>
      <c r="AE163" s="1" t="s">
        <v>78</v>
      </c>
      <c r="AF163" s="5">
        <f t="shared" si="8"/>
        <v>45862</v>
      </c>
      <c r="AG163" s="5" t="e">
        <f t="shared" si="8"/>
        <v>#N/A</v>
      </c>
      <c r="AH163" s="5" t="b">
        <f t="shared" si="9"/>
        <v>1</v>
      </c>
      <c r="AI163" s="5" t="b">
        <f t="shared" si="9"/>
        <v>0</v>
      </c>
      <c r="AJ163" t="e">
        <f t="shared" si="10"/>
        <v>#N/A</v>
      </c>
      <c r="AK163" t="e">
        <f t="shared" si="11"/>
        <v>#N/A</v>
      </c>
    </row>
    <row r="164" spans="1:37">
      <c r="A164" t="s">
        <v>896</v>
      </c>
      <c r="B164" t="s">
        <v>897</v>
      </c>
      <c r="C164" t="s">
        <v>898</v>
      </c>
      <c r="D164" t="s">
        <v>899</v>
      </c>
      <c r="E164" t="s">
        <v>93</v>
      </c>
      <c r="F164" t="s">
        <v>41</v>
      </c>
      <c r="G164" t="s">
        <v>73</v>
      </c>
      <c r="H164" t="s">
        <v>249</v>
      </c>
      <c r="I164" t="s">
        <v>250</v>
      </c>
      <c r="J164" t="s">
        <v>45</v>
      </c>
      <c r="K164" t="s">
        <v>65</v>
      </c>
      <c r="L164" t="s">
        <v>900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137</v>
      </c>
      <c r="U164" t="s">
        <v>125</v>
      </c>
      <c r="V164" s="1" t="s">
        <v>93</v>
      </c>
      <c r="W164" s="1" t="s">
        <v>41</v>
      </c>
      <c r="X164" s="1" t="s">
        <v>73</v>
      </c>
      <c r="Y164" s="1" t="s">
        <v>249</v>
      </c>
      <c r="Z164" s="1" t="s">
        <v>250</v>
      </c>
      <c r="AA164" s="1" t="s">
        <v>45</v>
      </c>
      <c r="AB164" s="1" t="s">
        <v>65</v>
      </c>
      <c r="AC164" s="1" t="s">
        <v>33</v>
      </c>
      <c r="AD164" s="1" t="s">
        <v>137</v>
      </c>
      <c r="AE164" s="1" t="s">
        <v>125</v>
      </c>
      <c r="AF164" s="5">
        <f t="shared" si="8"/>
        <v>45360</v>
      </c>
      <c r="AG164" s="5">
        <f t="shared" si="8"/>
        <v>45365</v>
      </c>
      <c r="AH164" s="5" t="b">
        <f t="shared" si="9"/>
        <v>1</v>
      </c>
      <c r="AI164" s="5" t="b">
        <f t="shared" si="9"/>
        <v>1</v>
      </c>
      <c r="AJ164" t="str">
        <f t="shared" si="10"/>
        <v>OK</v>
      </c>
      <c r="AK164">
        <f t="shared" si="11"/>
        <v>5</v>
      </c>
    </row>
    <row r="165" spans="1:37">
      <c r="A165" t="s">
        <v>901</v>
      </c>
      <c r="B165" t="s">
        <v>902</v>
      </c>
      <c r="C165" t="s">
        <v>725</v>
      </c>
      <c r="D165" t="s">
        <v>903</v>
      </c>
      <c r="E165" t="s">
        <v>180</v>
      </c>
      <c r="F165" t="s">
        <v>115</v>
      </c>
      <c r="G165" t="s">
        <v>73</v>
      </c>
      <c r="H165" t="s">
        <v>235</v>
      </c>
      <c r="I165" t="s">
        <v>236</v>
      </c>
      <c r="J165" t="s">
        <v>45</v>
      </c>
      <c r="K165" t="s">
        <v>46</v>
      </c>
      <c r="L165" t="s">
        <v>904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137</v>
      </c>
      <c r="U165" t="s">
        <v>125</v>
      </c>
      <c r="V165" s="1" t="s">
        <v>180</v>
      </c>
      <c r="W165" s="1" t="s">
        <v>115</v>
      </c>
      <c r="X165" s="1" t="s">
        <v>73</v>
      </c>
      <c r="Y165" s="1" t="s">
        <v>235</v>
      </c>
      <c r="Z165" s="1" t="s">
        <v>236</v>
      </c>
      <c r="AA165" s="1" t="s">
        <v>45</v>
      </c>
      <c r="AB165" s="1" t="s">
        <v>46</v>
      </c>
      <c r="AC165" s="1" t="s">
        <v>4119</v>
      </c>
      <c r="AD165" s="1" t="s">
        <v>137</v>
      </c>
      <c r="AE165" s="1" t="s">
        <v>125</v>
      </c>
      <c r="AF165" s="5">
        <f t="shared" si="8"/>
        <v>45921</v>
      </c>
      <c r="AG165" s="5">
        <f t="shared" si="8"/>
        <v>45926</v>
      </c>
      <c r="AH165" s="5" t="b">
        <f t="shared" si="9"/>
        <v>1</v>
      </c>
      <c r="AI165" s="5" t="b">
        <f t="shared" si="9"/>
        <v>1</v>
      </c>
      <c r="AJ165" t="str">
        <f t="shared" si="10"/>
        <v>OK</v>
      </c>
      <c r="AK165">
        <f t="shared" si="11"/>
        <v>5</v>
      </c>
    </row>
    <row r="166" spans="1:37">
      <c r="A166" t="s">
        <v>905</v>
      </c>
      <c r="B166" t="s">
        <v>906</v>
      </c>
      <c r="C166" t="s">
        <v>907</v>
      </c>
      <c r="D166" t="s">
        <v>908</v>
      </c>
      <c r="E166" t="s">
        <v>148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204</v>
      </c>
      <c r="L166" t="s">
        <v>909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  <c r="V166" s="1" t="s">
        <v>148</v>
      </c>
      <c r="W166" s="1" t="s">
        <v>41</v>
      </c>
      <c r="X166" s="1" t="s">
        <v>42</v>
      </c>
      <c r="Y166" s="1" t="s">
        <v>121</v>
      </c>
      <c r="Z166" s="1" t="s">
        <v>122</v>
      </c>
      <c r="AA166" s="1" t="s">
        <v>45</v>
      </c>
      <c r="AB166" s="1" t="s">
        <v>204</v>
      </c>
      <c r="AC166" s="1" t="s">
        <v>33</v>
      </c>
      <c r="AD166" s="1" t="s">
        <v>34</v>
      </c>
      <c r="AE166" s="1" t="s">
        <v>35</v>
      </c>
      <c r="AF166" s="5">
        <f t="shared" si="8"/>
        <v>45909</v>
      </c>
      <c r="AG166" s="5">
        <f t="shared" si="8"/>
        <v>45914</v>
      </c>
      <c r="AH166" s="5" t="b">
        <f t="shared" si="9"/>
        <v>1</v>
      </c>
      <c r="AI166" s="5" t="b">
        <f t="shared" si="9"/>
        <v>1</v>
      </c>
      <c r="AJ166" t="str">
        <f t="shared" si="10"/>
        <v>OK</v>
      </c>
      <c r="AK166">
        <f t="shared" si="11"/>
        <v>5</v>
      </c>
    </row>
    <row r="167" spans="1:37">
      <c r="A167" t="s">
        <v>910</v>
      </c>
      <c r="B167" t="s">
        <v>911</v>
      </c>
      <c r="C167" t="s">
        <v>912</v>
      </c>
      <c r="D167" t="s">
        <v>913</v>
      </c>
      <c r="E167" t="s">
        <v>40</v>
      </c>
      <c r="F167" t="s">
        <v>115</v>
      </c>
      <c r="G167" t="s">
        <v>42</v>
      </c>
      <c r="H167" t="s">
        <v>186</v>
      </c>
      <c r="I167" t="s">
        <v>187</v>
      </c>
      <c r="J167" t="s">
        <v>45</v>
      </c>
      <c r="K167" t="s">
        <v>76</v>
      </c>
      <c r="L167" t="s">
        <v>914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  <c r="V167" s="1" t="s">
        <v>40</v>
      </c>
      <c r="W167" s="1" t="s">
        <v>115</v>
      </c>
      <c r="X167" s="1" t="s">
        <v>42</v>
      </c>
      <c r="Y167" s="1" t="s">
        <v>186</v>
      </c>
      <c r="Z167" s="1" t="s">
        <v>187</v>
      </c>
      <c r="AA167" s="1" t="s">
        <v>45</v>
      </c>
      <c r="AB167" s="1" t="s">
        <v>76</v>
      </c>
      <c r="AC167" s="1" t="s">
        <v>67</v>
      </c>
      <c r="AD167" s="1" t="s">
        <v>34</v>
      </c>
      <c r="AE167" s="1" t="s">
        <v>35</v>
      </c>
      <c r="AF167" s="5">
        <f t="shared" si="8"/>
        <v>45618</v>
      </c>
      <c r="AG167" s="5" t="e">
        <f t="shared" si="8"/>
        <v>#N/A</v>
      </c>
      <c r="AH167" s="5" t="b">
        <f t="shared" si="9"/>
        <v>1</v>
      </c>
      <c r="AI167" s="5" t="b">
        <f t="shared" si="9"/>
        <v>0</v>
      </c>
      <c r="AJ167" t="e">
        <f t="shared" si="10"/>
        <v>#N/A</v>
      </c>
      <c r="AK167" t="e">
        <f t="shared" si="11"/>
        <v>#N/A</v>
      </c>
    </row>
    <row r="168" spans="1:37">
      <c r="A168" t="s">
        <v>915</v>
      </c>
      <c r="B168" t="s">
        <v>916</v>
      </c>
      <c r="C168" t="s">
        <v>98</v>
      </c>
      <c r="D168" t="s">
        <v>917</v>
      </c>
      <c r="E168" t="s">
        <v>25</v>
      </c>
      <c r="F168" t="s">
        <v>41</v>
      </c>
      <c r="G168" t="s">
        <v>73</v>
      </c>
      <c r="H168" t="s">
        <v>235</v>
      </c>
      <c r="I168" t="s">
        <v>236</v>
      </c>
      <c r="J168" t="s">
        <v>918</v>
      </c>
      <c r="K168" t="s">
        <v>109</v>
      </c>
      <c r="L168" t="s">
        <v>919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  <c r="V168" s="1" t="s">
        <v>25</v>
      </c>
      <c r="W168" s="1" t="s">
        <v>41</v>
      </c>
      <c r="X168" s="1" t="s">
        <v>73</v>
      </c>
      <c r="Y168" s="1" t="s">
        <v>235</v>
      </c>
      <c r="Z168" s="1" t="s">
        <v>236</v>
      </c>
      <c r="AA168" s="1" t="s">
        <v>30</v>
      </c>
      <c r="AB168" s="1" t="s">
        <v>109</v>
      </c>
      <c r="AC168" s="1" t="s">
        <v>56</v>
      </c>
      <c r="AD168" s="1" t="s">
        <v>34</v>
      </c>
      <c r="AE168" s="1" t="s">
        <v>35</v>
      </c>
      <c r="AF168" s="5" t="e">
        <f t="shared" si="8"/>
        <v>#N/A</v>
      </c>
      <c r="AG168" s="5" t="e">
        <f t="shared" si="8"/>
        <v>#N/A</v>
      </c>
      <c r="AH168" s="5" t="b">
        <f t="shared" si="9"/>
        <v>0</v>
      </c>
      <c r="AI168" s="5" t="b">
        <f t="shared" si="9"/>
        <v>0</v>
      </c>
      <c r="AJ168" t="e">
        <f t="shared" si="10"/>
        <v>#N/A</v>
      </c>
      <c r="AK168" t="e">
        <f t="shared" si="11"/>
        <v>#N/A</v>
      </c>
    </row>
    <row r="169" spans="1:37">
      <c r="A169" t="s">
        <v>920</v>
      </c>
      <c r="B169" t="s">
        <v>921</v>
      </c>
      <c r="C169" t="s">
        <v>922</v>
      </c>
      <c r="D169" t="s">
        <v>923</v>
      </c>
      <c r="E169" t="s">
        <v>61</v>
      </c>
      <c r="F169" t="s">
        <v>115</v>
      </c>
      <c r="G169" t="s">
        <v>62</v>
      </c>
      <c r="H169" t="s">
        <v>229</v>
      </c>
      <c r="I169" t="s">
        <v>230</v>
      </c>
      <c r="J169" t="s">
        <v>30</v>
      </c>
      <c r="K169" t="s">
        <v>156</v>
      </c>
      <c r="L169" t="s">
        <v>924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  <c r="V169" s="1" t="s">
        <v>61</v>
      </c>
      <c r="W169" s="1" t="s">
        <v>115</v>
      </c>
      <c r="X169" s="1" t="s">
        <v>62</v>
      </c>
      <c r="Y169" s="1" t="s">
        <v>229</v>
      </c>
      <c r="Z169" s="1" t="s">
        <v>230</v>
      </c>
      <c r="AA169" s="1" t="s">
        <v>30</v>
      </c>
      <c r="AB169" s="1" t="s">
        <v>156</v>
      </c>
      <c r="AC169" s="1" t="s">
        <v>56</v>
      </c>
      <c r="AD169" s="1" t="s">
        <v>34</v>
      </c>
      <c r="AE169" s="1" t="s">
        <v>125</v>
      </c>
      <c r="AF169" s="5">
        <f t="shared" si="8"/>
        <v>45887</v>
      </c>
      <c r="AG169" s="5">
        <f t="shared" si="8"/>
        <v>45887</v>
      </c>
      <c r="AH169" s="5" t="b">
        <f t="shared" si="9"/>
        <v>1</v>
      </c>
      <c r="AI169" s="5" t="b">
        <f t="shared" si="9"/>
        <v>1</v>
      </c>
      <c r="AJ169" t="str">
        <f t="shared" si="10"/>
        <v>OK</v>
      </c>
      <c r="AK169">
        <f t="shared" si="11"/>
        <v>0</v>
      </c>
    </row>
    <row r="170" spans="1:37">
      <c r="A170" t="s">
        <v>925</v>
      </c>
      <c r="B170" t="s">
        <v>926</v>
      </c>
      <c r="C170" t="s">
        <v>184</v>
      </c>
      <c r="D170" t="s">
        <v>927</v>
      </c>
      <c r="E170" t="s">
        <v>366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928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  <c r="V170" s="1" t="s">
        <v>366</v>
      </c>
      <c r="W170" s="1" t="s">
        <v>26</v>
      </c>
      <c r="X170" s="1" t="s">
        <v>73</v>
      </c>
      <c r="Y170" s="1" t="s">
        <v>74</v>
      </c>
      <c r="Z170" s="1" t="s">
        <v>75</v>
      </c>
      <c r="AA170" s="1" t="s">
        <v>86</v>
      </c>
      <c r="AB170" s="1" t="s">
        <v>87</v>
      </c>
      <c r="AC170" s="1" t="s">
        <v>48</v>
      </c>
      <c r="AD170" s="1" t="s">
        <v>34</v>
      </c>
      <c r="AE170" s="1" t="s">
        <v>78</v>
      </c>
      <c r="AF170" s="5">
        <f t="shared" si="8"/>
        <v>45677</v>
      </c>
      <c r="AG170" s="5">
        <f t="shared" si="8"/>
        <v>45680</v>
      </c>
      <c r="AH170" s="5" t="b">
        <f t="shared" si="9"/>
        <v>1</v>
      </c>
      <c r="AI170" s="5" t="b">
        <f t="shared" si="9"/>
        <v>1</v>
      </c>
      <c r="AJ170" t="str">
        <f t="shared" si="10"/>
        <v>OK</v>
      </c>
      <c r="AK170">
        <f t="shared" si="11"/>
        <v>3</v>
      </c>
    </row>
    <row r="171" spans="1:37">
      <c r="A171" t="s">
        <v>929</v>
      </c>
      <c r="B171" t="s">
        <v>930</v>
      </c>
      <c r="C171" t="s">
        <v>931</v>
      </c>
      <c r="D171" t="s">
        <v>932</v>
      </c>
      <c r="E171" t="s">
        <v>210</v>
      </c>
      <c r="F171" t="s">
        <v>26</v>
      </c>
      <c r="G171" t="s">
        <v>42</v>
      </c>
      <c r="H171" t="s">
        <v>216</v>
      </c>
      <c r="I171" t="s">
        <v>217</v>
      </c>
      <c r="J171" t="s">
        <v>30</v>
      </c>
      <c r="K171" t="s">
        <v>54</v>
      </c>
      <c r="L171" t="s">
        <v>933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137</v>
      </c>
      <c r="U171" t="s">
        <v>125</v>
      </c>
      <c r="V171" s="1" t="s">
        <v>210</v>
      </c>
      <c r="W171" s="1" t="s">
        <v>26</v>
      </c>
      <c r="X171" s="1" t="s">
        <v>42</v>
      </c>
      <c r="Y171" s="1" t="s">
        <v>216</v>
      </c>
      <c r="Z171" s="1" t="s">
        <v>217</v>
      </c>
      <c r="AA171" s="1" t="s">
        <v>30</v>
      </c>
      <c r="AB171" s="1" t="s">
        <v>54</v>
      </c>
      <c r="AC171" s="1" t="s">
        <v>67</v>
      </c>
      <c r="AD171" s="1" t="s">
        <v>137</v>
      </c>
      <c r="AE171" s="1" t="s">
        <v>125</v>
      </c>
      <c r="AF171" s="5">
        <f t="shared" si="8"/>
        <v>45913</v>
      </c>
      <c r="AG171" s="5">
        <f t="shared" si="8"/>
        <v>45913</v>
      </c>
      <c r="AH171" s="5" t="b">
        <f t="shared" si="9"/>
        <v>1</v>
      </c>
      <c r="AI171" s="5" t="b">
        <f t="shared" si="9"/>
        <v>1</v>
      </c>
      <c r="AJ171" t="str">
        <f t="shared" si="10"/>
        <v>OK</v>
      </c>
      <c r="AK171">
        <f t="shared" si="11"/>
        <v>0</v>
      </c>
    </row>
    <row r="172" spans="1:37">
      <c r="A172" t="s">
        <v>934</v>
      </c>
      <c r="B172" t="s">
        <v>112</v>
      </c>
      <c r="C172" t="s">
        <v>935</v>
      </c>
      <c r="D172" t="s">
        <v>936</v>
      </c>
      <c r="E172" t="s">
        <v>180</v>
      </c>
      <c r="F172" t="s">
        <v>108</v>
      </c>
      <c r="G172" t="s">
        <v>42</v>
      </c>
      <c r="H172" t="s">
        <v>186</v>
      </c>
      <c r="I172" t="s">
        <v>187</v>
      </c>
      <c r="J172" t="s">
        <v>86</v>
      </c>
      <c r="K172" t="s">
        <v>94</v>
      </c>
      <c r="L172" t="s">
        <v>937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  <c r="V172" s="1" t="s">
        <v>180</v>
      </c>
      <c r="W172" s="1" t="s">
        <v>108</v>
      </c>
      <c r="X172" s="1" t="s">
        <v>42</v>
      </c>
      <c r="Y172" s="1" t="s">
        <v>186</v>
      </c>
      <c r="Z172" s="1" t="s">
        <v>187</v>
      </c>
      <c r="AA172" s="1" t="s">
        <v>86</v>
      </c>
      <c r="AB172" s="1" t="s">
        <v>94</v>
      </c>
      <c r="AC172" s="1" t="s">
        <v>67</v>
      </c>
      <c r="AD172" s="1" t="s">
        <v>34</v>
      </c>
      <c r="AE172" s="1" t="s">
        <v>35</v>
      </c>
      <c r="AF172" s="5">
        <f t="shared" si="8"/>
        <v>45847</v>
      </c>
      <c r="AG172" s="5">
        <f t="shared" si="8"/>
        <v>45915</v>
      </c>
      <c r="AH172" s="5" t="b">
        <f t="shared" si="9"/>
        <v>1</v>
      </c>
      <c r="AI172" s="5" t="b">
        <f t="shared" si="9"/>
        <v>1</v>
      </c>
      <c r="AJ172" t="str">
        <f t="shared" si="10"/>
        <v>OK</v>
      </c>
      <c r="AK172">
        <f t="shared" si="11"/>
        <v>68</v>
      </c>
    </row>
    <row r="173" spans="1:37">
      <c r="A173" t="s">
        <v>938</v>
      </c>
      <c r="B173" t="s">
        <v>97</v>
      </c>
      <c r="C173" t="s">
        <v>939</v>
      </c>
      <c r="D173" t="s">
        <v>940</v>
      </c>
      <c r="E173" t="s">
        <v>25</v>
      </c>
      <c r="F173" t="s">
        <v>108</v>
      </c>
      <c r="G173" t="s">
        <v>42</v>
      </c>
      <c r="H173" t="s">
        <v>186</v>
      </c>
      <c r="I173" t="s">
        <v>187</v>
      </c>
      <c r="J173" t="s">
        <v>30</v>
      </c>
      <c r="K173" t="s">
        <v>109</v>
      </c>
      <c r="L173" t="s">
        <v>941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  <c r="V173" s="1" t="s">
        <v>25</v>
      </c>
      <c r="W173" s="1" t="s">
        <v>108</v>
      </c>
      <c r="X173" s="1" t="s">
        <v>42</v>
      </c>
      <c r="Y173" s="1" t="s">
        <v>186</v>
      </c>
      <c r="Z173" s="1" t="s">
        <v>187</v>
      </c>
      <c r="AA173" s="1" t="s">
        <v>30</v>
      </c>
      <c r="AB173" s="1" t="s">
        <v>109</v>
      </c>
      <c r="AC173" s="1" t="s">
        <v>48</v>
      </c>
      <c r="AD173" s="1" t="s">
        <v>34</v>
      </c>
      <c r="AE173" s="1" t="s">
        <v>35</v>
      </c>
      <c r="AF173" s="5">
        <f t="shared" si="8"/>
        <v>45711</v>
      </c>
      <c r="AG173" s="5">
        <f t="shared" si="8"/>
        <v>45713</v>
      </c>
      <c r="AH173" s="5" t="b">
        <f t="shared" si="9"/>
        <v>1</v>
      </c>
      <c r="AI173" s="5" t="b">
        <f t="shared" si="9"/>
        <v>1</v>
      </c>
      <c r="AJ173" t="str">
        <f t="shared" si="10"/>
        <v>OK</v>
      </c>
      <c r="AK173">
        <f t="shared" si="11"/>
        <v>2</v>
      </c>
    </row>
    <row r="174" spans="1:37">
      <c r="A174" t="s">
        <v>942</v>
      </c>
      <c r="B174" t="s">
        <v>943</v>
      </c>
      <c r="C174" t="s">
        <v>944</v>
      </c>
      <c r="D174" t="s">
        <v>945</v>
      </c>
      <c r="E174" t="s">
        <v>25</v>
      </c>
      <c r="F174" t="s">
        <v>108</v>
      </c>
      <c r="G174" t="s">
        <v>27</v>
      </c>
      <c r="H174" t="s">
        <v>506</v>
      </c>
      <c r="I174" t="s">
        <v>507</v>
      </c>
      <c r="J174" t="s">
        <v>45</v>
      </c>
      <c r="K174" t="s">
        <v>65</v>
      </c>
      <c r="L174" t="s">
        <v>946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  <c r="V174" s="1" t="s">
        <v>25</v>
      </c>
      <c r="W174" s="1" t="s">
        <v>108</v>
      </c>
      <c r="X174" s="1" t="s">
        <v>27</v>
      </c>
      <c r="Y174" s="1" t="s">
        <v>506</v>
      </c>
      <c r="Z174" s="1" t="s">
        <v>507</v>
      </c>
      <c r="AA174" s="1" t="s">
        <v>45</v>
      </c>
      <c r="AB174" s="1" t="s">
        <v>65</v>
      </c>
      <c r="AC174" s="1" t="s">
        <v>48</v>
      </c>
      <c r="AD174" s="1" t="s">
        <v>124</v>
      </c>
      <c r="AE174" s="1" t="s">
        <v>125</v>
      </c>
      <c r="AF174" s="5">
        <f t="shared" si="8"/>
        <v>45696</v>
      </c>
      <c r="AG174" s="5">
        <f t="shared" si="8"/>
        <v>45938</v>
      </c>
      <c r="AH174" s="5" t="b">
        <f t="shared" si="9"/>
        <v>1</v>
      </c>
      <c r="AI174" s="5" t="b">
        <f t="shared" si="9"/>
        <v>1</v>
      </c>
      <c r="AJ174" t="str">
        <f t="shared" si="10"/>
        <v>OK</v>
      </c>
      <c r="AK174">
        <f t="shared" si="11"/>
        <v>242</v>
      </c>
    </row>
    <row r="175" spans="1:37">
      <c r="A175" t="s">
        <v>947</v>
      </c>
      <c r="B175" t="s">
        <v>948</v>
      </c>
      <c r="C175" t="s">
        <v>949</v>
      </c>
      <c r="D175" t="s">
        <v>950</v>
      </c>
      <c r="E175" t="s">
        <v>951</v>
      </c>
      <c r="F175" t="s">
        <v>115</v>
      </c>
      <c r="G175" t="s">
        <v>27</v>
      </c>
      <c r="H175" t="s">
        <v>154</v>
      </c>
      <c r="I175" t="s">
        <v>155</v>
      </c>
      <c r="J175" t="s">
        <v>86</v>
      </c>
      <c r="K175" t="s">
        <v>94</v>
      </c>
      <c r="L175" t="s">
        <v>952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  <c r="V175" s="1" t="s">
        <v>142</v>
      </c>
      <c r="W175" s="1" t="s">
        <v>115</v>
      </c>
      <c r="X175" s="1" t="s">
        <v>27</v>
      </c>
      <c r="Y175" s="1" t="s">
        <v>154</v>
      </c>
      <c r="Z175" s="1" t="s">
        <v>155</v>
      </c>
      <c r="AA175" s="1" t="s">
        <v>86</v>
      </c>
      <c r="AB175" s="1" t="s">
        <v>94</v>
      </c>
      <c r="AC175" s="1" t="s">
        <v>33</v>
      </c>
      <c r="AD175" s="1" t="s">
        <v>34</v>
      </c>
      <c r="AE175" s="1" t="s">
        <v>35</v>
      </c>
      <c r="AF175" s="5">
        <f t="shared" si="8"/>
        <v>45327</v>
      </c>
      <c r="AG175" s="5">
        <f t="shared" si="8"/>
        <v>45420</v>
      </c>
      <c r="AH175" s="5" t="b">
        <f t="shared" si="9"/>
        <v>1</v>
      </c>
      <c r="AI175" s="5" t="b">
        <f t="shared" si="9"/>
        <v>1</v>
      </c>
      <c r="AJ175" t="str">
        <f t="shared" si="10"/>
        <v>OK</v>
      </c>
      <c r="AK175">
        <f t="shared" si="11"/>
        <v>93</v>
      </c>
    </row>
    <row r="176" spans="1:37">
      <c r="A176" t="s">
        <v>953</v>
      </c>
      <c r="B176" t="s">
        <v>954</v>
      </c>
      <c r="C176" t="s">
        <v>955</v>
      </c>
      <c r="D176" t="s">
        <v>956</v>
      </c>
      <c r="E176" t="s">
        <v>25</v>
      </c>
      <c r="F176" t="s">
        <v>41</v>
      </c>
      <c r="G176" t="s">
        <v>62</v>
      </c>
      <c r="H176" t="s">
        <v>229</v>
      </c>
      <c r="I176" t="s">
        <v>230</v>
      </c>
      <c r="J176" t="s">
        <v>45</v>
      </c>
      <c r="K176" t="s">
        <v>204</v>
      </c>
      <c r="L176" t="s">
        <v>957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137</v>
      </c>
      <c r="U176" t="s">
        <v>125</v>
      </c>
      <c r="V176" s="1" t="s">
        <v>25</v>
      </c>
      <c r="W176" s="1" t="s">
        <v>41</v>
      </c>
      <c r="X176" s="1" t="s">
        <v>62</v>
      </c>
      <c r="Y176" s="1" t="s">
        <v>229</v>
      </c>
      <c r="Z176" s="1" t="s">
        <v>230</v>
      </c>
      <c r="AA176" s="1" t="s">
        <v>45</v>
      </c>
      <c r="AB176" s="1" t="s">
        <v>204</v>
      </c>
      <c r="AC176" s="1" t="s">
        <v>56</v>
      </c>
      <c r="AD176" s="1" t="s">
        <v>137</v>
      </c>
      <c r="AE176" s="1" t="s">
        <v>125</v>
      </c>
      <c r="AF176" s="5">
        <f t="shared" si="8"/>
        <v>45928</v>
      </c>
      <c r="AG176" s="5">
        <f t="shared" si="8"/>
        <v>45757</v>
      </c>
      <c r="AH176" s="5" t="b">
        <f t="shared" si="9"/>
        <v>1</v>
      </c>
      <c r="AI176" s="5" t="b">
        <f t="shared" si="9"/>
        <v>1</v>
      </c>
      <c r="AJ176" t="str">
        <f t="shared" si="10"/>
        <v>Invalid: Ship before Order</v>
      </c>
      <c r="AK176" t="e">
        <f t="shared" si="11"/>
        <v>#NUM!</v>
      </c>
    </row>
    <row r="177" spans="1:37">
      <c r="A177" t="s">
        <v>958</v>
      </c>
      <c r="B177" t="s">
        <v>742</v>
      </c>
      <c r="C177" t="s">
        <v>959</v>
      </c>
      <c r="D177" t="s">
        <v>960</v>
      </c>
      <c r="E177" t="s">
        <v>61</v>
      </c>
      <c r="F177" t="s">
        <v>41</v>
      </c>
      <c r="G177" t="s">
        <v>42</v>
      </c>
      <c r="H177" t="s">
        <v>186</v>
      </c>
      <c r="I177" t="s">
        <v>187</v>
      </c>
      <c r="J177" t="s">
        <v>86</v>
      </c>
      <c r="K177" t="s">
        <v>382</v>
      </c>
      <c r="L177" t="s">
        <v>961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  <c r="V177" s="1" t="s">
        <v>61</v>
      </c>
      <c r="W177" s="1" t="s">
        <v>41</v>
      </c>
      <c r="X177" s="1" t="s">
        <v>42</v>
      </c>
      <c r="Y177" s="1" t="s">
        <v>186</v>
      </c>
      <c r="Z177" s="1" t="s">
        <v>187</v>
      </c>
      <c r="AA177" s="1" t="s">
        <v>86</v>
      </c>
      <c r="AB177" s="1" t="s">
        <v>382</v>
      </c>
      <c r="AC177" s="1" t="s">
        <v>48</v>
      </c>
      <c r="AD177" s="1" t="s">
        <v>34</v>
      </c>
      <c r="AE177" s="1" t="s">
        <v>125</v>
      </c>
      <c r="AF177" s="5">
        <f t="shared" si="8"/>
        <v>45318</v>
      </c>
      <c r="AG177" s="5">
        <f t="shared" si="8"/>
        <v>45325</v>
      </c>
      <c r="AH177" s="5" t="b">
        <f t="shared" si="9"/>
        <v>1</v>
      </c>
      <c r="AI177" s="5" t="b">
        <f t="shared" si="9"/>
        <v>1</v>
      </c>
      <c r="AJ177" t="str">
        <f t="shared" si="10"/>
        <v>OK</v>
      </c>
      <c r="AK177">
        <f t="shared" si="11"/>
        <v>7</v>
      </c>
    </row>
    <row r="178" spans="1:37">
      <c r="A178" t="s">
        <v>962</v>
      </c>
      <c r="B178" t="s">
        <v>963</v>
      </c>
      <c r="C178" t="s">
        <v>964</v>
      </c>
      <c r="D178" t="s">
        <v>965</v>
      </c>
      <c r="E178" t="s">
        <v>83</v>
      </c>
      <c r="F178" t="s">
        <v>108</v>
      </c>
      <c r="G178" t="s">
        <v>42</v>
      </c>
      <c r="H178" t="s">
        <v>311</v>
      </c>
      <c r="I178" t="s">
        <v>312</v>
      </c>
      <c r="J178" t="s">
        <v>45</v>
      </c>
      <c r="K178" t="s">
        <v>204</v>
      </c>
      <c r="L178" t="s">
        <v>966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  <c r="V178" s="1" t="s">
        <v>83</v>
      </c>
      <c r="W178" s="1" t="s">
        <v>108</v>
      </c>
      <c r="X178" s="1" t="s">
        <v>42</v>
      </c>
      <c r="Y178" s="1" t="s">
        <v>311</v>
      </c>
      <c r="Z178" s="1" t="s">
        <v>312</v>
      </c>
      <c r="AA178" s="1" t="s">
        <v>45</v>
      </c>
      <c r="AB178" s="1" t="s">
        <v>204</v>
      </c>
      <c r="AC178" s="1" t="s">
        <v>67</v>
      </c>
      <c r="AD178" s="1" t="s">
        <v>34</v>
      </c>
      <c r="AE178" s="1" t="s">
        <v>35</v>
      </c>
      <c r="AF178" s="5" t="e">
        <f t="shared" si="8"/>
        <v>#N/A</v>
      </c>
      <c r="AG178" s="5">
        <f t="shared" si="8"/>
        <v>45742</v>
      </c>
      <c r="AH178" s="5" t="b">
        <f t="shared" si="9"/>
        <v>0</v>
      </c>
      <c r="AI178" s="5" t="b">
        <f t="shared" si="9"/>
        <v>1</v>
      </c>
      <c r="AJ178" t="e">
        <f t="shared" si="10"/>
        <v>#N/A</v>
      </c>
      <c r="AK178" t="e">
        <f t="shared" si="11"/>
        <v>#N/A</v>
      </c>
    </row>
    <row r="179" spans="1:37">
      <c r="A179" t="s">
        <v>967</v>
      </c>
      <c r="B179" t="s">
        <v>968</v>
      </c>
      <c r="C179" t="s">
        <v>969</v>
      </c>
      <c r="D179" t="s">
        <v>970</v>
      </c>
      <c r="E179" t="s">
        <v>168</v>
      </c>
      <c r="F179" t="s">
        <v>115</v>
      </c>
      <c r="H179" t="s">
        <v>186</v>
      </c>
      <c r="I179" t="s">
        <v>187</v>
      </c>
      <c r="J179" t="s">
        <v>30</v>
      </c>
      <c r="K179" t="s">
        <v>54</v>
      </c>
      <c r="L179" t="s">
        <v>971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  <c r="V179" s="1" t="s">
        <v>168</v>
      </c>
      <c r="W179" s="1" t="s">
        <v>115</v>
      </c>
      <c r="X179" s="1" t="s">
        <v>4119</v>
      </c>
      <c r="Y179" s="1" t="s">
        <v>186</v>
      </c>
      <c r="Z179" s="1" t="s">
        <v>187</v>
      </c>
      <c r="AA179" s="1" t="s">
        <v>30</v>
      </c>
      <c r="AB179" s="1" t="s">
        <v>54</v>
      </c>
      <c r="AC179" s="1" t="s">
        <v>48</v>
      </c>
      <c r="AD179" s="1" t="s">
        <v>34</v>
      </c>
      <c r="AE179" s="1" t="s">
        <v>35</v>
      </c>
      <c r="AF179" s="5">
        <f t="shared" si="8"/>
        <v>45297</v>
      </c>
      <c r="AG179" s="5">
        <f t="shared" si="8"/>
        <v>45446</v>
      </c>
      <c r="AH179" s="5" t="b">
        <f t="shared" si="9"/>
        <v>1</v>
      </c>
      <c r="AI179" s="5" t="b">
        <f t="shared" si="9"/>
        <v>1</v>
      </c>
      <c r="AJ179" t="str">
        <f t="shared" si="10"/>
        <v>OK</v>
      </c>
      <c r="AK179">
        <f t="shared" si="11"/>
        <v>149</v>
      </c>
    </row>
    <row r="180" spans="1:37">
      <c r="A180" t="s">
        <v>972</v>
      </c>
      <c r="B180" t="s">
        <v>973</v>
      </c>
      <c r="C180" t="s">
        <v>974</v>
      </c>
      <c r="D180" t="s">
        <v>975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976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  <c r="V180" s="1" t="s">
        <v>53</v>
      </c>
      <c r="W180" s="1" t="s">
        <v>108</v>
      </c>
      <c r="X180" s="1" t="s">
        <v>62</v>
      </c>
      <c r="Y180" s="1" t="s">
        <v>63</v>
      </c>
      <c r="Z180" s="1" t="s">
        <v>64</v>
      </c>
      <c r="AA180" s="1" t="s">
        <v>30</v>
      </c>
      <c r="AB180" s="1" t="s">
        <v>54</v>
      </c>
      <c r="AC180" s="1" t="s">
        <v>67</v>
      </c>
      <c r="AD180" s="1" t="s">
        <v>34</v>
      </c>
      <c r="AE180" s="1" t="s">
        <v>35</v>
      </c>
      <c r="AF180" s="5" t="e">
        <f t="shared" si="8"/>
        <v>#N/A</v>
      </c>
      <c r="AG180" s="5">
        <f t="shared" si="8"/>
        <v>45565</v>
      </c>
      <c r="AH180" s="5" t="b">
        <f t="shared" si="9"/>
        <v>0</v>
      </c>
      <c r="AI180" s="5" t="b">
        <f t="shared" si="9"/>
        <v>1</v>
      </c>
      <c r="AJ180" t="e">
        <f t="shared" si="10"/>
        <v>#N/A</v>
      </c>
      <c r="AK180" t="e">
        <f t="shared" si="11"/>
        <v>#N/A</v>
      </c>
    </row>
    <row r="181" spans="1:37">
      <c r="A181" t="s">
        <v>977</v>
      </c>
      <c r="B181" t="s">
        <v>978</v>
      </c>
      <c r="C181" t="s">
        <v>979</v>
      </c>
      <c r="D181" t="s">
        <v>980</v>
      </c>
      <c r="E181" t="s">
        <v>72</v>
      </c>
      <c r="F181" t="s">
        <v>41</v>
      </c>
      <c r="G181" t="s">
        <v>62</v>
      </c>
      <c r="H181" t="s">
        <v>339</v>
      </c>
      <c r="I181" t="s">
        <v>340</v>
      </c>
      <c r="J181" t="s">
        <v>45</v>
      </c>
      <c r="K181" t="s">
        <v>65</v>
      </c>
      <c r="L181" t="s">
        <v>981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  <c r="V181" s="1" t="s">
        <v>72</v>
      </c>
      <c r="W181" s="1" t="s">
        <v>41</v>
      </c>
      <c r="X181" s="1" t="s">
        <v>62</v>
      </c>
      <c r="Y181" s="1" t="s">
        <v>339</v>
      </c>
      <c r="Z181" s="1" t="s">
        <v>340</v>
      </c>
      <c r="AA181" s="1" t="s">
        <v>45</v>
      </c>
      <c r="AB181" s="1" t="s">
        <v>65</v>
      </c>
      <c r="AC181" s="1" t="s">
        <v>67</v>
      </c>
      <c r="AD181" s="1" t="s">
        <v>124</v>
      </c>
      <c r="AE181" s="1" t="s">
        <v>125</v>
      </c>
      <c r="AF181" s="5">
        <f t="shared" si="8"/>
        <v>45366</v>
      </c>
      <c r="AG181" s="5">
        <f t="shared" si="8"/>
        <v>45370</v>
      </c>
      <c r="AH181" s="5" t="b">
        <f t="shared" si="9"/>
        <v>1</v>
      </c>
      <c r="AI181" s="5" t="b">
        <f t="shared" si="9"/>
        <v>1</v>
      </c>
      <c r="AJ181" t="str">
        <f t="shared" si="10"/>
        <v>OK</v>
      </c>
      <c r="AK181">
        <f t="shared" si="11"/>
        <v>4</v>
      </c>
    </row>
    <row r="182" spans="1:37">
      <c r="A182" t="s">
        <v>982</v>
      </c>
      <c r="B182" t="s">
        <v>983</v>
      </c>
      <c r="C182" t="s">
        <v>984</v>
      </c>
      <c r="D182" t="s">
        <v>985</v>
      </c>
      <c r="E182" t="s">
        <v>40</v>
      </c>
      <c r="F182" t="s">
        <v>115</v>
      </c>
      <c r="G182" t="s">
        <v>27</v>
      </c>
      <c r="H182" t="s">
        <v>174</v>
      </c>
      <c r="I182" t="s">
        <v>175</v>
      </c>
      <c r="J182" t="s">
        <v>918</v>
      </c>
      <c r="K182" t="s">
        <v>198</v>
      </c>
      <c r="L182" t="s">
        <v>986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  <c r="V182" s="1" t="s">
        <v>40</v>
      </c>
      <c r="W182" s="1" t="s">
        <v>115</v>
      </c>
      <c r="X182" s="1" t="s">
        <v>27</v>
      </c>
      <c r="Y182" s="1" t="s">
        <v>174</v>
      </c>
      <c r="Z182" s="1" t="s">
        <v>175</v>
      </c>
      <c r="AA182" s="1" t="s">
        <v>30</v>
      </c>
      <c r="AB182" s="1" t="s">
        <v>198</v>
      </c>
      <c r="AC182" s="1" t="s">
        <v>56</v>
      </c>
      <c r="AD182" s="1" t="s">
        <v>34</v>
      </c>
      <c r="AE182" s="1" t="s">
        <v>35</v>
      </c>
      <c r="AF182" s="5">
        <f t="shared" si="8"/>
        <v>45530</v>
      </c>
      <c r="AG182" s="5" t="e">
        <f t="shared" si="8"/>
        <v>#N/A</v>
      </c>
      <c r="AH182" s="5" t="b">
        <f t="shared" si="9"/>
        <v>1</v>
      </c>
      <c r="AI182" s="5" t="b">
        <f t="shared" si="9"/>
        <v>0</v>
      </c>
      <c r="AJ182" t="e">
        <f t="shared" si="10"/>
        <v>#N/A</v>
      </c>
      <c r="AK182" t="e">
        <f t="shared" si="11"/>
        <v>#N/A</v>
      </c>
    </row>
    <row r="183" spans="1:37">
      <c r="A183" t="s">
        <v>987</v>
      </c>
      <c r="B183" t="s">
        <v>988</v>
      </c>
      <c r="C183" t="s">
        <v>989</v>
      </c>
      <c r="D183" t="s">
        <v>990</v>
      </c>
      <c r="E183" t="s">
        <v>142</v>
      </c>
      <c r="F183" t="s">
        <v>115</v>
      </c>
      <c r="G183" t="s">
        <v>62</v>
      </c>
      <c r="H183" t="s">
        <v>339</v>
      </c>
      <c r="I183" t="s">
        <v>340</v>
      </c>
      <c r="J183" t="s">
        <v>30</v>
      </c>
      <c r="K183" t="s">
        <v>54</v>
      </c>
      <c r="L183" t="s">
        <v>991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  <c r="V183" s="1" t="s">
        <v>142</v>
      </c>
      <c r="W183" s="1" t="s">
        <v>115</v>
      </c>
      <c r="X183" s="1" t="s">
        <v>62</v>
      </c>
      <c r="Y183" s="1" t="s">
        <v>339</v>
      </c>
      <c r="Z183" s="1" t="s">
        <v>340</v>
      </c>
      <c r="AA183" s="1" t="s">
        <v>30</v>
      </c>
      <c r="AB183" s="1" t="s">
        <v>54</v>
      </c>
      <c r="AC183" s="1" t="s">
        <v>33</v>
      </c>
      <c r="AD183" s="1" t="s">
        <v>34</v>
      </c>
      <c r="AE183" s="1" t="s">
        <v>35</v>
      </c>
      <c r="AF183" s="5">
        <f t="shared" si="8"/>
        <v>45909</v>
      </c>
      <c r="AG183" s="5">
        <f t="shared" si="8"/>
        <v>45939</v>
      </c>
      <c r="AH183" s="5" t="b">
        <f t="shared" si="9"/>
        <v>1</v>
      </c>
      <c r="AI183" s="5" t="b">
        <f t="shared" si="9"/>
        <v>1</v>
      </c>
      <c r="AJ183" t="str">
        <f t="shared" si="10"/>
        <v>OK</v>
      </c>
      <c r="AK183">
        <f t="shared" si="11"/>
        <v>30</v>
      </c>
    </row>
    <row r="184" spans="1:37">
      <c r="A184" t="s">
        <v>992</v>
      </c>
      <c r="B184" t="s">
        <v>299</v>
      </c>
      <c r="C184" t="s">
        <v>299</v>
      </c>
      <c r="D184" t="s">
        <v>993</v>
      </c>
      <c r="E184" t="s">
        <v>72</v>
      </c>
      <c r="F184" t="s">
        <v>115</v>
      </c>
      <c r="G184" t="s">
        <v>42</v>
      </c>
      <c r="H184" t="s">
        <v>186</v>
      </c>
      <c r="I184" t="s">
        <v>187</v>
      </c>
      <c r="J184" t="s">
        <v>86</v>
      </c>
      <c r="K184" t="s">
        <v>382</v>
      </c>
      <c r="L184" t="s">
        <v>994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  <c r="V184" s="1" t="s">
        <v>72</v>
      </c>
      <c r="W184" s="1" t="s">
        <v>115</v>
      </c>
      <c r="X184" s="1" t="s">
        <v>42</v>
      </c>
      <c r="Y184" s="1" t="s">
        <v>186</v>
      </c>
      <c r="Z184" s="1" t="s">
        <v>187</v>
      </c>
      <c r="AA184" s="1" t="s">
        <v>86</v>
      </c>
      <c r="AB184" s="1" t="s">
        <v>382</v>
      </c>
      <c r="AC184" s="1" t="s">
        <v>67</v>
      </c>
      <c r="AD184" s="1" t="s">
        <v>34</v>
      </c>
      <c r="AE184" s="1" t="s">
        <v>35</v>
      </c>
      <c r="AF184" s="5">
        <f t="shared" si="8"/>
        <v>45581</v>
      </c>
      <c r="AG184" s="5">
        <f t="shared" si="8"/>
        <v>45581</v>
      </c>
      <c r="AH184" s="5" t="b">
        <f t="shared" si="9"/>
        <v>1</v>
      </c>
      <c r="AI184" s="5" t="b">
        <f t="shared" si="9"/>
        <v>1</v>
      </c>
      <c r="AJ184" t="str">
        <f t="shared" si="10"/>
        <v>OK</v>
      </c>
      <c r="AK184">
        <f t="shared" si="11"/>
        <v>0</v>
      </c>
    </row>
    <row r="185" spans="1:37">
      <c r="A185" t="s">
        <v>995</v>
      </c>
      <c r="B185" t="s">
        <v>996</v>
      </c>
      <c r="C185" t="s">
        <v>997</v>
      </c>
      <c r="D185" t="s">
        <v>998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999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  <c r="V185" s="1" t="s">
        <v>83</v>
      </c>
      <c r="W185" s="1" t="s">
        <v>115</v>
      </c>
      <c r="X185" s="1" t="s">
        <v>62</v>
      </c>
      <c r="Y185" s="1" t="s">
        <v>63</v>
      </c>
      <c r="Z185" s="1" t="s">
        <v>64</v>
      </c>
      <c r="AA185" s="1" t="s">
        <v>86</v>
      </c>
      <c r="AB185" s="1" t="s">
        <v>94</v>
      </c>
      <c r="AC185" s="1" t="s">
        <v>67</v>
      </c>
      <c r="AD185" s="1" t="s">
        <v>34</v>
      </c>
      <c r="AE185" s="1" t="s">
        <v>125</v>
      </c>
      <c r="AF185" s="5">
        <f t="shared" si="8"/>
        <v>45832</v>
      </c>
      <c r="AG185" s="5" t="e">
        <f t="shared" si="8"/>
        <v>#N/A</v>
      </c>
      <c r="AH185" s="5" t="b">
        <f t="shared" si="9"/>
        <v>1</v>
      </c>
      <c r="AI185" s="5" t="b">
        <f t="shared" si="9"/>
        <v>0</v>
      </c>
      <c r="AJ185" t="e">
        <f t="shared" si="10"/>
        <v>#N/A</v>
      </c>
      <c r="AK185" t="e">
        <f t="shared" si="11"/>
        <v>#N/A</v>
      </c>
    </row>
    <row r="186" spans="1:37">
      <c r="A186" t="s">
        <v>1000</v>
      </c>
      <c r="B186" t="s">
        <v>1001</v>
      </c>
      <c r="C186" t="s">
        <v>348</v>
      </c>
      <c r="D186" t="s">
        <v>1002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204</v>
      </c>
      <c r="L186" t="s">
        <v>1003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  <c r="V186" s="1" t="s">
        <v>83</v>
      </c>
      <c r="W186" s="1" t="s">
        <v>108</v>
      </c>
      <c r="X186" s="1" t="s">
        <v>73</v>
      </c>
      <c r="Y186" s="1" t="s">
        <v>84</v>
      </c>
      <c r="Z186" s="1" t="s">
        <v>85</v>
      </c>
      <c r="AA186" s="1" t="s">
        <v>45</v>
      </c>
      <c r="AB186" s="1" t="s">
        <v>204</v>
      </c>
      <c r="AC186" s="1" t="s">
        <v>67</v>
      </c>
      <c r="AD186" s="1" t="s">
        <v>124</v>
      </c>
      <c r="AE186" s="1" t="s">
        <v>125</v>
      </c>
      <c r="AF186" s="5">
        <f t="shared" si="8"/>
        <v>45384</v>
      </c>
      <c r="AG186" s="5">
        <f t="shared" si="8"/>
        <v>45388</v>
      </c>
      <c r="AH186" s="5" t="b">
        <f t="shared" si="9"/>
        <v>1</v>
      </c>
      <c r="AI186" s="5" t="b">
        <f t="shared" si="9"/>
        <v>1</v>
      </c>
      <c r="AJ186" t="str">
        <f t="shared" si="10"/>
        <v>OK</v>
      </c>
      <c r="AK186">
        <f t="shared" si="11"/>
        <v>4</v>
      </c>
    </row>
    <row r="187" spans="1:37">
      <c r="A187" t="s">
        <v>1004</v>
      </c>
      <c r="B187" t="s">
        <v>104</v>
      </c>
      <c r="C187" t="s">
        <v>1005</v>
      </c>
      <c r="D187" t="s">
        <v>1006</v>
      </c>
      <c r="E187" t="s">
        <v>61</v>
      </c>
      <c r="F187" t="s">
        <v>26</v>
      </c>
      <c r="H187" t="s">
        <v>154</v>
      </c>
      <c r="I187" t="s">
        <v>155</v>
      </c>
      <c r="J187" t="s">
        <v>30</v>
      </c>
      <c r="K187" t="s">
        <v>109</v>
      </c>
      <c r="L187" t="s">
        <v>1007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  <c r="V187" s="1" t="s">
        <v>61</v>
      </c>
      <c r="W187" s="1" t="s">
        <v>26</v>
      </c>
      <c r="X187" s="1" t="s">
        <v>4119</v>
      </c>
      <c r="Y187" s="1" t="s">
        <v>154</v>
      </c>
      <c r="Z187" s="1" t="s">
        <v>155</v>
      </c>
      <c r="AA187" s="1" t="s">
        <v>30</v>
      </c>
      <c r="AB187" s="1" t="s">
        <v>109</v>
      </c>
      <c r="AC187" s="1" t="s">
        <v>33</v>
      </c>
      <c r="AD187" s="1" t="s">
        <v>34</v>
      </c>
      <c r="AE187" s="1" t="s">
        <v>35</v>
      </c>
      <c r="AF187" s="5">
        <f t="shared" si="8"/>
        <v>45601</v>
      </c>
      <c r="AG187" s="5">
        <f t="shared" si="8"/>
        <v>45609</v>
      </c>
      <c r="AH187" s="5" t="b">
        <f t="shared" si="9"/>
        <v>1</v>
      </c>
      <c r="AI187" s="5" t="b">
        <f t="shared" si="9"/>
        <v>1</v>
      </c>
      <c r="AJ187" t="str">
        <f t="shared" si="10"/>
        <v>OK</v>
      </c>
      <c r="AK187">
        <f t="shared" si="11"/>
        <v>8</v>
      </c>
    </row>
    <row r="188" spans="1:37">
      <c r="A188" t="s">
        <v>1008</v>
      </c>
      <c r="B188" t="s">
        <v>332</v>
      </c>
      <c r="C188" t="s">
        <v>1009</v>
      </c>
      <c r="D188" t="s">
        <v>365</v>
      </c>
      <c r="E188" t="s">
        <v>83</v>
      </c>
      <c r="F188" t="s">
        <v>26</v>
      </c>
      <c r="G188" t="s">
        <v>62</v>
      </c>
      <c r="H188" t="s">
        <v>339</v>
      </c>
      <c r="I188" t="s">
        <v>340</v>
      </c>
      <c r="J188" t="s">
        <v>45</v>
      </c>
      <c r="K188" t="s">
        <v>46</v>
      </c>
      <c r="L188" t="s">
        <v>1010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  <c r="V188" s="1" t="s">
        <v>83</v>
      </c>
      <c r="W188" s="1" t="s">
        <v>26</v>
      </c>
      <c r="X188" s="1" t="s">
        <v>62</v>
      </c>
      <c r="Y188" s="1" t="s">
        <v>339</v>
      </c>
      <c r="Z188" s="1" t="s">
        <v>340</v>
      </c>
      <c r="AA188" s="1" t="s">
        <v>45</v>
      </c>
      <c r="AB188" s="1" t="s">
        <v>46</v>
      </c>
      <c r="AC188" s="1" t="s">
        <v>56</v>
      </c>
      <c r="AD188" s="1" t="s">
        <v>34</v>
      </c>
      <c r="AE188" s="1" t="s">
        <v>35</v>
      </c>
      <c r="AF188" s="5" t="e">
        <f t="shared" si="8"/>
        <v>#N/A</v>
      </c>
      <c r="AG188" s="5">
        <f t="shared" si="8"/>
        <v>45493</v>
      </c>
      <c r="AH188" s="5" t="b">
        <f t="shared" si="9"/>
        <v>0</v>
      </c>
      <c r="AI188" s="5" t="b">
        <f t="shared" si="9"/>
        <v>1</v>
      </c>
      <c r="AJ188" t="e">
        <f t="shared" si="10"/>
        <v>#N/A</v>
      </c>
      <c r="AK188" t="e">
        <f t="shared" si="11"/>
        <v>#N/A</v>
      </c>
    </row>
    <row r="189" spans="1:37">
      <c r="A189" t="s">
        <v>1011</v>
      </c>
      <c r="B189" t="s">
        <v>1012</v>
      </c>
      <c r="C189" t="s">
        <v>1013</v>
      </c>
      <c r="D189" t="s">
        <v>1014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1015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  <c r="V189" s="1" t="s">
        <v>40</v>
      </c>
      <c r="W189" s="1" t="s">
        <v>26</v>
      </c>
      <c r="X189" s="1" t="s">
        <v>73</v>
      </c>
      <c r="Y189" s="1" t="s">
        <v>84</v>
      </c>
      <c r="Z189" s="1" t="s">
        <v>85</v>
      </c>
      <c r="AA189" s="1" t="s">
        <v>45</v>
      </c>
      <c r="AB189" s="1" t="s">
        <v>76</v>
      </c>
      <c r="AC189" s="1" t="s">
        <v>48</v>
      </c>
      <c r="AD189" s="1" t="s">
        <v>34</v>
      </c>
      <c r="AE189" s="1" t="s">
        <v>125</v>
      </c>
      <c r="AF189" s="5">
        <f t="shared" si="8"/>
        <v>45778</v>
      </c>
      <c r="AG189" s="5">
        <f t="shared" si="8"/>
        <v>45779</v>
      </c>
      <c r="AH189" s="5" t="b">
        <f t="shared" si="9"/>
        <v>1</v>
      </c>
      <c r="AI189" s="5" t="b">
        <f t="shared" si="9"/>
        <v>1</v>
      </c>
      <c r="AJ189" t="str">
        <f t="shared" si="10"/>
        <v>OK</v>
      </c>
      <c r="AK189">
        <f t="shared" si="11"/>
        <v>1</v>
      </c>
    </row>
    <row r="190" spans="1:37">
      <c r="A190" t="s">
        <v>1016</v>
      </c>
      <c r="B190" t="s">
        <v>1017</v>
      </c>
      <c r="C190" t="s">
        <v>1018</v>
      </c>
      <c r="D190" t="s">
        <v>1019</v>
      </c>
      <c r="E190" t="s">
        <v>142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204</v>
      </c>
      <c r="L190" t="s">
        <v>1020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  <c r="V190" s="1" t="s">
        <v>142</v>
      </c>
      <c r="W190" s="1" t="s">
        <v>108</v>
      </c>
      <c r="X190" s="1" t="s">
        <v>42</v>
      </c>
      <c r="Y190" s="1" t="s">
        <v>121</v>
      </c>
      <c r="Z190" s="1" t="s">
        <v>122</v>
      </c>
      <c r="AA190" s="1" t="s">
        <v>45</v>
      </c>
      <c r="AB190" s="1" t="s">
        <v>204</v>
      </c>
      <c r="AC190" s="1" t="s">
        <v>48</v>
      </c>
      <c r="AD190" s="1" t="s">
        <v>34</v>
      </c>
      <c r="AE190" s="1" t="s">
        <v>35</v>
      </c>
      <c r="AF190" s="5">
        <f t="shared" si="8"/>
        <v>45798</v>
      </c>
      <c r="AG190" s="5">
        <f t="shared" si="8"/>
        <v>45805</v>
      </c>
      <c r="AH190" s="5" t="b">
        <f t="shared" si="9"/>
        <v>1</v>
      </c>
      <c r="AI190" s="5" t="b">
        <f t="shared" si="9"/>
        <v>1</v>
      </c>
      <c r="AJ190" t="str">
        <f t="shared" si="10"/>
        <v>OK</v>
      </c>
      <c r="AK190">
        <f t="shared" si="11"/>
        <v>7</v>
      </c>
    </row>
    <row r="191" spans="1:37">
      <c r="A191" t="s">
        <v>1021</v>
      </c>
      <c r="B191" t="s">
        <v>1022</v>
      </c>
      <c r="C191" t="s">
        <v>1023</v>
      </c>
      <c r="D191" t="s">
        <v>1024</v>
      </c>
      <c r="E191" t="s">
        <v>61</v>
      </c>
      <c r="F191" t="s">
        <v>26</v>
      </c>
      <c r="G191" t="s">
        <v>73</v>
      </c>
      <c r="H191" t="s">
        <v>28</v>
      </c>
      <c r="I191" t="s">
        <v>135</v>
      </c>
      <c r="J191" t="s">
        <v>45</v>
      </c>
      <c r="K191" t="s">
        <v>204</v>
      </c>
      <c r="L191" t="s">
        <v>1025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1026</v>
      </c>
      <c r="V191" s="1" t="s">
        <v>61</v>
      </c>
      <c r="W191" s="1" t="s">
        <v>26</v>
      </c>
      <c r="X191" s="1" t="s">
        <v>73</v>
      </c>
      <c r="Y191" s="1" t="s">
        <v>28</v>
      </c>
      <c r="Z191" s="1" t="s">
        <v>135</v>
      </c>
      <c r="AA191" s="1" t="s">
        <v>45</v>
      </c>
      <c r="AB191" s="1" t="s">
        <v>204</v>
      </c>
      <c r="AC191" s="1" t="s">
        <v>56</v>
      </c>
      <c r="AD191" s="1" t="s">
        <v>34</v>
      </c>
      <c r="AE191" s="1" t="s">
        <v>35</v>
      </c>
      <c r="AF191" s="5">
        <f t="shared" si="8"/>
        <v>45783</v>
      </c>
      <c r="AG191" s="5">
        <f t="shared" si="8"/>
        <v>45784</v>
      </c>
      <c r="AH191" s="5" t="b">
        <f t="shared" si="9"/>
        <v>1</v>
      </c>
      <c r="AI191" s="5" t="b">
        <f t="shared" si="9"/>
        <v>1</v>
      </c>
      <c r="AJ191" t="str">
        <f t="shared" si="10"/>
        <v>OK</v>
      </c>
      <c r="AK191">
        <f t="shared" si="11"/>
        <v>1</v>
      </c>
    </row>
    <row r="192" spans="1:37">
      <c r="A192" t="s">
        <v>1027</v>
      </c>
      <c r="B192" t="s">
        <v>1028</v>
      </c>
      <c r="C192" t="s">
        <v>1029</v>
      </c>
      <c r="D192" t="s">
        <v>1030</v>
      </c>
      <c r="E192" t="s">
        <v>107</v>
      </c>
      <c r="F192" t="s">
        <v>26</v>
      </c>
      <c r="G192" t="s">
        <v>62</v>
      </c>
      <c r="H192" t="s">
        <v>339</v>
      </c>
      <c r="I192" t="s">
        <v>340</v>
      </c>
      <c r="J192" t="s">
        <v>30</v>
      </c>
      <c r="K192" t="s">
        <v>156</v>
      </c>
      <c r="L192" t="s">
        <v>1031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35</v>
      </c>
      <c r="V192" s="1" t="s">
        <v>107</v>
      </c>
      <c r="W192" s="1" t="s">
        <v>26</v>
      </c>
      <c r="X192" s="1" t="s">
        <v>62</v>
      </c>
      <c r="Y192" s="1" t="s">
        <v>339</v>
      </c>
      <c r="Z192" s="1" t="s">
        <v>340</v>
      </c>
      <c r="AA192" s="1" t="s">
        <v>30</v>
      </c>
      <c r="AB192" s="1" t="s">
        <v>156</v>
      </c>
      <c r="AC192" s="1" t="s">
        <v>56</v>
      </c>
      <c r="AD192" s="1" t="s">
        <v>34</v>
      </c>
      <c r="AE192" s="1" t="s">
        <v>35</v>
      </c>
      <c r="AF192" s="5" t="e">
        <f t="shared" si="8"/>
        <v>#N/A</v>
      </c>
      <c r="AG192" s="5">
        <f t="shared" si="8"/>
        <v>45768</v>
      </c>
      <c r="AH192" s="5" t="b">
        <f t="shared" si="9"/>
        <v>0</v>
      </c>
      <c r="AI192" s="5" t="b">
        <f t="shared" si="9"/>
        <v>1</v>
      </c>
      <c r="AJ192" t="e">
        <f t="shared" si="10"/>
        <v>#N/A</v>
      </c>
      <c r="AK192" t="e">
        <f t="shared" si="11"/>
        <v>#N/A</v>
      </c>
    </row>
    <row r="193" spans="1:37">
      <c r="A193" t="s">
        <v>1032</v>
      </c>
      <c r="B193" t="s">
        <v>1033</v>
      </c>
      <c r="C193" t="s">
        <v>645</v>
      </c>
      <c r="D193" t="s">
        <v>1034</v>
      </c>
      <c r="E193" t="s">
        <v>168</v>
      </c>
      <c r="F193" t="s">
        <v>41</v>
      </c>
      <c r="G193" t="s">
        <v>62</v>
      </c>
      <c r="H193" t="s">
        <v>339</v>
      </c>
      <c r="I193" t="s">
        <v>340</v>
      </c>
      <c r="J193" t="s">
        <v>45</v>
      </c>
      <c r="K193" t="s">
        <v>204</v>
      </c>
      <c r="L193" t="s">
        <v>1035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  <c r="V193" s="1" t="s">
        <v>168</v>
      </c>
      <c r="W193" s="1" t="s">
        <v>41</v>
      </c>
      <c r="X193" s="1" t="s">
        <v>62</v>
      </c>
      <c r="Y193" s="1" t="s">
        <v>339</v>
      </c>
      <c r="Z193" s="1" t="s">
        <v>340</v>
      </c>
      <c r="AA193" s="1" t="s">
        <v>45</v>
      </c>
      <c r="AB193" s="1" t="s">
        <v>204</v>
      </c>
      <c r="AC193" s="1" t="s">
        <v>33</v>
      </c>
      <c r="AD193" s="1" t="s">
        <v>34</v>
      </c>
      <c r="AE193" s="1" t="s">
        <v>35</v>
      </c>
      <c r="AF193" s="5" t="e">
        <f t="shared" si="8"/>
        <v>#N/A</v>
      </c>
      <c r="AG193" s="5">
        <f t="shared" si="8"/>
        <v>45589</v>
      </c>
      <c r="AH193" s="5" t="b">
        <f t="shared" si="9"/>
        <v>0</v>
      </c>
      <c r="AI193" s="5" t="b">
        <f t="shared" si="9"/>
        <v>1</v>
      </c>
      <c r="AJ193" t="e">
        <f t="shared" si="10"/>
        <v>#N/A</v>
      </c>
      <c r="AK193" t="e">
        <f t="shared" si="11"/>
        <v>#N/A</v>
      </c>
    </row>
    <row r="194" spans="1:37">
      <c r="A194" t="s">
        <v>1036</v>
      </c>
      <c r="B194" t="s">
        <v>1037</v>
      </c>
      <c r="C194" t="s">
        <v>1038</v>
      </c>
      <c r="D194" t="s">
        <v>1039</v>
      </c>
      <c r="E194" t="s">
        <v>53</v>
      </c>
      <c r="F194" t="s">
        <v>115</v>
      </c>
      <c r="G194" t="s">
        <v>73</v>
      </c>
      <c r="H194" t="s">
        <v>235</v>
      </c>
      <c r="I194" t="s">
        <v>236</v>
      </c>
      <c r="J194" t="s">
        <v>45</v>
      </c>
      <c r="K194" t="s">
        <v>76</v>
      </c>
      <c r="L194" t="s">
        <v>1040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  <c r="V194" s="1" t="s">
        <v>53</v>
      </c>
      <c r="W194" s="1" t="s">
        <v>115</v>
      </c>
      <c r="X194" s="1" t="s">
        <v>73</v>
      </c>
      <c r="Y194" s="1" t="s">
        <v>235</v>
      </c>
      <c r="Z194" s="1" t="s">
        <v>236</v>
      </c>
      <c r="AA194" s="1" t="s">
        <v>45</v>
      </c>
      <c r="AB194" s="1" t="s">
        <v>76</v>
      </c>
      <c r="AC194" s="1" t="s">
        <v>56</v>
      </c>
      <c r="AD194" s="1" t="s">
        <v>34</v>
      </c>
      <c r="AE194" s="1" t="s">
        <v>35</v>
      </c>
      <c r="AF194" s="5">
        <f t="shared" si="8"/>
        <v>45635</v>
      </c>
      <c r="AG194" s="5">
        <f t="shared" si="8"/>
        <v>45642</v>
      </c>
      <c r="AH194" s="5" t="b">
        <f t="shared" si="9"/>
        <v>1</v>
      </c>
      <c r="AI194" s="5" t="b">
        <f t="shared" si="9"/>
        <v>1</v>
      </c>
      <c r="AJ194" t="str">
        <f t="shared" si="10"/>
        <v>OK</v>
      </c>
      <c r="AK194">
        <f t="shared" si="11"/>
        <v>7</v>
      </c>
    </row>
    <row r="195" spans="1:37">
      <c r="A195" t="s">
        <v>1041</v>
      </c>
      <c r="B195" t="s">
        <v>1042</v>
      </c>
      <c r="C195" t="s">
        <v>1043</v>
      </c>
      <c r="D195" t="s">
        <v>1044</v>
      </c>
      <c r="E195" t="s">
        <v>142</v>
      </c>
      <c r="F195" t="s">
        <v>41</v>
      </c>
      <c r="G195" t="s">
        <v>27</v>
      </c>
      <c r="H195" t="s">
        <v>154</v>
      </c>
      <c r="I195" t="s">
        <v>155</v>
      </c>
      <c r="J195" t="s">
        <v>86</v>
      </c>
      <c r="K195" t="s">
        <v>94</v>
      </c>
      <c r="L195" t="s">
        <v>1045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  <c r="V195" s="1" t="s">
        <v>142</v>
      </c>
      <c r="W195" s="1" t="s">
        <v>41</v>
      </c>
      <c r="X195" s="1" t="s">
        <v>27</v>
      </c>
      <c r="Y195" s="1" t="s">
        <v>154</v>
      </c>
      <c r="Z195" s="1" t="s">
        <v>155</v>
      </c>
      <c r="AA195" s="1" t="s">
        <v>86</v>
      </c>
      <c r="AB195" s="1" t="s">
        <v>94</v>
      </c>
      <c r="AC195" s="1" t="s">
        <v>48</v>
      </c>
      <c r="AD195" s="1" t="s">
        <v>124</v>
      </c>
      <c r="AE195" s="1" t="s">
        <v>125</v>
      </c>
      <c r="AF195" s="5">
        <f t="shared" ref="AF195:AG258" si="12">IFERROR(DATEVALUE(B195),IFERROR(DATE(VALUE(RIGHT(B195,4)),VALUE(MID(SUBSTITUTE(B195,"-","/"),6,2)),VALUE(LEFT(B195,2))),NA()))</f>
        <v>45466</v>
      </c>
      <c r="AG195" s="5" t="e">
        <f t="shared" si="12"/>
        <v>#N/A</v>
      </c>
      <c r="AH195" s="5" t="b">
        <f t="shared" ref="AH195:AI258" si="13">ISNUMBER(AF195)</f>
        <v>1</v>
      </c>
      <c r="AI195" s="5" t="b">
        <f t="shared" si="13"/>
        <v>0</v>
      </c>
      <c r="AJ195" t="e">
        <f t="shared" ref="AJ195:AJ258" si="14">IF(AG195&lt;AF195,"Invalid: Ship before Order","OK")</f>
        <v>#N/A</v>
      </c>
      <c r="AK195" t="e">
        <f t="shared" ref="AK195:AK258" si="15">DATEDIF(AF195, AG195, "D")</f>
        <v>#N/A</v>
      </c>
    </row>
    <row r="196" spans="1:37">
      <c r="A196" t="s">
        <v>1046</v>
      </c>
      <c r="B196" t="s">
        <v>1047</v>
      </c>
      <c r="C196" t="s">
        <v>1048</v>
      </c>
      <c r="D196" t="s">
        <v>1049</v>
      </c>
      <c r="E196" t="s">
        <v>142</v>
      </c>
      <c r="F196" t="s">
        <v>26</v>
      </c>
      <c r="G196" t="s">
        <v>1050</v>
      </c>
      <c r="H196" t="s">
        <v>74</v>
      </c>
      <c r="I196" t="s">
        <v>75</v>
      </c>
      <c r="J196" t="s">
        <v>45</v>
      </c>
      <c r="K196" t="s">
        <v>65</v>
      </c>
      <c r="L196" t="s">
        <v>1051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137</v>
      </c>
      <c r="U196" t="s">
        <v>125</v>
      </c>
      <c r="V196" s="1" t="s">
        <v>142</v>
      </c>
      <c r="W196" s="1" t="s">
        <v>26</v>
      </c>
      <c r="X196" s="1" t="s">
        <v>73</v>
      </c>
      <c r="Y196" s="1" t="s">
        <v>74</v>
      </c>
      <c r="Z196" s="1" t="s">
        <v>75</v>
      </c>
      <c r="AA196" s="1" t="s">
        <v>45</v>
      </c>
      <c r="AB196" s="1" t="s">
        <v>65</v>
      </c>
      <c r="AC196" s="1" t="s">
        <v>56</v>
      </c>
      <c r="AD196" s="1" t="s">
        <v>137</v>
      </c>
      <c r="AE196" s="1" t="s">
        <v>125</v>
      </c>
      <c r="AF196" s="5">
        <f t="shared" si="12"/>
        <v>45685</v>
      </c>
      <c r="AG196" s="5">
        <f t="shared" si="12"/>
        <v>45688</v>
      </c>
      <c r="AH196" s="5" t="b">
        <f t="shared" si="13"/>
        <v>1</v>
      </c>
      <c r="AI196" s="5" t="b">
        <f t="shared" si="13"/>
        <v>1</v>
      </c>
      <c r="AJ196" t="str">
        <f t="shared" si="14"/>
        <v>OK</v>
      </c>
      <c r="AK196">
        <f t="shared" si="15"/>
        <v>3</v>
      </c>
    </row>
    <row r="197" spans="1:37">
      <c r="A197" t="s">
        <v>1052</v>
      </c>
      <c r="B197" t="s">
        <v>1053</v>
      </c>
      <c r="C197" t="s">
        <v>1054</v>
      </c>
      <c r="D197" t="s">
        <v>1055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1056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  <c r="V197" s="1" t="s">
        <v>93</v>
      </c>
      <c r="W197" s="1" t="s">
        <v>115</v>
      </c>
      <c r="X197" s="1" t="s">
        <v>62</v>
      </c>
      <c r="Y197" s="1" t="s">
        <v>100</v>
      </c>
      <c r="Z197" s="1" t="s">
        <v>101</v>
      </c>
      <c r="AA197" s="1" t="s">
        <v>45</v>
      </c>
      <c r="AB197" s="1" t="s">
        <v>65</v>
      </c>
      <c r="AC197" s="1" t="s">
        <v>48</v>
      </c>
      <c r="AD197" s="1" t="s">
        <v>34</v>
      </c>
      <c r="AE197" s="1" t="s">
        <v>35</v>
      </c>
      <c r="AF197" s="5">
        <f t="shared" si="12"/>
        <v>45860</v>
      </c>
      <c r="AG197" s="5">
        <f t="shared" si="12"/>
        <v>45862</v>
      </c>
      <c r="AH197" s="5" t="b">
        <f t="shared" si="13"/>
        <v>1</v>
      </c>
      <c r="AI197" s="5" t="b">
        <f t="shared" si="13"/>
        <v>1</v>
      </c>
      <c r="AJ197" t="str">
        <f t="shared" si="14"/>
        <v>OK</v>
      </c>
      <c r="AK197">
        <f t="shared" si="15"/>
        <v>2</v>
      </c>
    </row>
    <row r="198" spans="1:37">
      <c r="A198" t="s">
        <v>1057</v>
      </c>
      <c r="B198" t="s">
        <v>1058</v>
      </c>
      <c r="C198" t="s">
        <v>1059</v>
      </c>
      <c r="D198" t="s">
        <v>1060</v>
      </c>
      <c r="E198" t="s">
        <v>366</v>
      </c>
      <c r="F198" t="s">
        <v>115</v>
      </c>
      <c r="G198" t="s">
        <v>27</v>
      </c>
      <c r="H198" t="s">
        <v>174</v>
      </c>
      <c r="I198" t="s">
        <v>175</v>
      </c>
      <c r="J198" t="s">
        <v>30</v>
      </c>
      <c r="K198" t="s">
        <v>156</v>
      </c>
      <c r="L198" t="s">
        <v>1061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  <c r="V198" s="1" t="s">
        <v>366</v>
      </c>
      <c r="W198" s="1" t="s">
        <v>115</v>
      </c>
      <c r="X198" s="1" t="s">
        <v>27</v>
      </c>
      <c r="Y198" s="1" t="s">
        <v>174</v>
      </c>
      <c r="Z198" s="1" t="s">
        <v>175</v>
      </c>
      <c r="AA198" s="1" t="s">
        <v>30</v>
      </c>
      <c r="AB198" s="1" t="s">
        <v>156</v>
      </c>
      <c r="AC198" s="1" t="s">
        <v>56</v>
      </c>
      <c r="AD198" s="1" t="s">
        <v>34</v>
      </c>
      <c r="AE198" s="1" t="s">
        <v>35</v>
      </c>
      <c r="AF198" s="5" t="e">
        <f t="shared" si="12"/>
        <v>#N/A</v>
      </c>
      <c r="AG198" s="5">
        <f t="shared" si="12"/>
        <v>45316</v>
      </c>
      <c r="AH198" s="5" t="b">
        <f t="shared" si="13"/>
        <v>0</v>
      </c>
      <c r="AI198" s="5" t="b">
        <f t="shared" si="13"/>
        <v>1</v>
      </c>
      <c r="AJ198" t="e">
        <f t="shared" si="14"/>
        <v>#N/A</v>
      </c>
      <c r="AK198" t="e">
        <f t="shared" si="15"/>
        <v>#N/A</v>
      </c>
    </row>
    <row r="199" spans="1:37">
      <c r="A199" t="s">
        <v>1062</v>
      </c>
      <c r="B199" t="s">
        <v>369</v>
      </c>
      <c r="C199" t="s">
        <v>1063</v>
      </c>
      <c r="D199" t="s">
        <v>564</v>
      </c>
      <c r="E199" t="s">
        <v>148</v>
      </c>
      <c r="F199" t="s">
        <v>701</v>
      </c>
      <c r="G199" t="s">
        <v>42</v>
      </c>
      <c r="H199" t="s">
        <v>186</v>
      </c>
      <c r="I199" t="s">
        <v>187</v>
      </c>
      <c r="J199" t="s">
        <v>30</v>
      </c>
      <c r="K199" t="s">
        <v>156</v>
      </c>
      <c r="L199" t="s">
        <v>1064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  <c r="V199" s="1" t="s">
        <v>148</v>
      </c>
      <c r="W199" s="1" t="s">
        <v>41</v>
      </c>
      <c r="X199" s="1" t="s">
        <v>42</v>
      </c>
      <c r="Y199" s="1" t="s">
        <v>186</v>
      </c>
      <c r="Z199" s="1" t="s">
        <v>187</v>
      </c>
      <c r="AA199" s="1" t="s">
        <v>30</v>
      </c>
      <c r="AB199" s="1" t="s">
        <v>156</v>
      </c>
      <c r="AC199" s="1" t="s">
        <v>33</v>
      </c>
      <c r="AD199" s="1" t="s">
        <v>34</v>
      </c>
      <c r="AE199" s="1" t="s">
        <v>35</v>
      </c>
      <c r="AF199" s="5">
        <f t="shared" si="12"/>
        <v>45747</v>
      </c>
      <c r="AG199" s="5">
        <f t="shared" si="12"/>
        <v>45842</v>
      </c>
      <c r="AH199" s="5" t="b">
        <f t="shared" si="13"/>
        <v>1</v>
      </c>
      <c r="AI199" s="5" t="b">
        <f t="shared" si="13"/>
        <v>1</v>
      </c>
      <c r="AJ199" t="str">
        <f t="shared" si="14"/>
        <v>OK</v>
      </c>
      <c r="AK199">
        <f t="shared" si="15"/>
        <v>95</v>
      </c>
    </row>
    <row r="200" spans="1:37">
      <c r="A200" t="s">
        <v>1065</v>
      </c>
      <c r="B200" t="s">
        <v>1066</v>
      </c>
      <c r="C200" t="s">
        <v>1067</v>
      </c>
      <c r="D200" t="s">
        <v>1068</v>
      </c>
      <c r="E200" t="s">
        <v>168</v>
      </c>
      <c r="F200" t="s">
        <v>26</v>
      </c>
      <c r="G200" t="s">
        <v>73</v>
      </c>
      <c r="H200" t="s">
        <v>235</v>
      </c>
      <c r="I200" t="s">
        <v>236</v>
      </c>
      <c r="J200" t="s">
        <v>30</v>
      </c>
      <c r="K200" t="s">
        <v>54</v>
      </c>
      <c r="L200" t="s">
        <v>1069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200</v>
      </c>
      <c r="U200" t="s">
        <v>78</v>
      </c>
      <c r="V200" s="1" t="s">
        <v>168</v>
      </c>
      <c r="W200" s="1" t="s">
        <v>26</v>
      </c>
      <c r="X200" s="1" t="s">
        <v>73</v>
      </c>
      <c r="Y200" s="1" t="s">
        <v>235</v>
      </c>
      <c r="Z200" s="1" t="s">
        <v>236</v>
      </c>
      <c r="AA200" s="1" t="s">
        <v>30</v>
      </c>
      <c r="AB200" s="1" t="s">
        <v>54</v>
      </c>
      <c r="AC200" s="1" t="s">
        <v>33</v>
      </c>
      <c r="AD200" s="1" t="s">
        <v>200</v>
      </c>
      <c r="AE200" s="1" t="s">
        <v>78</v>
      </c>
      <c r="AF200" s="5">
        <f t="shared" si="12"/>
        <v>45418</v>
      </c>
      <c r="AG200" s="5">
        <f t="shared" si="12"/>
        <v>45449</v>
      </c>
      <c r="AH200" s="5" t="b">
        <f t="shared" si="13"/>
        <v>1</v>
      </c>
      <c r="AI200" s="5" t="b">
        <f t="shared" si="13"/>
        <v>1</v>
      </c>
      <c r="AJ200" t="str">
        <f t="shared" si="14"/>
        <v>OK</v>
      </c>
      <c r="AK200">
        <f t="shared" si="15"/>
        <v>31</v>
      </c>
    </row>
    <row r="201" spans="1:37">
      <c r="A201" t="s">
        <v>1070</v>
      </c>
      <c r="B201" t="s">
        <v>303</v>
      </c>
      <c r="C201" t="s">
        <v>1071</v>
      </c>
      <c r="D201" t="s">
        <v>1072</v>
      </c>
      <c r="E201" t="s">
        <v>148</v>
      </c>
      <c r="F201" t="s">
        <v>115</v>
      </c>
      <c r="G201" t="s">
        <v>42</v>
      </c>
      <c r="H201" t="s">
        <v>186</v>
      </c>
      <c r="I201" t="s">
        <v>187</v>
      </c>
      <c r="J201" t="s">
        <v>86</v>
      </c>
      <c r="K201" t="s">
        <v>382</v>
      </c>
      <c r="L201" t="s">
        <v>1073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  <c r="V201" s="1" t="s">
        <v>148</v>
      </c>
      <c r="W201" s="1" t="s">
        <v>115</v>
      </c>
      <c r="X201" s="1" t="s">
        <v>42</v>
      </c>
      <c r="Y201" s="1" t="s">
        <v>186</v>
      </c>
      <c r="Z201" s="1" t="s">
        <v>187</v>
      </c>
      <c r="AA201" s="1" t="s">
        <v>86</v>
      </c>
      <c r="AB201" s="1" t="s">
        <v>382</v>
      </c>
      <c r="AC201" s="1" t="s">
        <v>4119</v>
      </c>
      <c r="AD201" s="1" t="s">
        <v>34</v>
      </c>
      <c r="AE201" s="1" t="s">
        <v>35</v>
      </c>
      <c r="AF201" s="5">
        <f t="shared" si="12"/>
        <v>45363</v>
      </c>
      <c r="AG201" s="5">
        <f t="shared" si="12"/>
        <v>45629</v>
      </c>
      <c r="AH201" s="5" t="b">
        <f t="shared" si="13"/>
        <v>1</v>
      </c>
      <c r="AI201" s="5" t="b">
        <f t="shared" si="13"/>
        <v>1</v>
      </c>
      <c r="AJ201" t="str">
        <f t="shared" si="14"/>
        <v>OK</v>
      </c>
      <c r="AK201">
        <f t="shared" si="15"/>
        <v>266</v>
      </c>
    </row>
    <row r="202" spans="1:37">
      <c r="A202" t="s">
        <v>1074</v>
      </c>
      <c r="B202" t="s">
        <v>997</v>
      </c>
      <c r="C202" t="s">
        <v>1075</v>
      </c>
      <c r="D202" t="s">
        <v>1076</v>
      </c>
      <c r="E202" t="s">
        <v>142</v>
      </c>
      <c r="F202" t="s">
        <v>41</v>
      </c>
      <c r="G202" t="s">
        <v>27</v>
      </c>
      <c r="H202" t="s">
        <v>28</v>
      </c>
      <c r="I202" t="s">
        <v>29</v>
      </c>
      <c r="J202" t="s">
        <v>86</v>
      </c>
      <c r="K202" t="s">
        <v>94</v>
      </c>
      <c r="L202" t="s">
        <v>1077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137</v>
      </c>
      <c r="U202" t="s">
        <v>78</v>
      </c>
      <c r="V202" s="1" t="s">
        <v>142</v>
      </c>
      <c r="W202" s="1" t="s">
        <v>41</v>
      </c>
      <c r="X202" s="1" t="s">
        <v>27</v>
      </c>
      <c r="Y202" s="1" t="s">
        <v>28</v>
      </c>
      <c r="Z202" s="1" t="s">
        <v>29</v>
      </c>
      <c r="AA202" s="1" t="s">
        <v>86</v>
      </c>
      <c r="AB202" s="1" t="s">
        <v>94</v>
      </c>
      <c r="AC202" s="1" t="s">
        <v>56</v>
      </c>
      <c r="AD202" s="1" t="s">
        <v>137</v>
      </c>
      <c r="AE202" s="1" t="s">
        <v>78</v>
      </c>
      <c r="AF202" s="5" t="e">
        <f t="shared" si="12"/>
        <v>#N/A</v>
      </c>
      <c r="AG202" s="5">
        <f t="shared" si="12"/>
        <v>45843</v>
      </c>
      <c r="AH202" s="5" t="b">
        <f t="shared" si="13"/>
        <v>0</v>
      </c>
      <c r="AI202" s="5" t="b">
        <f t="shared" si="13"/>
        <v>1</v>
      </c>
      <c r="AJ202" t="e">
        <f t="shared" si="14"/>
        <v>#N/A</v>
      </c>
      <c r="AK202" t="e">
        <f t="shared" si="15"/>
        <v>#N/A</v>
      </c>
    </row>
    <row r="203" spans="1:37">
      <c r="A203" t="s">
        <v>1078</v>
      </c>
      <c r="B203" t="s">
        <v>1079</v>
      </c>
      <c r="C203" t="s">
        <v>1080</v>
      </c>
      <c r="D203" t="s">
        <v>1081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1082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  <c r="V203" s="1" t="s">
        <v>83</v>
      </c>
      <c r="W203" s="1" t="s">
        <v>26</v>
      </c>
      <c r="X203" s="1" t="s">
        <v>73</v>
      </c>
      <c r="Y203" s="1" t="s">
        <v>84</v>
      </c>
      <c r="Z203" s="1" t="s">
        <v>85</v>
      </c>
      <c r="AA203" s="1" t="s">
        <v>30</v>
      </c>
      <c r="AB203" s="1" t="s">
        <v>109</v>
      </c>
      <c r="AC203" s="1" t="s">
        <v>33</v>
      </c>
      <c r="AD203" s="1" t="s">
        <v>124</v>
      </c>
      <c r="AE203" s="1" t="s">
        <v>78</v>
      </c>
      <c r="AF203" s="5" t="e">
        <f t="shared" si="12"/>
        <v>#N/A</v>
      </c>
      <c r="AG203" s="5">
        <f t="shared" si="12"/>
        <v>45872</v>
      </c>
      <c r="AH203" s="5" t="b">
        <f t="shared" si="13"/>
        <v>0</v>
      </c>
      <c r="AI203" s="5" t="b">
        <f t="shared" si="13"/>
        <v>1</v>
      </c>
      <c r="AJ203" t="e">
        <f t="shared" si="14"/>
        <v>#N/A</v>
      </c>
      <c r="AK203" t="e">
        <f t="shared" si="15"/>
        <v>#N/A</v>
      </c>
    </row>
    <row r="204" spans="1:37">
      <c r="A204" t="s">
        <v>1083</v>
      </c>
      <c r="B204" t="s">
        <v>1084</v>
      </c>
      <c r="C204" t="s">
        <v>1085</v>
      </c>
      <c r="D204" t="s">
        <v>1086</v>
      </c>
      <c r="E204" t="s">
        <v>168</v>
      </c>
      <c r="F204" t="s">
        <v>108</v>
      </c>
      <c r="G204" t="s">
        <v>73</v>
      </c>
      <c r="H204" t="s">
        <v>249</v>
      </c>
      <c r="I204" t="s">
        <v>250</v>
      </c>
      <c r="J204" t="s">
        <v>86</v>
      </c>
      <c r="K204" t="s">
        <v>87</v>
      </c>
      <c r="L204" t="s">
        <v>1087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  <c r="V204" s="1" t="s">
        <v>168</v>
      </c>
      <c r="W204" s="1" t="s">
        <v>108</v>
      </c>
      <c r="X204" s="1" t="s">
        <v>73</v>
      </c>
      <c r="Y204" s="1" t="s">
        <v>249</v>
      </c>
      <c r="Z204" s="1" t="s">
        <v>250</v>
      </c>
      <c r="AA204" s="1" t="s">
        <v>86</v>
      </c>
      <c r="AB204" s="1" t="s">
        <v>87</v>
      </c>
      <c r="AC204" s="1" t="s">
        <v>67</v>
      </c>
      <c r="AD204" s="1" t="s">
        <v>34</v>
      </c>
      <c r="AE204" s="1" t="s">
        <v>35</v>
      </c>
      <c r="AF204" s="5">
        <f t="shared" si="12"/>
        <v>45744</v>
      </c>
      <c r="AG204" s="5">
        <f t="shared" si="12"/>
        <v>45744</v>
      </c>
      <c r="AH204" s="5" t="b">
        <f t="shared" si="13"/>
        <v>1</v>
      </c>
      <c r="AI204" s="5" t="b">
        <f t="shared" si="13"/>
        <v>1</v>
      </c>
      <c r="AJ204" t="str">
        <f t="shared" si="14"/>
        <v>OK</v>
      </c>
      <c r="AK204">
        <f t="shared" si="15"/>
        <v>0</v>
      </c>
    </row>
    <row r="205" spans="1:37">
      <c r="A205" t="s">
        <v>1088</v>
      </c>
      <c r="B205" t="s">
        <v>1089</v>
      </c>
      <c r="C205" t="s">
        <v>1090</v>
      </c>
      <c r="D205" t="s">
        <v>1091</v>
      </c>
      <c r="E205" t="s">
        <v>168</v>
      </c>
      <c r="F205" t="s">
        <v>108</v>
      </c>
      <c r="G205" t="s">
        <v>73</v>
      </c>
      <c r="H205" t="s">
        <v>28</v>
      </c>
      <c r="I205" t="s">
        <v>135</v>
      </c>
      <c r="J205" t="s">
        <v>86</v>
      </c>
      <c r="K205" t="s">
        <v>87</v>
      </c>
      <c r="L205" t="s">
        <v>1092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  <c r="V205" s="1" t="s">
        <v>168</v>
      </c>
      <c r="W205" s="1" t="s">
        <v>108</v>
      </c>
      <c r="X205" s="1" t="s">
        <v>73</v>
      </c>
      <c r="Y205" s="1" t="s">
        <v>28</v>
      </c>
      <c r="Z205" s="1" t="s">
        <v>135</v>
      </c>
      <c r="AA205" s="1" t="s">
        <v>86</v>
      </c>
      <c r="AB205" s="1" t="s">
        <v>87</v>
      </c>
      <c r="AC205" s="1" t="s">
        <v>33</v>
      </c>
      <c r="AD205" s="1" t="s">
        <v>34</v>
      </c>
      <c r="AE205" s="1" t="s">
        <v>35</v>
      </c>
      <c r="AF205" s="5">
        <f t="shared" si="12"/>
        <v>45379</v>
      </c>
      <c r="AG205" s="5">
        <f t="shared" si="12"/>
        <v>45381</v>
      </c>
      <c r="AH205" s="5" t="b">
        <f t="shared" si="13"/>
        <v>1</v>
      </c>
      <c r="AI205" s="5" t="b">
        <f t="shared" si="13"/>
        <v>1</v>
      </c>
      <c r="AJ205" t="str">
        <f t="shared" si="14"/>
        <v>OK</v>
      </c>
      <c r="AK205">
        <f t="shared" si="15"/>
        <v>2</v>
      </c>
    </row>
    <row r="206" spans="1:37">
      <c r="A206" t="s">
        <v>1093</v>
      </c>
      <c r="B206" t="s">
        <v>1094</v>
      </c>
      <c r="C206" t="s">
        <v>1095</v>
      </c>
      <c r="D206" t="s">
        <v>1096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1097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  <c r="V206" s="1" t="s">
        <v>40</v>
      </c>
      <c r="W206" s="1" t="s">
        <v>115</v>
      </c>
      <c r="X206" s="1" t="s">
        <v>42</v>
      </c>
      <c r="Y206" s="1" t="s">
        <v>121</v>
      </c>
      <c r="Z206" s="1" t="s">
        <v>122</v>
      </c>
      <c r="AA206" s="1" t="s">
        <v>45</v>
      </c>
      <c r="AB206" s="1" t="s">
        <v>46</v>
      </c>
      <c r="AC206" s="1" t="s">
        <v>33</v>
      </c>
      <c r="AD206" s="1" t="s">
        <v>34</v>
      </c>
      <c r="AE206" s="1" t="s">
        <v>35</v>
      </c>
      <c r="AF206" s="5" t="e">
        <f t="shared" si="12"/>
        <v>#N/A</v>
      </c>
      <c r="AG206" s="5">
        <f t="shared" si="12"/>
        <v>45861</v>
      </c>
      <c r="AH206" s="5" t="b">
        <f t="shared" si="13"/>
        <v>0</v>
      </c>
      <c r="AI206" s="5" t="b">
        <f t="shared" si="13"/>
        <v>1</v>
      </c>
      <c r="AJ206" t="e">
        <f t="shared" si="14"/>
        <v>#N/A</v>
      </c>
      <c r="AK206" t="e">
        <f t="shared" si="15"/>
        <v>#N/A</v>
      </c>
    </row>
    <row r="207" spans="1:37">
      <c r="A207" t="s">
        <v>1098</v>
      </c>
      <c r="B207" t="s">
        <v>1099</v>
      </c>
      <c r="C207" t="s">
        <v>1100</v>
      </c>
      <c r="D207" t="s">
        <v>1101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918</v>
      </c>
      <c r="K207" t="s">
        <v>109</v>
      </c>
      <c r="L207" t="s">
        <v>1102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  <c r="V207" s="1" t="s">
        <v>72</v>
      </c>
      <c r="W207" s="1" t="s">
        <v>26</v>
      </c>
      <c r="X207" s="1" t="s">
        <v>73</v>
      </c>
      <c r="Y207" s="1" t="s">
        <v>74</v>
      </c>
      <c r="Z207" s="1" t="s">
        <v>75</v>
      </c>
      <c r="AA207" s="1" t="s">
        <v>30</v>
      </c>
      <c r="AB207" s="1" t="s">
        <v>109</v>
      </c>
      <c r="AC207" s="1" t="s">
        <v>48</v>
      </c>
      <c r="AD207" s="1" t="s">
        <v>34</v>
      </c>
      <c r="AE207" s="1" t="s">
        <v>35</v>
      </c>
      <c r="AF207" s="5" t="e">
        <f t="shared" si="12"/>
        <v>#N/A</v>
      </c>
      <c r="AG207" s="5">
        <f t="shared" si="12"/>
        <v>45773</v>
      </c>
      <c r="AH207" s="5" t="b">
        <f t="shared" si="13"/>
        <v>0</v>
      </c>
      <c r="AI207" s="5" t="b">
        <f t="shared" si="13"/>
        <v>1</v>
      </c>
      <c r="AJ207" t="e">
        <f t="shared" si="14"/>
        <v>#N/A</v>
      </c>
      <c r="AK207" t="e">
        <f t="shared" si="15"/>
        <v>#N/A</v>
      </c>
    </row>
    <row r="208" spans="1:37">
      <c r="A208" t="s">
        <v>1103</v>
      </c>
      <c r="B208" t="s">
        <v>1104</v>
      </c>
      <c r="C208" t="s">
        <v>118</v>
      </c>
      <c r="D208" t="s">
        <v>1105</v>
      </c>
      <c r="E208" t="s">
        <v>210</v>
      </c>
      <c r="F208" t="s">
        <v>41</v>
      </c>
      <c r="G208" t="s">
        <v>27</v>
      </c>
      <c r="H208" t="s">
        <v>174</v>
      </c>
      <c r="I208" t="s">
        <v>175</v>
      </c>
      <c r="J208" t="s">
        <v>45</v>
      </c>
      <c r="K208" t="s">
        <v>65</v>
      </c>
      <c r="L208" t="s">
        <v>1106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  <c r="V208" s="1" t="s">
        <v>210</v>
      </c>
      <c r="W208" s="1" t="s">
        <v>41</v>
      </c>
      <c r="X208" s="1" t="s">
        <v>27</v>
      </c>
      <c r="Y208" s="1" t="s">
        <v>174</v>
      </c>
      <c r="Z208" s="1" t="s">
        <v>175</v>
      </c>
      <c r="AA208" s="1" t="s">
        <v>45</v>
      </c>
      <c r="AB208" s="1" t="s">
        <v>65</v>
      </c>
      <c r="AC208" s="1" t="s">
        <v>56</v>
      </c>
      <c r="AD208" s="1" t="s">
        <v>34</v>
      </c>
      <c r="AE208" s="1" t="s">
        <v>35</v>
      </c>
      <c r="AF208" s="5">
        <f t="shared" si="12"/>
        <v>45795</v>
      </c>
      <c r="AG208" s="5">
        <f t="shared" si="12"/>
        <v>45797</v>
      </c>
      <c r="AH208" s="5" t="b">
        <f t="shared" si="13"/>
        <v>1</v>
      </c>
      <c r="AI208" s="5" t="b">
        <f t="shared" si="13"/>
        <v>1</v>
      </c>
      <c r="AJ208" t="str">
        <f t="shared" si="14"/>
        <v>OK</v>
      </c>
      <c r="AK208">
        <f t="shared" si="15"/>
        <v>2</v>
      </c>
    </row>
    <row r="209" spans="1:37">
      <c r="A209" t="s">
        <v>1107</v>
      </c>
      <c r="B209" t="s">
        <v>1108</v>
      </c>
      <c r="C209" t="s">
        <v>1109</v>
      </c>
      <c r="D209" t="s">
        <v>1110</v>
      </c>
      <c r="E209" t="s">
        <v>162</v>
      </c>
      <c r="F209" t="s">
        <v>115</v>
      </c>
      <c r="G209" t="s">
        <v>73</v>
      </c>
      <c r="H209" t="s">
        <v>249</v>
      </c>
      <c r="I209" t="s">
        <v>250</v>
      </c>
      <c r="J209" t="s">
        <v>45</v>
      </c>
      <c r="K209" t="s">
        <v>204</v>
      </c>
      <c r="L209" t="s">
        <v>1111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  <c r="V209" s="1" t="s">
        <v>162</v>
      </c>
      <c r="W209" s="1" t="s">
        <v>115</v>
      </c>
      <c r="X209" s="1" t="s">
        <v>73</v>
      </c>
      <c r="Y209" s="1" t="s">
        <v>249</v>
      </c>
      <c r="Z209" s="1" t="s">
        <v>250</v>
      </c>
      <c r="AA209" s="1" t="s">
        <v>45</v>
      </c>
      <c r="AB209" s="1" t="s">
        <v>204</v>
      </c>
      <c r="AC209" s="1" t="s">
        <v>33</v>
      </c>
      <c r="AD209" s="1" t="s">
        <v>34</v>
      </c>
      <c r="AE209" s="1" t="s">
        <v>35</v>
      </c>
      <c r="AF209" s="5">
        <f t="shared" si="12"/>
        <v>45483</v>
      </c>
      <c r="AG209" s="5">
        <f t="shared" si="12"/>
        <v>45489</v>
      </c>
      <c r="AH209" s="5" t="b">
        <f t="shared" si="13"/>
        <v>1</v>
      </c>
      <c r="AI209" s="5" t="b">
        <f t="shared" si="13"/>
        <v>1</v>
      </c>
      <c r="AJ209" t="str">
        <f t="shared" si="14"/>
        <v>OK</v>
      </c>
      <c r="AK209">
        <f t="shared" si="15"/>
        <v>6</v>
      </c>
    </row>
    <row r="210" spans="1:37">
      <c r="A210" t="s">
        <v>1112</v>
      </c>
      <c r="B210" t="s">
        <v>1113</v>
      </c>
      <c r="C210" t="s">
        <v>1114</v>
      </c>
      <c r="D210" t="s">
        <v>1115</v>
      </c>
      <c r="E210" t="s">
        <v>210</v>
      </c>
      <c r="F210" t="s">
        <v>26</v>
      </c>
      <c r="G210" t="s">
        <v>27</v>
      </c>
      <c r="H210" t="s">
        <v>154</v>
      </c>
      <c r="I210" t="s">
        <v>155</v>
      </c>
      <c r="J210" t="s">
        <v>45</v>
      </c>
      <c r="K210" t="s">
        <v>76</v>
      </c>
      <c r="L210" t="s">
        <v>1116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  <c r="V210" s="1" t="s">
        <v>210</v>
      </c>
      <c r="W210" s="1" t="s">
        <v>26</v>
      </c>
      <c r="X210" s="1" t="s">
        <v>27</v>
      </c>
      <c r="Y210" s="1" t="s">
        <v>154</v>
      </c>
      <c r="Z210" s="1" t="s">
        <v>155</v>
      </c>
      <c r="AA210" s="1" t="s">
        <v>45</v>
      </c>
      <c r="AB210" s="1" t="s">
        <v>76</v>
      </c>
      <c r="AC210" s="1" t="s">
        <v>48</v>
      </c>
      <c r="AD210" s="1" t="s">
        <v>34</v>
      </c>
      <c r="AE210" s="1" t="s">
        <v>35</v>
      </c>
      <c r="AF210" s="5">
        <f t="shared" si="12"/>
        <v>45837</v>
      </c>
      <c r="AG210" s="5">
        <f t="shared" si="12"/>
        <v>45784</v>
      </c>
      <c r="AH210" s="5" t="b">
        <f t="shared" si="13"/>
        <v>1</v>
      </c>
      <c r="AI210" s="5" t="b">
        <f t="shared" si="13"/>
        <v>1</v>
      </c>
      <c r="AJ210" t="str">
        <f t="shared" si="14"/>
        <v>Invalid: Ship before Order</v>
      </c>
      <c r="AK210" t="e">
        <f t="shared" si="15"/>
        <v>#NUM!</v>
      </c>
    </row>
    <row r="211" spans="1:37">
      <c r="A211" t="s">
        <v>1117</v>
      </c>
      <c r="B211" t="s">
        <v>1118</v>
      </c>
      <c r="C211" t="s">
        <v>1119</v>
      </c>
      <c r="D211" t="s">
        <v>1120</v>
      </c>
      <c r="E211" t="s">
        <v>180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1121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  <c r="V211" s="1" t="s">
        <v>180</v>
      </c>
      <c r="W211" s="1" t="s">
        <v>41</v>
      </c>
      <c r="X211" s="1" t="s">
        <v>62</v>
      </c>
      <c r="Y211" s="1" t="s">
        <v>100</v>
      </c>
      <c r="Z211" s="1" t="s">
        <v>101</v>
      </c>
      <c r="AA211" s="1" t="s">
        <v>30</v>
      </c>
      <c r="AB211" s="1" t="s">
        <v>31</v>
      </c>
      <c r="AC211" s="1" t="s">
        <v>56</v>
      </c>
      <c r="AD211" s="1" t="s">
        <v>34</v>
      </c>
      <c r="AE211" s="1" t="s">
        <v>35</v>
      </c>
      <c r="AF211" s="5">
        <f t="shared" si="12"/>
        <v>45882</v>
      </c>
      <c r="AG211" s="5">
        <f t="shared" si="12"/>
        <v>45883</v>
      </c>
      <c r="AH211" s="5" t="b">
        <f t="shared" si="13"/>
        <v>1</v>
      </c>
      <c r="AI211" s="5" t="b">
        <f t="shared" si="13"/>
        <v>1</v>
      </c>
      <c r="AJ211" t="str">
        <f t="shared" si="14"/>
        <v>OK</v>
      </c>
      <c r="AK211">
        <f t="shared" si="15"/>
        <v>1</v>
      </c>
    </row>
    <row r="212" spans="1:37">
      <c r="A212" t="s">
        <v>1122</v>
      </c>
      <c r="B212" t="s">
        <v>1123</v>
      </c>
      <c r="C212" t="s">
        <v>1124</v>
      </c>
      <c r="D212" t="s">
        <v>1125</v>
      </c>
      <c r="E212" t="s">
        <v>366</v>
      </c>
      <c r="F212" t="s">
        <v>115</v>
      </c>
      <c r="G212" t="s">
        <v>62</v>
      </c>
      <c r="H212" t="s">
        <v>229</v>
      </c>
      <c r="I212" t="s">
        <v>230</v>
      </c>
      <c r="J212" t="s">
        <v>86</v>
      </c>
      <c r="K212" t="s">
        <v>382</v>
      </c>
      <c r="L212" t="s">
        <v>1126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200</v>
      </c>
      <c r="U212" t="s">
        <v>125</v>
      </c>
      <c r="V212" s="1" t="s">
        <v>366</v>
      </c>
      <c r="W212" s="1" t="s">
        <v>115</v>
      </c>
      <c r="X212" s="1" t="s">
        <v>62</v>
      </c>
      <c r="Y212" s="1" t="s">
        <v>229</v>
      </c>
      <c r="Z212" s="1" t="s">
        <v>230</v>
      </c>
      <c r="AA212" s="1" t="s">
        <v>86</v>
      </c>
      <c r="AB212" s="1" t="s">
        <v>382</v>
      </c>
      <c r="AC212" s="1" t="s">
        <v>33</v>
      </c>
      <c r="AD212" s="1" t="s">
        <v>200</v>
      </c>
      <c r="AE212" s="1" t="s">
        <v>125</v>
      </c>
      <c r="AF212" s="5">
        <f t="shared" si="12"/>
        <v>45366</v>
      </c>
      <c r="AG212" s="5" t="e">
        <f t="shared" si="12"/>
        <v>#N/A</v>
      </c>
      <c r="AH212" s="5" t="b">
        <f t="shared" si="13"/>
        <v>1</v>
      </c>
      <c r="AI212" s="5" t="b">
        <f t="shared" si="13"/>
        <v>0</v>
      </c>
      <c r="AJ212" t="e">
        <f t="shared" si="14"/>
        <v>#N/A</v>
      </c>
      <c r="AK212" t="e">
        <f t="shared" si="15"/>
        <v>#N/A</v>
      </c>
    </row>
    <row r="213" spans="1:37">
      <c r="A213" t="s">
        <v>1127</v>
      </c>
      <c r="B213" t="s">
        <v>1128</v>
      </c>
      <c r="C213" t="s">
        <v>1129</v>
      </c>
      <c r="D213" t="s">
        <v>1130</v>
      </c>
      <c r="E213" t="s">
        <v>180</v>
      </c>
      <c r="F213" t="s">
        <v>108</v>
      </c>
      <c r="G213" t="s">
        <v>1131</v>
      </c>
      <c r="H213" t="s">
        <v>121</v>
      </c>
      <c r="I213" t="s">
        <v>122</v>
      </c>
      <c r="J213" t="s">
        <v>86</v>
      </c>
      <c r="K213" t="s">
        <v>94</v>
      </c>
      <c r="L213" t="s">
        <v>1132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  <c r="V213" s="1" t="s">
        <v>180</v>
      </c>
      <c r="W213" s="1" t="s">
        <v>108</v>
      </c>
      <c r="X213" s="1" t="s">
        <v>42</v>
      </c>
      <c r="Y213" s="1" t="s">
        <v>121</v>
      </c>
      <c r="Z213" s="1" t="s">
        <v>122</v>
      </c>
      <c r="AA213" s="1" t="s">
        <v>86</v>
      </c>
      <c r="AB213" s="1" t="s">
        <v>94</v>
      </c>
      <c r="AC213" s="1" t="s">
        <v>33</v>
      </c>
      <c r="AD213" s="1" t="s">
        <v>34</v>
      </c>
      <c r="AE213" s="1" t="s">
        <v>35</v>
      </c>
      <c r="AF213" s="5">
        <f t="shared" si="12"/>
        <v>45428</v>
      </c>
      <c r="AG213" s="5">
        <f t="shared" si="12"/>
        <v>45429</v>
      </c>
      <c r="AH213" s="5" t="b">
        <f t="shared" si="13"/>
        <v>1</v>
      </c>
      <c r="AI213" s="5" t="b">
        <f t="shared" si="13"/>
        <v>1</v>
      </c>
      <c r="AJ213" t="str">
        <f t="shared" si="14"/>
        <v>OK</v>
      </c>
      <c r="AK213">
        <f t="shared" si="15"/>
        <v>1</v>
      </c>
    </row>
    <row r="214" spans="1:37">
      <c r="A214" t="s">
        <v>1133</v>
      </c>
      <c r="B214" t="s">
        <v>1134</v>
      </c>
      <c r="C214" t="s">
        <v>1135</v>
      </c>
      <c r="D214" t="s">
        <v>1136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223</v>
      </c>
      <c r="L214" t="s">
        <v>1137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  <c r="V214" s="1" t="s">
        <v>72</v>
      </c>
      <c r="W214" s="1" t="s">
        <v>41</v>
      </c>
      <c r="X214" s="1" t="s">
        <v>42</v>
      </c>
      <c r="Y214" s="1" t="s">
        <v>43</v>
      </c>
      <c r="Z214" s="1" t="s">
        <v>44</v>
      </c>
      <c r="AA214" s="1" t="s">
        <v>86</v>
      </c>
      <c r="AB214" s="1" t="s">
        <v>223</v>
      </c>
      <c r="AC214" s="1" t="s">
        <v>48</v>
      </c>
      <c r="AD214" s="1" t="s">
        <v>34</v>
      </c>
      <c r="AE214" s="1" t="s">
        <v>35</v>
      </c>
      <c r="AF214" s="5">
        <f t="shared" si="12"/>
        <v>45556</v>
      </c>
      <c r="AG214" s="5">
        <f t="shared" si="12"/>
        <v>45556</v>
      </c>
      <c r="AH214" s="5" t="b">
        <f t="shared" si="13"/>
        <v>1</v>
      </c>
      <c r="AI214" s="5" t="b">
        <f t="shared" si="13"/>
        <v>1</v>
      </c>
      <c r="AJ214" t="str">
        <f t="shared" si="14"/>
        <v>OK</v>
      </c>
      <c r="AK214">
        <f t="shared" si="15"/>
        <v>0</v>
      </c>
    </row>
    <row r="215" spans="1:37">
      <c r="A215" t="s">
        <v>1138</v>
      </c>
      <c r="B215" t="s">
        <v>1139</v>
      </c>
      <c r="C215" t="s">
        <v>1140</v>
      </c>
      <c r="D215" t="s">
        <v>1141</v>
      </c>
      <c r="E215" t="s">
        <v>53</v>
      </c>
      <c r="F215" t="s">
        <v>41</v>
      </c>
      <c r="G215" t="s">
        <v>42</v>
      </c>
      <c r="H215" t="s">
        <v>186</v>
      </c>
      <c r="I215" t="s">
        <v>187</v>
      </c>
      <c r="J215" t="s">
        <v>86</v>
      </c>
      <c r="K215" t="s">
        <v>87</v>
      </c>
      <c r="L215" t="s">
        <v>1142</v>
      </c>
      <c r="M215" t="s">
        <v>33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  <c r="V215" s="1" t="s">
        <v>53</v>
      </c>
      <c r="W215" s="1" t="s">
        <v>41</v>
      </c>
      <c r="X215" s="1" t="s">
        <v>42</v>
      </c>
      <c r="Y215" s="1" t="s">
        <v>186</v>
      </c>
      <c r="Z215" s="1" t="s">
        <v>187</v>
      </c>
      <c r="AA215" s="1" t="s">
        <v>86</v>
      </c>
      <c r="AB215" s="1" t="s">
        <v>87</v>
      </c>
      <c r="AC215" s="1" t="s">
        <v>33</v>
      </c>
      <c r="AD215" s="1" t="s">
        <v>34</v>
      </c>
      <c r="AE215" s="1" t="s">
        <v>35</v>
      </c>
      <c r="AF215" s="5">
        <f t="shared" si="12"/>
        <v>45427</v>
      </c>
      <c r="AG215" s="5" t="e">
        <f t="shared" si="12"/>
        <v>#N/A</v>
      </c>
      <c r="AH215" s="5" t="b">
        <f t="shared" si="13"/>
        <v>1</v>
      </c>
      <c r="AI215" s="5" t="b">
        <f t="shared" si="13"/>
        <v>0</v>
      </c>
      <c r="AJ215" t="e">
        <f t="shared" si="14"/>
        <v>#N/A</v>
      </c>
      <c r="AK215" t="e">
        <f t="shared" si="15"/>
        <v>#N/A</v>
      </c>
    </row>
    <row r="216" spans="1:37">
      <c r="A216" t="s">
        <v>1143</v>
      </c>
      <c r="B216" t="s">
        <v>1144</v>
      </c>
      <c r="C216" t="s">
        <v>1145</v>
      </c>
      <c r="D216" t="s">
        <v>1146</v>
      </c>
      <c r="E216" t="s">
        <v>148</v>
      </c>
      <c r="F216" t="s">
        <v>26</v>
      </c>
      <c r="G216" t="s">
        <v>27</v>
      </c>
      <c r="H216" t="s">
        <v>323</v>
      </c>
      <c r="I216" t="s">
        <v>324</v>
      </c>
      <c r="J216" t="s">
        <v>86</v>
      </c>
      <c r="K216" t="s">
        <v>87</v>
      </c>
      <c r="L216" t="s">
        <v>1147</v>
      </c>
      <c r="M216" t="s">
        <v>56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  <c r="V216" s="1" t="s">
        <v>148</v>
      </c>
      <c r="W216" s="1" t="s">
        <v>26</v>
      </c>
      <c r="X216" s="1" t="s">
        <v>27</v>
      </c>
      <c r="Y216" s="1" t="s">
        <v>323</v>
      </c>
      <c r="Z216" s="1" t="s">
        <v>324</v>
      </c>
      <c r="AA216" s="1" t="s">
        <v>86</v>
      </c>
      <c r="AB216" s="1" t="s">
        <v>87</v>
      </c>
      <c r="AC216" s="1" t="s">
        <v>56</v>
      </c>
      <c r="AD216" s="1" t="s">
        <v>34</v>
      </c>
      <c r="AE216" s="1" t="s">
        <v>35</v>
      </c>
      <c r="AF216" s="5">
        <f t="shared" si="12"/>
        <v>45368</v>
      </c>
      <c r="AG216" s="5" t="e">
        <f t="shared" si="12"/>
        <v>#N/A</v>
      </c>
      <c r="AH216" s="5" t="b">
        <f t="shared" si="13"/>
        <v>1</v>
      </c>
      <c r="AI216" s="5" t="b">
        <f t="shared" si="13"/>
        <v>0</v>
      </c>
      <c r="AJ216" t="e">
        <f t="shared" si="14"/>
        <v>#N/A</v>
      </c>
      <c r="AK216" t="e">
        <f t="shared" si="15"/>
        <v>#N/A</v>
      </c>
    </row>
    <row r="217" spans="1:37">
      <c r="A217" t="s">
        <v>1148</v>
      </c>
      <c r="B217" t="s">
        <v>1149</v>
      </c>
      <c r="C217" t="s">
        <v>207</v>
      </c>
      <c r="D217" t="s">
        <v>1150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1151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  <c r="V217" s="1" t="s">
        <v>40</v>
      </c>
      <c r="W217" s="1" t="s">
        <v>26</v>
      </c>
      <c r="X217" s="1" t="s">
        <v>73</v>
      </c>
      <c r="Y217" s="1" t="s">
        <v>84</v>
      </c>
      <c r="Z217" s="1" t="s">
        <v>85</v>
      </c>
      <c r="AA217" s="1" t="s">
        <v>30</v>
      </c>
      <c r="AB217" s="1" t="s">
        <v>31</v>
      </c>
      <c r="AC217" s="1" t="s">
        <v>56</v>
      </c>
      <c r="AD217" s="1" t="s">
        <v>34</v>
      </c>
      <c r="AE217" s="1" t="s">
        <v>35</v>
      </c>
      <c r="AF217" s="5">
        <f t="shared" si="12"/>
        <v>45294</v>
      </c>
      <c r="AG217" s="5">
        <f t="shared" si="12"/>
        <v>45355</v>
      </c>
      <c r="AH217" s="5" t="b">
        <f t="shared" si="13"/>
        <v>1</v>
      </c>
      <c r="AI217" s="5" t="b">
        <f t="shared" si="13"/>
        <v>1</v>
      </c>
      <c r="AJ217" t="str">
        <f t="shared" si="14"/>
        <v>OK</v>
      </c>
      <c r="AK217">
        <f t="shared" si="15"/>
        <v>61</v>
      </c>
    </row>
    <row r="218" spans="1:37">
      <c r="A218" t="s">
        <v>1152</v>
      </c>
      <c r="B218" t="s">
        <v>90</v>
      </c>
      <c r="C218" t="s">
        <v>1153</v>
      </c>
      <c r="D218" t="s">
        <v>1154</v>
      </c>
      <c r="E218" t="s">
        <v>53</v>
      </c>
      <c r="F218" t="s">
        <v>26</v>
      </c>
      <c r="G218" t="s">
        <v>73</v>
      </c>
      <c r="H218" t="s">
        <v>235</v>
      </c>
      <c r="I218" t="s">
        <v>236</v>
      </c>
      <c r="J218" t="s">
        <v>45</v>
      </c>
      <c r="K218" t="s">
        <v>46</v>
      </c>
      <c r="L218" t="s">
        <v>1155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200</v>
      </c>
      <c r="U218" t="s">
        <v>125</v>
      </c>
      <c r="V218" s="1" t="s">
        <v>53</v>
      </c>
      <c r="W218" s="1" t="s">
        <v>26</v>
      </c>
      <c r="X218" s="1" t="s">
        <v>73</v>
      </c>
      <c r="Y218" s="1" t="s">
        <v>235</v>
      </c>
      <c r="Z218" s="1" t="s">
        <v>236</v>
      </c>
      <c r="AA218" s="1" t="s">
        <v>45</v>
      </c>
      <c r="AB218" s="1" t="s">
        <v>46</v>
      </c>
      <c r="AC218" s="1" t="s">
        <v>67</v>
      </c>
      <c r="AD218" s="1" t="s">
        <v>200</v>
      </c>
      <c r="AE218" s="1" t="s">
        <v>125</v>
      </c>
      <c r="AF218" s="5">
        <f t="shared" si="12"/>
        <v>45757</v>
      </c>
      <c r="AG218" s="5">
        <f t="shared" si="12"/>
        <v>45762</v>
      </c>
      <c r="AH218" s="5" t="b">
        <f t="shared" si="13"/>
        <v>1</v>
      </c>
      <c r="AI218" s="5" t="b">
        <f t="shared" si="13"/>
        <v>1</v>
      </c>
      <c r="AJ218" t="str">
        <f t="shared" si="14"/>
        <v>OK</v>
      </c>
      <c r="AK218">
        <f t="shared" si="15"/>
        <v>5</v>
      </c>
    </row>
    <row r="219" spans="1:37">
      <c r="A219" t="s">
        <v>1156</v>
      </c>
      <c r="B219" t="s">
        <v>1157</v>
      </c>
      <c r="C219" t="s">
        <v>1158</v>
      </c>
      <c r="D219" t="s">
        <v>1159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204</v>
      </c>
      <c r="L219" t="s">
        <v>1160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  <c r="V219" s="1" t="s">
        <v>107</v>
      </c>
      <c r="W219" s="1" t="s">
        <v>26</v>
      </c>
      <c r="X219" s="1" t="s">
        <v>42</v>
      </c>
      <c r="Y219" s="1" t="s">
        <v>43</v>
      </c>
      <c r="Z219" s="1" t="s">
        <v>44</v>
      </c>
      <c r="AA219" s="1" t="s">
        <v>45</v>
      </c>
      <c r="AB219" s="1" t="s">
        <v>204</v>
      </c>
      <c r="AC219" s="1" t="s">
        <v>33</v>
      </c>
      <c r="AD219" s="1" t="s">
        <v>124</v>
      </c>
      <c r="AE219" s="1" t="s">
        <v>78</v>
      </c>
      <c r="AF219" s="5">
        <f t="shared" si="12"/>
        <v>45661</v>
      </c>
      <c r="AG219" s="5">
        <f t="shared" si="12"/>
        <v>45755</v>
      </c>
      <c r="AH219" s="5" t="b">
        <f t="shared" si="13"/>
        <v>1</v>
      </c>
      <c r="AI219" s="5" t="b">
        <f t="shared" si="13"/>
        <v>1</v>
      </c>
      <c r="AJ219" t="str">
        <f t="shared" si="14"/>
        <v>OK</v>
      </c>
      <c r="AK219">
        <f t="shared" si="15"/>
        <v>94</v>
      </c>
    </row>
    <row r="220" spans="1:37">
      <c r="A220" t="s">
        <v>1161</v>
      </c>
      <c r="B220" t="s">
        <v>1162</v>
      </c>
      <c r="C220" t="s">
        <v>1163</v>
      </c>
      <c r="D220" t="s">
        <v>1164</v>
      </c>
      <c r="E220" t="s">
        <v>142</v>
      </c>
      <c r="F220" t="s">
        <v>108</v>
      </c>
      <c r="G220" t="s">
        <v>73</v>
      </c>
      <c r="H220" t="s">
        <v>235</v>
      </c>
      <c r="I220" t="s">
        <v>236</v>
      </c>
      <c r="J220" t="s">
        <v>45</v>
      </c>
      <c r="K220" t="s">
        <v>204</v>
      </c>
      <c r="L220" t="s">
        <v>1165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  <c r="V220" s="1" t="s">
        <v>142</v>
      </c>
      <c r="W220" s="1" t="s">
        <v>108</v>
      </c>
      <c r="X220" s="1" t="s">
        <v>73</v>
      </c>
      <c r="Y220" s="1" t="s">
        <v>235</v>
      </c>
      <c r="Z220" s="1" t="s">
        <v>236</v>
      </c>
      <c r="AA220" s="1" t="s">
        <v>45</v>
      </c>
      <c r="AB220" s="1" t="s">
        <v>204</v>
      </c>
      <c r="AC220" s="1" t="s">
        <v>67</v>
      </c>
      <c r="AD220" s="1" t="s">
        <v>34</v>
      </c>
      <c r="AE220" s="1" t="s">
        <v>35</v>
      </c>
      <c r="AF220" s="5">
        <f t="shared" si="12"/>
        <v>45714</v>
      </c>
      <c r="AG220" s="5" t="e">
        <f t="shared" si="12"/>
        <v>#N/A</v>
      </c>
      <c r="AH220" s="5" t="b">
        <f t="shared" si="13"/>
        <v>1</v>
      </c>
      <c r="AI220" s="5" t="b">
        <f t="shared" si="13"/>
        <v>0</v>
      </c>
      <c r="AJ220" t="e">
        <f t="shared" si="14"/>
        <v>#N/A</v>
      </c>
      <c r="AK220" t="e">
        <f t="shared" si="15"/>
        <v>#N/A</v>
      </c>
    </row>
    <row r="221" spans="1:37">
      <c r="A221" t="s">
        <v>1166</v>
      </c>
      <c r="B221" t="s">
        <v>684</v>
      </c>
      <c r="C221" t="s">
        <v>1167</v>
      </c>
      <c r="D221" t="s">
        <v>1168</v>
      </c>
      <c r="E221" t="s">
        <v>148</v>
      </c>
      <c r="F221" t="s">
        <v>26</v>
      </c>
      <c r="G221" t="s">
        <v>42</v>
      </c>
      <c r="H221" t="s">
        <v>186</v>
      </c>
      <c r="I221" t="s">
        <v>187</v>
      </c>
      <c r="J221" t="s">
        <v>86</v>
      </c>
      <c r="K221" t="s">
        <v>382</v>
      </c>
      <c r="L221" t="s">
        <v>1169</v>
      </c>
      <c r="M221" t="s">
        <v>56</v>
      </c>
      <c r="N221">
        <v>2</v>
      </c>
      <c r="O221">
        <v>121.49</v>
      </c>
      <c r="P221" t="s">
        <v>1170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  <c r="V221" s="1" t="s">
        <v>148</v>
      </c>
      <c r="W221" s="1" t="s">
        <v>26</v>
      </c>
      <c r="X221" s="1" t="s">
        <v>42</v>
      </c>
      <c r="Y221" s="1" t="s">
        <v>186</v>
      </c>
      <c r="Z221" s="1" t="s">
        <v>187</v>
      </c>
      <c r="AA221" s="1" t="s">
        <v>86</v>
      </c>
      <c r="AB221" s="1" t="s">
        <v>382</v>
      </c>
      <c r="AC221" s="1" t="s">
        <v>56</v>
      </c>
      <c r="AD221" s="1" t="s">
        <v>34</v>
      </c>
      <c r="AE221" s="1" t="s">
        <v>35</v>
      </c>
      <c r="AF221" s="5">
        <f t="shared" si="12"/>
        <v>45461</v>
      </c>
      <c r="AG221" s="5">
        <f t="shared" si="12"/>
        <v>45462</v>
      </c>
      <c r="AH221" s="5" t="b">
        <f t="shared" si="13"/>
        <v>1</v>
      </c>
      <c r="AI221" s="5" t="b">
        <f t="shared" si="13"/>
        <v>1</v>
      </c>
      <c r="AJ221" t="str">
        <f t="shared" si="14"/>
        <v>OK</v>
      </c>
      <c r="AK221">
        <f t="shared" si="15"/>
        <v>1</v>
      </c>
    </row>
    <row r="222" spans="1:37">
      <c r="A222" t="s">
        <v>1171</v>
      </c>
      <c r="B222" t="s">
        <v>1172</v>
      </c>
      <c r="C222" t="s">
        <v>1172</v>
      </c>
      <c r="D222" t="s">
        <v>1173</v>
      </c>
      <c r="E222" t="s">
        <v>168</v>
      </c>
      <c r="F222" t="s">
        <v>26</v>
      </c>
      <c r="G222" t="s">
        <v>62</v>
      </c>
      <c r="H222" t="s">
        <v>242</v>
      </c>
      <c r="I222" t="s">
        <v>243</v>
      </c>
      <c r="J222" t="s">
        <v>30</v>
      </c>
      <c r="K222" t="s">
        <v>156</v>
      </c>
      <c r="L222" t="s">
        <v>1174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  <c r="V222" s="1" t="s">
        <v>168</v>
      </c>
      <c r="W222" s="1" t="s">
        <v>26</v>
      </c>
      <c r="X222" s="1" t="s">
        <v>62</v>
      </c>
      <c r="Y222" s="1" t="s">
        <v>242</v>
      </c>
      <c r="Z222" s="1" t="s">
        <v>243</v>
      </c>
      <c r="AA222" s="1" t="s">
        <v>30</v>
      </c>
      <c r="AB222" s="1" t="s">
        <v>156</v>
      </c>
      <c r="AC222" s="1" t="s">
        <v>56</v>
      </c>
      <c r="AD222" s="1" t="s">
        <v>124</v>
      </c>
      <c r="AE222" s="1" t="s">
        <v>78</v>
      </c>
      <c r="AF222" s="5">
        <f t="shared" si="12"/>
        <v>45538</v>
      </c>
      <c r="AG222" s="5">
        <f t="shared" si="12"/>
        <v>45538</v>
      </c>
      <c r="AH222" s="5" t="b">
        <f t="shared" si="13"/>
        <v>1</v>
      </c>
      <c r="AI222" s="5" t="b">
        <f t="shared" si="13"/>
        <v>1</v>
      </c>
      <c r="AJ222" t="str">
        <f t="shared" si="14"/>
        <v>OK</v>
      </c>
      <c r="AK222">
        <f t="shared" si="15"/>
        <v>0</v>
      </c>
    </row>
    <row r="223" spans="1:37">
      <c r="A223" t="s">
        <v>1175</v>
      </c>
      <c r="B223" t="s">
        <v>1176</v>
      </c>
      <c r="C223" t="s">
        <v>1177</v>
      </c>
      <c r="D223" t="s">
        <v>1178</v>
      </c>
      <c r="E223" t="s">
        <v>40</v>
      </c>
      <c r="F223" t="s">
        <v>108</v>
      </c>
      <c r="G223" t="s">
        <v>62</v>
      </c>
      <c r="H223" t="s">
        <v>229</v>
      </c>
      <c r="I223" t="s">
        <v>230</v>
      </c>
      <c r="J223" t="s">
        <v>45</v>
      </c>
      <c r="K223" t="s">
        <v>76</v>
      </c>
      <c r="L223" t="s">
        <v>1179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  <c r="V223" s="1" t="s">
        <v>40</v>
      </c>
      <c r="W223" s="1" t="s">
        <v>108</v>
      </c>
      <c r="X223" s="1" t="s">
        <v>62</v>
      </c>
      <c r="Y223" s="1" t="s">
        <v>229</v>
      </c>
      <c r="Z223" s="1" t="s">
        <v>230</v>
      </c>
      <c r="AA223" s="1" t="s">
        <v>45</v>
      </c>
      <c r="AB223" s="1" t="s">
        <v>76</v>
      </c>
      <c r="AC223" s="1" t="s">
        <v>48</v>
      </c>
      <c r="AD223" s="1" t="s">
        <v>34</v>
      </c>
      <c r="AE223" s="1" t="s">
        <v>35</v>
      </c>
      <c r="AF223" s="5">
        <f t="shared" si="12"/>
        <v>45992</v>
      </c>
      <c r="AG223" s="5">
        <f t="shared" si="12"/>
        <v>45672</v>
      </c>
      <c r="AH223" s="5" t="b">
        <f t="shared" si="13"/>
        <v>1</v>
      </c>
      <c r="AI223" s="5" t="b">
        <f t="shared" si="13"/>
        <v>1</v>
      </c>
      <c r="AJ223" t="str">
        <f t="shared" si="14"/>
        <v>Invalid: Ship before Order</v>
      </c>
      <c r="AK223" t="e">
        <f t="shared" si="15"/>
        <v>#NUM!</v>
      </c>
    </row>
    <row r="224" spans="1:37">
      <c r="A224" t="s">
        <v>1180</v>
      </c>
      <c r="B224" t="s">
        <v>1181</v>
      </c>
      <c r="C224" t="s">
        <v>1013</v>
      </c>
      <c r="D224" t="s">
        <v>1182</v>
      </c>
      <c r="E224" t="s">
        <v>83</v>
      </c>
      <c r="F224" t="s">
        <v>41</v>
      </c>
      <c r="G224" t="s">
        <v>73</v>
      </c>
      <c r="H224" t="s">
        <v>249</v>
      </c>
      <c r="I224" t="s">
        <v>250</v>
      </c>
      <c r="J224" t="s">
        <v>30</v>
      </c>
      <c r="K224" t="s">
        <v>156</v>
      </c>
      <c r="L224" t="s">
        <v>1183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  <c r="V224" s="1" t="s">
        <v>83</v>
      </c>
      <c r="W224" s="1" t="s">
        <v>41</v>
      </c>
      <c r="X224" s="1" t="s">
        <v>73</v>
      </c>
      <c r="Y224" s="1" t="s">
        <v>249</v>
      </c>
      <c r="Z224" s="1" t="s">
        <v>250</v>
      </c>
      <c r="AA224" s="1" t="s">
        <v>30</v>
      </c>
      <c r="AB224" s="1" t="s">
        <v>156</v>
      </c>
      <c r="AC224" s="1" t="s">
        <v>56</v>
      </c>
      <c r="AD224" s="1" t="s">
        <v>34</v>
      </c>
      <c r="AE224" s="1" t="s">
        <v>35</v>
      </c>
      <c r="AF224" s="5">
        <f t="shared" si="12"/>
        <v>45776</v>
      </c>
      <c r="AG224" s="5">
        <f t="shared" si="12"/>
        <v>45779</v>
      </c>
      <c r="AH224" s="5" t="b">
        <f t="shared" si="13"/>
        <v>1</v>
      </c>
      <c r="AI224" s="5" t="b">
        <f t="shared" si="13"/>
        <v>1</v>
      </c>
      <c r="AJ224" t="str">
        <f t="shared" si="14"/>
        <v>OK</v>
      </c>
      <c r="AK224">
        <f t="shared" si="15"/>
        <v>3</v>
      </c>
    </row>
    <row r="225" spans="1:37">
      <c r="A225" t="s">
        <v>1184</v>
      </c>
      <c r="B225" t="s">
        <v>1185</v>
      </c>
      <c r="C225" t="s">
        <v>1186</v>
      </c>
      <c r="D225" t="s">
        <v>1187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1188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137</v>
      </c>
      <c r="U225" t="s">
        <v>125</v>
      </c>
      <c r="V225" s="1" t="s">
        <v>40</v>
      </c>
      <c r="W225" s="1" t="s">
        <v>108</v>
      </c>
      <c r="X225" s="1" t="s">
        <v>73</v>
      </c>
      <c r="Y225" s="1" t="s">
        <v>74</v>
      </c>
      <c r="Z225" s="1" t="s">
        <v>75</v>
      </c>
      <c r="AA225" s="1" t="s">
        <v>45</v>
      </c>
      <c r="AB225" s="1" t="s">
        <v>65</v>
      </c>
      <c r="AC225" s="1" t="s">
        <v>56</v>
      </c>
      <c r="AD225" s="1" t="s">
        <v>137</v>
      </c>
      <c r="AE225" s="1" t="s">
        <v>125</v>
      </c>
      <c r="AF225" s="5" t="e">
        <f t="shared" si="12"/>
        <v>#N/A</v>
      </c>
      <c r="AG225" s="5">
        <f t="shared" si="12"/>
        <v>45714</v>
      </c>
      <c r="AH225" s="5" t="b">
        <f t="shared" si="13"/>
        <v>0</v>
      </c>
      <c r="AI225" s="5" t="b">
        <f t="shared" si="13"/>
        <v>1</v>
      </c>
      <c r="AJ225" t="e">
        <f t="shared" si="14"/>
        <v>#N/A</v>
      </c>
      <c r="AK225" t="e">
        <f t="shared" si="15"/>
        <v>#N/A</v>
      </c>
    </row>
    <row r="226" spans="1:37">
      <c r="A226" t="s">
        <v>1189</v>
      </c>
      <c r="B226" t="s">
        <v>1190</v>
      </c>
      <c r="C226" t="s">
        <v>1191</v>
      </c>
      <c r="D226" t="s">
        <v>1192</v>
      </c>
      <c r="E226" t="s">
        <v>53</v>
      </c>
      <c r="F226" t="s">
        <v>41</v>
      </c>
      <c r="G226" t="s">
        <v>27</v>
      </c>
      <c r="H226" t="s">
        <v>154</v>
      </c>
      <c r="I226" t="s">
        <v>155</v>
      </c>
      <c r="J226" t="s">
        <v>45</v>
      </c>
      <c r="K226" t="s">
        <v>65</v>
      </c>
      <c r="L226" t="s">
        <v>1193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  <c r="V226" s="1" t="s">
        <v>53</v>
      </c>
      <c r="W226" s="1" t="s">
        <v>41</v>
      </c>
      <c r="X226" s="1" t="s">
        <v>27</v>
      </c>
      <c r="Y226" s="1" t="s">
        <v>154</v>
      </c>
      <c r="Z226" s="1" t="s">
        <v>155</v>
      </c>
      <c r="AA226" s="1" t="s">
        <v>45</v>
      </c>
      <c r="AB226" s="1" t="s">
        <v>65</v>
      </c>
      <c r="AC226" s="1" t="s">
        <v>67</v>
      </c>
      <c r="AD226" s="1" t="s">
        <v>34</v>
      </c>
      <c r="AE226" s="1" t="s">
        <v>78</v>
      </c>
      <c r="AF226" s="5">
        <f t="shared" si="12"/>
        <v>45932</v>
      </c>
      <c r="AG226" s="5">
        <f t="shared" si="12"/>
        <v>45938</v>
      </c>
      <c r="AH226" s="5" t="b">
        <f t="shared" si="13"/>
        <v>1</v>
      </c>
      <c r="AI226" s="5" t="b">
        <f t="shared" si="13"/>
        <v>1</v>
      </c>
      <c r="AJ226" t="str">
        <f t="shared" si="14"/>
        <v>OK</v>
      </c>
      <c r="AK226">
        <f t="shared" si="15"/>
        <v>6</v>
      </c>
    </row>
    <row r="227" spans="1:37">
      <c r="A227" t="s">
        <v>1194</v>
      </c>
      <c r="B227" t="s">
        <v>1195</v>
      </c>
      <c r="C227" t="s">
        <v>1196</v>
      </c>
      <c r="D227" t="s">
        <v>1197</v>
      </c>
      <c r="E227" t="s">
        <v>40</v>
      </c>
      <c r="F227" t="s">
        <v>108</v>
      </c>
      <c r="G227" t="s">
        <v>73</v>
      </c>
      <c r="H227" t="s">
        <v>249</v>
      </c>
      <c r="I227" t="s">
        <v>250</v>
      </c>
      <c r="J227" t="s">
        <v>86</v>
      </c>
      <c r="K227" t="s">
        <v>223</v>
      </c>
      <c r="L227" t="s">
        <v>1198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  <c r="V227" s="1" t="s">
        <v>40</v>
      </c>
      <c r="W227" s="1" t="s">
        <v>108</v>
      </c>
      <c r="X227" s="1" t="s">
        <v>73</v>
      </c>
      <c r="Y227" s="1" t="s">
        <v>249</v>
      </c>
      <c r="Z227" s="1" t="s">
        <v>250</v>
      </c>
      <c r="AA227" s="1" t="s">
        <v>86</v>
      </c>
      <c r="AB227" s="1" t="s">
        <v>223</v>
      </c>
      <c r="AC227" s="1" t="s">
        <v>67</v>
      </c>
      <c r="AD227" s="1" t="s">
        <v>34</v>
      </c>
      <c r="AE227" s="1" t="s">
        <v>35</v>
      </c>
      <c r="AF227" s="5">
        <f t="shared" si="12"/>
        <v>45537</v>
      </c>
      <c r="AG227" s="5">
        <f t="shared" si="12"/>
        <v>45545</v>
      </c>
      <c r="AH227" s="5" t="b">
        <f t="shared" si="13"/>
        <v>1</v>
      </c>
      <c r="AI227" s="5" t="b">
        <f t="shared" si="13"/>
        <v>1</v>
      </c>
      <c r="AJ227" t="str">
        <f t="shared" si="14"/>
        <v>OK</v>
      </c>
      <c r="AK227">
        <f t="shared" si="15"/>
        <v>8</v>
      </c>
    </row>
    <row r="228" spans="1:37">
      <c r="A228" t="s">
        <v>1199</v>
      </c>
      <c r="B228" t="s">
        <v>1200</v>
      </c>
      <c r="C228" t="s">
        <v>1153</v>
      </c>
      <c r="D228" t="s">
        <v>1201</v>
      </c>
      <c r="E228" t="s">
        <v>210</v>
      </c>
      <c r="F228" t="s">
        <v>115</v>
      </c>
      <c r="H228" t="s">
        <v>242</v>
      </c>
      <c r="I228" t="s">
        <v>243</v>
      </c>
      <c r="J228" t="s">
        <v>86</v>
      </c>
      <c r="K228" t="s">
        <v>94</v>
      </c>
      <c r="L228" t="s">
        <v>1202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  <c r="V228" s="1" t="s">
        <v>210</v>
      </c>
      <c r="W228" s="1" t="s">
        <v>115</v>
      </c>
      <c r="X228" s="1" t="s">
        <v>4119</v>
      </c>
      <c r="Y228" s="1" t="s">
        <v>242</v>
      </c>
      <c r="Z228" s="1" t="s">
        <v>243</v>
      </c>
      <c r="AA228" s="1" t="s">
        <v>86</v>
      </c>
      <c r="AB228" s="1" t="s">
        <v>94</v>
      </c>
      <c r="AC228" s="1" t="s">
        <v>48</v>
      </c>
      <c r="AD228" s="1" t="s">
        <v>34</v>
      </c>
      <c r="AE228" s="1" t="s">
        <v>35</v>
      </c>
      <c r="AF228" s="5">
        <f t="shared" si="12"/>
        <v>45934</v>
      </c>
      <c r="AG228" s="5">
        <f t="shared" si="12"/>
        <v>45762</v>
      </c>
      <c r="AH228" s="5" t="b">
        <f t="shared" si="13"/>
        <v>1</v>
      </c>
      <c r="AI228" s="5" t="b">
        <f t="shared" si="13"/>
        <v>1</v>
      </c>
      <c r="AJ228" t="str">
        <f t="shared" si="14"/>
        <v>Invalid: Ship before Order</v>
      </c>
      <c r="AK228" t="e">
        <f t="shared" si="15"/>
        <v>#NUM!</v>
      </c>
    </row>
    <row r="229" spans="1:37">
      <c r="A229" t="s">
        <v>1203</v>
      </c>
      <c r="B229" t="s">
        <v>1204</v>
      </c>
      <c r="C229" t="s">
        <v>1205</v>
      </c>
      <c r="D229" t="s">
        <v>1206</v>
      </c>
      <c r="E229" t="s">
        <v>72</v>
      </c>
      <c r="F229" t="s">
        <v>1207</v>
      </c>
      <c r="G229" t="s">
        <v>73</v>
      </c>
      <c r="H229" t="s">
        <v>249</v>
      </c>
      <c r="I229" t="s">
        <v>250</v>
      </c>
      <c r="J229" t="s">
        <v>30</v>
      </c>
      <c r="K229" t="s">
        <v>198</v>
      </c>
      <c r="L229" t="s">
        <v>1208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  <c r="V229" s="1" t="s">
        <v>72</v>
      </c>
      <c r="W229" s="1" t="s">
        <v>41</v>
      </c>
      <c r="X229" s="1" t="s">
        <v>73</v>
      </c>
      <c r="Y229" s="1" t="s">
        <v>249</v>
      </c>
      <c r="Z229" s="1" t="s">
        <v>250</v>
      </c>
      <c r="AA229" s="1" t="s">
        <v>30</v>
      </c>
      <c r="AB229" s="1" t="s">
        <v>198</v>
      </c>
      <c r="AC229" s="1" t="s">
        <v>56</v>
      </c>
      <c r="AD229" s="1" t="s">
        <v>34</v>
      </c>
      <c r="AE229" s="1" t="s">
        <v>35</v>
      </c>
      <c r="AF229" s="5">
        <f t="shared" si="12"/>
        <v>45478</v>
      </c>
      <c r="AG229" s="5">
        <f t="shared" si="12"/>
        <v>45485</v>
      </c>
      <c r="AH229" s="5" t="b">
        <f t="shared" si="13"/>
        <v>1</v>
      </c>
      <c r="AI229" s="5" t="b">
        <f t="shared" si="13"/>
        <v>1</v>
      </c>
      <c r="AJ229" t="str">
        <f t="shared" si="14"/>
        <v>OK</v>
      </c>
      <c r="AK229">
        <f t="shared" si="15"/>
        <v>7</v>
      </c>
    </row>
    <row r="230" spans="1:37">
      <c r="A230" t="s">
        <v>1209</v>
      </c>
      <c r="B230" t="s">
        <v>1210</v>
      </c>
      <c r="C230" t="s">
        <v>1211</v>
      </c>
      <c r="D230" t="s">
        <v>1212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1213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  <c r="V230" s="1" t="s">
        <v>25</v>
      </c>
      <c r="W230" s="1" t="s">
        <v>41</v>
      </c>
      <c r="X230" s="1" t="s">
        <v>62</v>
      </c>
      <c r="Y230" s="1" t="s">
        <v>63</v>
      </c>
      <c r="Z230" s="1" t="s">
        <v>64</v>
      </c>
      <c r="AA230" s="1" t="s">
        <v>30</v>
      </c>
      <c r="AB230" s="1" t="s">
        <v>109</v>
      </c>
      <c r="AC230" s="1" t="s">
        <v>33</v>
      </c>
      <c r="AD230" s="1" t="s">
        <v>34</v>
      </c>
      <c r="AE230" s="1" t="s">
        <v>35</v>
      </c>
      <c r="AF230" s="5" t="e">
        <f t="shared" si="12"/>
        <v>#N/A</v>
      </c>
      <c r="AG230" s="5">
        <f t="shared" si="12"/>
        <v>45410</v>
      </c>
      <c r="AH230" s="5" t="b">
        <f t="shared" si="13"/>
        <v>0</v>
      </c>
      <c r="AI230" s="5" t="b">
        <f t="shared" si="13"/>
        <v>1</v>
      </c>
      <c r="AJ230" t="e">
        <f t="shared" si="14"/>
        <v>#N/A</v>
      </c>
      <c r="AK230" t="e">
        <f t="shared" si="15"/>
        <v>#N/A</v>
      </c>
    </row>
    <row r="231" spans="1:37">
      <c r="A231" t="s">
        <v>1214</v>
      </c>
      <c r="B231" t="s">
        <v>1215</v>
      </c>
      <c r="C231" t="s">
        <v>1216</v>
      </c>
      <c r="D231" t="s">
        <v>1217</v>
      </c>
      <c r="E231" t="s">
        <v>180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204</v>
      </c>
      <c r="L231" t="s">
        <v>1218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  <c r="V231" s="1" t="s">
        <v>180</v>
      </c>
      <c r="W231" s="1" t="s">
        <v>26</v>
      </c>
      <c r="X231" s="1" t="s">
        <v>62</v>
      </c>
      <c r="Y231" s="1" t="s">
        <v>63</v>
      </c>
      <c r="Z231" s="1" t="s">
        <v>64</v>
      </c>
      <c r="AA231" s="1" t="s">
        <v>45</v>
      </c>
      <c r="AB231" s="1" t="s">
        <v>204</v>
      </c>
      <c r="AC231" s="1" t="s">
        <v>56</v>
      </c>
      <c r="AD231" s="1" t="s">
        <v>124</v>
      </c>
      <c r="AE231" s="1" t="s">
        <v>125</v>
      </c>
      <c r="AF231" s="5">
        <f t="shared" si="12"/>
        <v>45836</v>
      </c>
      <c r="AG231" s="5">
        <f t="shared" si="12"/>
        <v>45842</v>
      </c>
      <c r="AH231" s="5" t="b">
        <f t="shared" si="13"/>
        <v>1</v>
      </c>
      <c r="AI231" s="5" t="b">
        <f t="shared" si="13"/>
        <v>1</v>
      </c>
      <c r="AJ231" t="str">
        <f t="shared" si="14"/>
        <v>OK</v>
      </c>
      <c r="AK231">
        <f t="shared" si="15"/>
        <v>6</v>
      </c>
    </row>
    <row r="232" spans="1:37">
      <c r="A232" t="s">
        <v>1219</v>
      </c>
      <c r="B232" t="s">
        <v>81</v>
      </c>
      <c r="C232" t="s">
        <v>1220</v>
      </c>
      <c r="D232" t="s">
        <v>1221</v>
      </c>
      <c r="E232" t="s">
        <v>93</v>
      </c>
      <c r="F232" t="s">
        <v>41</v>
      </c>
      <c r="G232" t="s">
        <v>27</v>
      </c>
      <c r="H232" t="s">
        <v>28</v>
      </c>
      <c r="I232" t="s">
        <v>29</v>
      </c>
      <c r="J232" t="s">
        <v>30</v>
      </c>
      <c r="K232" t="s">
        <v>31</v>
      </c>
      <c r="L232" t="s">
        <v>1222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  <c r="V232" s="1" t="s">
        <v>93</v>
      </c>
      <c r="W232" s="1" t="s">
        <v>41</v>
      </c>
      <c r="X232" s="1" t="s">
        <v>27</v>
      </c>
      <c r="Y232" s="1" t="s">
        <v>28</v>
      </c>
      <c r="Z232" s="1" t="s">
        <v>29</v>
      </c>
      <c r="AA232" s="1" t="s">
        <v>30</v>
      </c>
      <c r="AB232" s="1" t="s">
        <v>31</v>
      </c>
      <c r="AC232" s="1" t="s">
        <v>67</v>
      </c>
      <c r="AD232" s="1" t="s">
        <v>34</v>
      </c>
      <c r="AE232" s="1" t="s">
        <v>35</v>
      </c>
      <c r="AF232" s="5" t="e">
        <f t="shared" si="12"/>
        <v>#N/A</v>
      </c>
      <c r="AG232" s="5">
        <f t="shared" si="12"/>
        <v>45357</v>
      </c>
      <c r="AH232" s="5" t="b">
        <f t="shared" si="13"/>
        <v>0</v>
      </c>
      <c r="AI232" s="5" t="b">
        <f t="shared" si="13"/>
        <v>1</v>
      </c>
      <c r="AJ232" t="e">
        <f t="shared" si="14"/>
        <v>#N/A</v>
      </c>
      <c r="AK232" t="e">
        <f t="shared" si="15"/>
        <v>#N/A</v>
      </c>
    </row>
    <row r="233" spans="1:37">
      <c r="A233" t="s">
        <v>1223</v>
      </c>
      <c r="B233" t="s">
        <v>1224</v>
      </c>
      <c r="C233" t="s">
        <v>1225</v>
      </c>
      <c r="D233" t="s">
        <v>1226</v>
      </c>
      <c r="E233" t="s">
        <v>72</v>
      </c>
      <c r="F233" t="s">
        <v>108</v>
      </c>
      <c r="G233" t="s">
        <v>27</v>
      </c>
      <c r="H233" t="s">
        <v>28</v>
      </c>
      <c r="I233" t="s">
        <v>29</v>
      </c>
      <c r="J233" t="s">
        <v>1227</v>
      </c>
      <c r="K233" t="s">
        <v>109</v>
      </c>
      <c r="L233" t="s">
        <v>1228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  <c r="V233" s="1" t="s">
        <v>72</v>
      </c>
      <c r="W233" s="1" t="s">
        <v>108</v>
      </c>
      <c r="X233" s="1" t="s">
        <v>27</v>
      </c>
      <c r="Y233" s="1" t="s">
        <v>28</v>
      </c>
      <c r="Z233" s="1" t="s">
        <v>29</v>
      </c>
      <c r="AA233" s="1" t="s">
        <v>30</v>
      </c>
      <c r="AB233" s="1" t="s">
        <v>109</v>
      </c>
      <c r="AC233" s="1" t="s">
        <v>56</v>
      </c>
      <c r="AD233" s="1" t="s">
        <v>124</v>
      </c>
      <c r="AE233" s="1" t="s">
        <v>78</v>
      </c>
      <c r="AF233" s="5">
        <f t="shared" si="12"/>
        <v>45414</v>
      </c>
      <c r="AG233" s="5">
        <f t="shared" si="12"/>
        <v>45414</v>
      </c>
      <c r="AH233" s="5" t="b">
        <f t="shared" si="13"/>
        <v>1</v>
      </c>
      <c r="AI233" s="5" t="b">
        <f t="shared" si="13"/>
        <v>1</v>
      </c>
      <c r="AJ233" t="str">
        <f t="shared" si="14"/>
        <v>OK</v>
      </c>
      <c r="AK233">
        <f t="shared" si="15"/>
        <v>0</v>
      </c>
    </row>
    <row r="234" spans="1:37">
      <c r="A234" t="s">
        <v>1229</v>
      </c>
      <c r="B234" t="s">
        <v>1230</v>
      </c>
      <c r="C234" t="s">
        <v>1231</v>
      </c>
      <c r="D234" t="s">
        <v>1232</v>
      </c>
      <c r="E234" t="s">
        <v>148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223</v>
      </c>
      <c r="L234" t="s">
        <v>1233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  <c r="V234" s="1" t="s">
        <v>148</v>
      </c>
      <c r="W234" s="1" t="s">
        <v>26</v>
      </c>
      <c r="X234" s="1" t="s">
        <v>62</v>
      </c>
      <c r="Y234" s="1" t="s">
        <v>100</v>
      </c>
      <c r="Z234" s="1" t="s">
        <v>101</v>
      </c>
      <c r="AA234" s="1" t="s">
        <v>86</v>
      </c>
      <c r="AB234" s="1" t="s">
        <v>223</v>
      </c>
      <c r="AC234" s="1" t="s">
        <v>67</v>
      </c>
      <c r="AD234" s="1" t="s">
        <v>34</v>
      </c>
      <c r="AE234" s="1" t="s">
        <v>35</v>
      </c>
      <c r="AF234" s="5">
        <f t="shared" si="12"/>
        <v>45812</v>
      </c>
      <c r="AG234" s="5">
        <f t="shared" si="12"/>
        <v>45818</v>
      </c>
      <c r="AH234" s="5" t="b">
        <f t="shared" si="13"/>
        <v>1</v>
      </c>
      <c r="AI234" s="5" t="b">
        <f t="shared" si="13"/>
        <v>1</v>
      </c>
      <c r="AJ234" t="str">
        <f t="shared" si="14"/>
        <v>OK</v>
      </c>
      <c r="AK234">
        <f t="shared" si="15"/>
        <v>6</v>
      </c>
    </row>
    <row r="235" spans="1:37">
      <c r="A235" t="s">
        <v>1234</v>
      </c>
      <c r="B235" t="s">
        <v>1235</v>
      </c>
      <c r="C235" t="s">
        <v>1236</v>
      </c>
      <c r="D235" t="s">
        <v>1237</v>
      </c>
      <c r="E235" t="s">
        <v>83</v>
      </c>
      <c r="F235" t="s">
        <v>108</v>
      </c>
      <c r="G235" t="s">
        <v>62</v>
      </c>
      <c r="H235" t="s">
        <v>229</v>
      </c>
      <c r="I235" t="s">
        <v>230</v>
      </c>
      <c r="J235" t="s">
        <v>45</v>
      </c>
      <c r="K235" t="s">
        <v>204</v>
      </c>
      <c r="L235" t="s">
        <v>1238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  <c r="V235" s="1" t="s">
        <v>83</v>
      </c>
      <c r="W235" s="1" t="s">
        <v>108</v>
      </c>
      <c r="X235" s="1" t="s">
        <v>62</v>
      </c>
      <c r="Y235" s="1" t="s">
        <v>229</v>
      </c>
      <c r="Z235" s="1" t="s">
        <v>230</v>
      </c>
      <c r="AA235" s="1" t="s">
        <v>45</v>
      </c>
      <c r="AB235" s="1" t="s">
        <v>204</v>
      </c>
      <c r="AC235" s="1" t="s">
        <v>4119</v>
      </c>
      <c r="AD235" s="1" t="s">
        <v>34</v>
      </c>
      <c r="AE235" s="1" t="s">
        <v>35</v>
      </c>
      <c r="AF235" s="5" t="e">
        <f t="shared" si="12"/>
        <v>#N/A</v>
      </c>
      <c r="AG235" s="5">
        <f t="shared" si="12"/>
        <v>45579</v>
      </c>
      <c r="AH235" s="5" t="b">
        <f t="shared" si="13"/>
        <v>0</v>
      </c>
      <c r="AI235" s="5" t="b">
        <f t="shared" si="13"/>
        <v>1</v>
      </c>
      <c r="AJ235" t="e">
        <f t="shared" si="14"/>
        <v>#N/A</v>
      </c>
      <c r="AK235" t="e">
        <f t="shared" si="15"/>
        <v>#N/A</v>
      </c>
    </row>
    <row r="236" spans="1:37">
      <c r="A236" t="s">
        <v>1239</v>
      </c>
      <c r="B236" t="s">
        <v>1240</v>
      </c>
      <c r="C236" t="s">
        <v>1241</v>
      </c>
      <c r="D236" t="s">
        <v>1242</v>
      </c>
      <c r="E236" t="s">
        <v>366</v>
      </c>
      <c r="F236" t="s">
        <v>115</v>
      </c>
      <c r="G236" t="s">
        <v>27</v>
      </c>
      <c r="H236" t="s">
        <v>506</v>
      </c>
      <c r="I236" t="s">
        <v>507</v>
      </c>
      <c r="J236" t="s">
        <v>45</v>
      </c>
      <c r="K236" t="s">
        <v>65</v>
      </c>
      <c r="L236" t="s">
        <v>1243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  <c r="V236" s="1" t="s">
        <v>366</v>
      </c>
      <c r="W236" s="1" t="s">
        <v>115</v>
      </c>
      <c r="X236" s="1" t="s">
        <v>27</v>
      </c>
      <c r="Y236" s="1" t="s">
        <v>506</v>
      </c>
      <c r="Z236" s="1" t="s">
        <v>507</v>
      </c>
      <c r="AA236" s="1" t="s">
        <v>45</v>
      </c>
      <c r="AB236" s="1" t="s">
        <v>65</v>
      </c>
      <c r="AC236" s="1" t="s">
        <v>56</v>
      </c>
      <c r="AD236" s="1" t="s">
        <v>34</v>
      </c>
      <c r="AE236" s="1" t="s">
        <v>35</v>
      </c>
      <c r="AF236" s="5">
        <f t="shared" si="12"/>
        <v>45537</v>
      </c>
      <c r="AG236" s="5">
        <f t="shared" si="12"/>
        <v>45538</v>
      </c>
      <c r="AH236" s="5" t="b">
        <f t="shared" si="13"/>
        <v>1</v>
      </c>
      <c r="AI236" s="5" t="b">
        <f t="shared" si="13"/>
        <v>1</v>
      </c>
      <c r="AJ236" t="str">
        <f t="shared" si="14"/>
        <v>OK</v>
      </c>
      <c r="AK236">
        <f t="shared" si="15"/>
        <v>1</v>
      </c>
    </row>
    <row r="237" spans="1:37">
      <c r="A237" t="s">
        <v>1244</v>
      </c>
      <c r="B237" t="s">
        <v>1245</v>
      </c>
      <c r="C237" t="s">
        <v>1246</v>
      </c>
      <c r="D237" t="s">
        <v>1247</v>
      </c>
      <c r="E237" t="s">
        <v>148</v>
      </c>
      <c r="F237" t="s">
        <v>41</v>
      </c>
      <c r="G237" t="s">
        <v>73</v>
      </c>
      <c r="H237" t="s">
        <v>28</v>
      </c>
      <c r="I237" t="s">
        <v>135</v>
      </c>
      <c r="J237" t="s">
        <v>30</v>
      </c>
      <c r="K237" t="s">
        <v>156</v>
      </c>
      <c r="L237" t="s">
        <v>1248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  <c r="V237" s="1" t="s">
        <v>148</v>
      </c>
      <c r="W237" s="1" t="s">
        <v>41</v>
      </c>
      <c r="X237" s="1" t="s">
        <v>73</v>
      </c>
      <c r="Y237" s="1" t="s">
        <v>28</v>
      </c>
      <c r="Z237" s="1" t="s">
        <v>135</v>
      </c>
      <c r="AA237" s="1" t="s">
        <v>30</v>
      </c>
      <c r="AB237" s="1" t="s">
        <v>156</v>
      </c>
      <c r="AC237" s="1" t="s">
        <v>67</v>
      </c>
      <c r="AD237" s="1" t="s">
        <v>34</v>
      </c>
      <c r="AE237" s="1" t="s">
        <v>35</v>
      </c>
      <c r="AF237" s="5">
        <f t="shared" si="12"/>
        <v>45598</v>
      </c>
      <c r="AG237" s="5">
        <f t="shared" si="12"/>
        <v>45599</v>
      </c>
      <c r="AH237" s="5" t="b">
        <f t="shared" si="13"/>
        <v>1</v>
      </c>
      <c r="AI237" s="5" t="b">
        <f t="shared" si="13"/>
        <v>1</v>
      </c>
      <c r="AJ237" t="str">
        <f t="shared" si="14"/>
        <v>OK</v>
      </c>
      <c r="AK237">
        <f t="shared" si="15"/>
        <v>1</v>
      </c>
    </row>
    <row r="238" spans="1:37">
      <c r="A238" t="s">
        <v>1249</v>
      </c>
      <c r="B238" t="s">
        <v>1236</v>
      </c>
      <c r="C238" t="s">
        <v>1250</v>
      </c>
      <c r="D238" t="s">
        <v>1251</v>
      </c>
      <c r="E238" t="s">
        <v>142</v>
      </c>
      <c r="F238" t="s">
        <v>108</v>
      </c>
      <c r="G238" t="s">
        <v>27</v>
      </c>
      <c r="H238" t="s">
        <v>174</v>
      </c>
      <c r="I238" t="s">
        <v>175</v>
      </c>
      <c r="J238" t="s">
        <v>45</v>
      </c>
      <c r="K238" t="s">
        <v>204</v>
      </c>
      <c r="L238" t="s">
        <v>1252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  <c r="V238" s="1" t="s">
        <v>142</v>
      </c>
      <c r="W238" s="1" t="s">
        <v>108</v>
      </c>
      <c r="X238" s="1" t="s">
        <v>27</v>
      </c>
      <c r="Y238" s="1" t="s">
        <v>174</v>
      </c>
      <c r="Z238" s="1" t="s">
        <v>175</v>
      </c>
      <c r="AA238" s="1" t="s">
        <v>45</v>
      </c>
      <c r="AB238" s="1" t="s">
        <v>204</v>
      </c>
      <c r="AC238" s="1" t="s">
        <v>56</v>
      </c>
      <c r="AD238" s="1" t="s">
        <v>34</v>
      </c>
      <c r="AE238" s="1" t="s">
        <v>35</v>
      </c>
      <c r="AF238" s="5">
        <f t="shared" si="12"/>
        <v>45579</v>
      </c>
      <c r="AG238" s="5">
        <f t="shared" si="12"/>
        <v>45586</v>
      </c>
      <c r="AH238" s="5" t="b">
        <f t="shared" si="13"/>
        <v>1</v>
      </c>
      <c r="AI238" s="5" t="b">
        <f t="shared" si="13"/>
        <v>1</v>
      </c>
      <c r="AJ238" t="str">
        <f t="shared" si="14"/>
        <v>OK</v>
      </c>
      <c r="AK238">
        <f t="shared" si="15"/>
        <v>7</v>
      </c>
    </row>
    <row r="239" spans="1:37">
      <c r="A239" t="s">
        <v>1253</v>
      </c>
      <c r="B239" t="s">
        <v>1254</v>
      </c>
      <c r="C239" t="s">
        <v>1254</v>
      </c>
      <c r="D239" t="s">
        <v>1255</v>
      </c>
      <c r="E239" t="s">
        <v>40</v>
      </c>
      <c r="F239" t="s">
        <v>26</v>
      </c>
      <c r="G239" t="s">
        <v>27</v>
      </c>
      <c r="H239" t="s">
        <v>323</v>
      </c>
      <c r="I239" t="s">
        <v>324</v>
      </c>
      <c r="J239" t="s">
        <v>86</v>
      </c>
      <c r="K239" t="s">
        <v>94</v>
      </c>
      <c r="L239" t="s">
        <v>1256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  <c r="V239" s="1" t="s">
        <v>40</v>
      </c>
      <c r="W239" s="1" t="s">
        <v>26</v>
      </c>
      <c r="X239" s="1" t="s">
        <v>27</v>
      </c>
      <c r="Y239" s="1" t="s">
        <v>323</v>
      </c>
      <c r="Z239" s="1" t="s">
        <v>324</v>
      </c>
      <c r="AA239" s="1" t="s">
        <v>86</v>
      </c>
      <c r="AB239" s="1" t="s">
        <v>94</v>
      </c>
      <c r="AC239" s="1" t="s">
        <v>67</v>
      </c>
      <c r="AD239" s="1" t="s">
        <v>34</v>
      </c>
      <c r="AE239" s="1" t="s">
        <v>35</v>
      </c>
      <c r="AF239" s="5">
        <f t="shared" si="12"/>
        <v>45531</v>
      </c>
      <c r="AG239" s="5">
        <f t="shared" si="12"/>
        <v>45531</v>
      </c>
      <c r="AH239" s="5" t="b">
        <f t="shared" si="13"/>
        <v>1</v>
      </c>
      <c r="AI239" s="5" t="b">
        <f t="shared" si="13"/>
        <v>1</v>
      </c>
      <c r="AJ239" t="str">
        <f t="shared" si="14"/>
        <v>OK</v>
      </c>
      <c r="AK239">
        <f t="shared" si="15"/>
        <v>0</v>
      </c>
    </row>
    <row r="240" spans="1:37">
      <c r="A240" t="s">
        <v>1257</v>
      </c>
      <c r="B240" t="s">
        <v>1258</v>
      </c>
      <c r="C240" t="s">
        <v>1259</v>
      </c>
      <c r="D240" t="s">
        <v>1260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156</v>
      </c>
      <c r="L240" t="s">
        <v>1261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  <c r="V240" s="1" t="s">
        <v>61</v>
      </c>
      <c r="W240" s="1" t="s">
        <v>26</v>
      </c>
      <c r="X240" s="1" t="s">
        <v>62</v>
      </c>
      <c r="Y240" s="1" t="s">
        <v>100</v>
      </c>
      <c r="Z240" s="1" t="s">
        <v>101</v>
      </c>
      <c r="AA240" s="1" t="s">
        <v>30</v>
      </c>
      <c r="AB240" s="1" t="s">
        <v>156</v>
      </c>
      <c r="AC240" s="1" t="s">
        <v>56</v>
      </c>
      <c r="AD240" s="1" t="s">
        <v>34</v>
      </c>
      <c r="AE240" s="1" t="s">
        <v>35</v>
      </c>
      <c r="AF240" s="5">
        <f t="shared" si="12"/>
        <v>45303</v>
      </c>
      <c r="AG240" s="5">
        <f t="shared" si="12"/>
        <v>45308</v>
      </c>
      <c r="AH240" s="5" t="b">
        <f t="shared" si="13"/>
        <v>1</v>
      </c>
      <c r="AI240" s="5" t="b">
        <f t="shared" si="13"/>
        <v>1</v>
      </c>
      <c r="AJ240" t="str">
        <f t="shared" si="14"/>
        <v>OK</v>
      </c>
      <c r="AK240">
        <f t="shared" si="15"/>
        <v>5</v>
      </c>
    </row>
    <row r="241" spans="1:37">
      <c r="A241" t="s">
        <v>1262</v>
      </c>
      <c r="B241" t="s">
        <v>1263</v>
      </c>
      <c r="C241" t="s">
        <v>1134</v>
      </c>
      <c r="D241" t="s">
        <v>1264</v>
      </c>
      <c r="E241" t="s">
        <v>366</v>
      </c>
      <c r="F241" t="s">
        <v>108</v>
      </c>
      <c r="G241" t="s">
        <v>62</v>
      </c>
      <c r="H241" t="s">
        <v>229</v>
      </c>
      <c r="I241" t="s">
        <v>230</v>
      </c>
      <c r="J241" t="s">
        <v>86</v>
      </c>
      <c r="K241" t="s">
        <v>382</v>
      </c>
      <c r="L241" t="s">
        <v>1265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  <c r="V241" s="1" t="s">
        <v>366</v>
      </c>
      <c r="W241" s="1" t="s">
        <v>108</v>
      </c>
      <c r="X241" s="1" t="s">
        <v>62</v>
      </c>
      <c r="Y241" s="1" t="s">
        <v>229</v>
      </c>
      <c r="Z241" s="1" t="s">
        <v>230</v>
      </c>
      <c r="AA241" s="1" t="s">
        <v>86</v>
      </c>
      <c r="AB241" s="1" t="s">
        <v>382</v>
      </c>
      <c r="AC241" s="1" t="s">
        <v>56</v>
      </c>
      <c r="AD241" s="1" t="s">
        <v>34</v>
      </c>
      <c r="AE241" s="1" t="s">
        <v>35</v>
      </c>
      <c r="AF241" s="5" t="e">
        <f t="shared" si="12"/>
        <v>#N/A</v>
      </c>
      <c r="AG241" s="5">
        <f t="shared" si="12"/>
        <v>45556</v>
      </c>
      <c r="AH241" s="5" t="b">
        <f t="shared" si="13"/>
        <v>0</v>
      </c>
      <c r="AI241" s="5" t="b">
        <f t="shared" si="13"/>
        <v>1</v>
      </c>
      <c r="AJ241" t="e">
        <f t="shared" si="14"/>
        <v>#N/A</v>
      </c>
      <c r="AK241" t="e">
        <f t="shared" si="15"/>
        <v>#N/A</v>
      </c>
    </row>
    <row r="242" spans="1:37">
      <c r="A242" t="s">
        <v>1266</v>
      </c>
      <c r="B242" t="s">
        <v>1267</v>
      </c>
      <c r="C242" t="s">
        <v>824</v>
      </c>
      <c r="D242" t="s">
        <v>1268</v>
      </c>
      <c r="E242" t="s">
        <v>162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198</v>
      </c>
      <c r="L242" t="s">
        <v>1269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  <c r="V242" s="1" t="s">
        <v>162</v>
      </c>
      <c r="W242" s="1" t="s">
        <v>108</v>
      </c>
      <c r="X242" s="1" t="s">
        <v>62</v>
      </c>
      <c r="Y242" s="1" t="s">
        <v>63</v>
      </c>
      <c r="Z242" s="1" t="s">
        <v>64</v>
      </c>
      <c r="AA242" s="1" t="s">
        <v>30</v>
      </c>
      <c r="AB242" s="1" t="s">
        <v>198</v>
      </c>
      <c r="AC242" s="1" t="s">
        <v>56</v>
      </c>
      <c r="AD242" s="1" t="s">
        <v>34</v>
      </c>
      <c r="AE242" s="1" t="s">
        <v>35</v>
      </c>
      <c r="AF242" s="5">
        <f t="shared" si="12"/>
        <v>45643</v>
      </c>
      <c r="AG242" s="5" t="e">
        <f t="shared" si="12"/>
        <v>#N/A</v>
      </c>
      <c r="AH242" s="5" t="b">
        <f t="shared" si="13"/>
        <v>1</v>
      </c>
      <c r="AI242" s="5" t="b">
        <f t="shared" si="13"/>
        <v>0</v>
      </c>
      <c r="AJ242" t="e">
        <f t="shared" si="14"/>
        <v>#N/A</v>
      </c>
      <c r="AK242" t="e">
        <f t="shared" si="15"/>
        <v>#N/A</v>
      </c>
    </row>
    <row r="243" spans="1:37">
      <c r="A243" t="s">
        <v>1270</v>
      </c>
      <c r="B243" t="s">
        <v>1271</v>
      </c>
      <c r="C243" t="s">
        <v>1272</v>
      </c>
      <c r="D243" t="s">
        <v>1273</v>
      </c>
      <c r="E243" t="s">
        <v>168</v>
      </c>
      <c r="F243" t="s">
        <v>108</v>
      </c>
      <c r="G243" t="s">
        <v>27</v>
      </c>
      <c r="H243" t="s">
        <v>323</v>
      </c>
      <c r="I243" t="s">
        <v>324</v>
      </c>
      <c r="J243" t="s">
        <v>30</v>
      </c>
      <c r="K243" t="s">
        <v>156</v>
      </c>
      <c r="L243" t="s">
        <v>1274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137</v>
      </c>
      <c r="U243" t="s">
        <v>125</v>
      </c>
      <c r="V243" s="1" t="s">
        <v>168</v>
      </c>
      <c r="W243" s="1" t="s">
        <v>108</v>
      </c>
      <c r="X243" s="1" t="s">
        <v>27</v>
      </c>
      <c r="Y243" s="1" t="s">
        <v>323</v>
      </c>
      <c r="Z243" s="1" t="s">
        <v>324</v>
      </c>
      <c r="AA243" s="1" t="s">
        <v>30</v>
      </c>
      <c r="AB243" s="1" t="s">
        <v>156</v>
      </c>
      <c r="AC243" s="1" t="s">
        <v>67</v>
      </c>
      <c r="AD243" s="1" t="s">
        <v>137</v>
      </c>
      <c r="AE243" s="1" t="s">
        <v>125</v>
      </c>
      <c r="AF243" s="5">
        <f t="shared" si="12"/>
        <v>45844</v>
      </c>
      <c r="AG243" s="5">
        <f t="shared" si="12"/>
        <v>45815</v>
      </c>
      <c r="AH243" s="5" t="b">
        <f t="shared" si="13"/>
        <v>1</v>
      </c>
      <c r="AI243" s="5" t="b">
        <f t="shared" si="13"/>
        <v>1</v>
      </c>
      <c r="AJ243" t="str">
        <f t="shared" si="14"/>
        <v>Invalid: Ship before Order</v>
      </c>
      <c r="AK243" t="e">
        <f t="shared" si="15"/>
        <v>#NUM!</v>
      </c>
    </row>
    <row r="244" spans="1:37">
      <c r="A244" t="s">
        <v>1275</v>
      </c>
      <c r="B244" t="s">
        <v>1276</v>
      </c>
      <c r="C244" t="s">
        <v>1277</v>
      </c>
      <c r="D244" t="s">
        <v>1278</v>
      </c>
      <c r="E244" t="s">
        <v>61</v>
      </c>
      <c r="F244" t="s">
        <v>26</v>
      </c>
      <c r="G244" t="s">
        <v>27</v>
      </c>
      <c r="H244" t="s">
        <v>174</v>
      </c>
      <c r="I244" t="s">
        <v>175</v>
      </c>
      <c r="J244" t="s">
        <v>30</v>
      </c>
      <c r="K244" t="s">
        <v>54</v>
      </c>
      <c r="L244" t="s">
        <v>1279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  <c r="V244" s="1" t="s">
        <v>61</v>
      </c>
      <c r="W244" s="1" t="s">
        <v>26</v>
      </c>
      <c r="X244" s="1" t="s">
        <v>27</v>
      </c>
      <c r="Y244" s="1" t="s">
        <v>174</v>
      </c>
      <c r="Z244" s="1" t="s">
        <v>175</v>
      </c>
      <c r="AA244" s="1" t="s">
        <v>30</v>
      </c>
      <c r="AB244" s="1" t="s">
        <v>54</v>
      </c>
      <c r="AC244" s="1" t="s">
        <v>33</v>
      </c>
      <c r="AD244" s="1" t="s">
        <v>34</v>
      </c>
      <c r="AE244" s="1" t="s">
        <v>35</v>
      </c>
      <c r="AF244" s="5">
        <f t="shared" si="12"/>
        <v>45695</v>
      </c>
      <c r="AG244" s="5">
        <f t="shared" si="12"/>
        <v>45695</v>
      </c>
      <c r="AH244" s="5" t="b">
        <f t="shared" si="13"/>
        <v>1</v>
      </c>
      <c r="AI244" s="5" t="b">
        <f t="shared" si="13"/>
        <v>1</v>
      </c>
      <c r="AJ244" t="str">
        <f t="shared" si="14"/>
        <v>OK</v>
      </c>
      <c r="AK244">
        <f t="shared" si="15"/>
        <v>0</v>
      </c>
    </row>
    <row r="245" spans="1:37">
      <c r="A245" t="s">
        <v>1280</v>
      </c>
      <c r="B245" t="s">
        <v>283</v>
      </c>
      <c r="C245" t="s">
        <v>1281</v>
      </c>
      <c r="D245" t="s">
        <v>1282</v>
      </c>
      <c r="E245" t="s">
        <v>168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1283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1026</v>
      </c>
      <c r="V245" s="1" t="s">
        <v>168</v>
      </c>
      <c r="W245" s="1" t="s">
        <v>41</v>
      </c>
      <c r="X245" s="1" t="s">
        <v>4119</v>
      </c>
      <c r="Y245" s="1" t="s">
        <v>84</v>
      </c>
      <c r="Z245" s="1" t="s">
        <v>85</v>
      </c>
      <c r="AA245" s="1" t="s">
        <v>86</v>
      </c>
      <c r="AB245" s="1" t="s">
        <v>87</v>
      </c>
      <c r="AC245" s="1" t="s">
        <v>56</v>
      </c>
      <c r="AD245" s="1" t="s">
        <v>34</v>
      </c>
      <c r="AE245" s="1" t="s">
        <v>35</v>
      </c>
      <c r="AF245" s="5" t="e">
        <f t="shared" si="12"/>
        <v>#N/A</v>
      </c>
      <c r="AG245" s="5">
        <f t="shared" si="12"/>
        <v>45871</v>
      </c>
      <c r="AH245" s="5" t="b">
        <f t="shared" si="13"/>
        <v>0</v>
      </c>
      <c r="AI245" s="5" t="b">
        <f t="shared" si="13"/>
        <v>1</v>
      </c>
      <c r="AJ245" t="e">
        <f t="shared" si="14"/>
        <v>#N/A</v>
      </c>
      <c r="AK245" t="e">
        <f t="shared" si="15"/>
        <v>#N/A</v>
      </c>
    </row>
    <row r="246" spans="1:37">
      <c r="A246" t="s">
        <v>1284</v>
      </c>
      <c r="B246" t="s">
        <v>636</v>
      </c>
      <c r="C246" t="s">
        <v>1285</v>
      </c>
      <c r="D246" t="s">
        <v>1286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204</v>
      </c>
      <c r="L246" t="s">
        <v>1287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  <c r="V246" s="1" t="s">
        <v>93</v>
      </c>
      <c r="W246" s="1" t="s">
        <v>26</v>
      </c>
      <c r="X246" s="1" t="s">
        <v>62</v>
      </c>
      <c r="Y246" s="1" t="s">
        <v>63</v>
      </c>
      <c r="Z246" s="1" t="s">
        <v>64</v>
      </c>
      <c r="AA246" s="1" t="s">
        <v>45</v>
      </c>
      <c r="AB246" s="1" t="s">
        <v>204</v>
      </c>
      <c r="AC246" s="1" t="s">
        <v>48</v>
      </c>
      <c r="AD246" s="1" t="s">
        <v>34</v>
      </c>
      <c r="AE246" s="1" t="s">
        <v>35</v>
      </c>
      <c r="AF246" s="5">
        <f t="shared" si="12"/>
        <v>45527</v>
      </c>
      <c r="AG246" s="5">
        <f t="shared" si="12"/>
        <v>45528</v>
      </c>
      <c r="AH246" s="5" t="b">
        <f t="shared" si="13"/>
        <v>1</v>
      </c>
      <c r="AI246" s="5" t="b">
        <f t="shared" si="13"/>
        <v>1</v>
      </c>
      <c r="AJ246" t="str">
        <f t="shared" si="14"/>
        <v>OK</v>
      </c>
      <c r="AK246">
        <f t="shared" si="15"/>
        <v>1</v>
      </c>
    </row>
    <row r="247" spans="1:37">
      <c r="A247" t="s">
        <v>1288</v>
      </c>
      <c r="B247" t="s">
        <v>644</v>
      </c>
      <c r="C247" t="s">
        <v>872</v>
      </c>
      <c r="D247" t="s">
        <v>1289</v>
      </c>
      <c r="E247" t="s">
        <v>93</v>
      </c>
      <c r="F247" t="s">
        <v>115</v>
      </c>
      <c r="G247" t="s">
        <v>62</v>
      </c>
      <c r="H247" t="s">
        <v>242</v>
      </c>
      <c r="I247" t="s">
        <v>243</v>
      </c>
      <c r="J247" t="s">
        <v>1290</v>
      </c>
      <c r="K247" t="s">
        <v>76</v>
      </c>
      <c r="L247" t="s">
        <v>1291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  <c r="V247" s="1" t="s">
        <v>93</v>
      </c>
      <c r="W247" s="1" t="s">
        <v>115</v>
      </c>
      <c r="X247" s="1" t="s">
        <v>62</v>
      </c>
      <c r="Y247" s="1" t="s">
        <v>242</v>
      </c>
      <c r="Z247" s="1" t="s">
        <v>243</v>
      </c>
      <c r="AA247" s="1" t="s">
        <v>45</v>
      </c>
      <c r="AB247" s="1" t="s">
        <v>76</v>
      </c>
      <c r="AC247" s="1" t="s">
        <v>33</v>
      </c>
      <c r="AD247" s="1" t="s">
        <v>34</v>
      </c>
      <c r="AE247" s="1" t="s">
        <v>35</v>
      </c>
      <c r="AF247" s="5">
        <f t="shared" si="12"/>
        <v>45583</v>
      </c>
      <c r="AG247" s="5" t="e">
        <f t="shared" si="12"/>
        <v>#N/A</v>
      </c>
      <c r="AH247" s="5" t="b">
        <f t="shared" si="13"/>
        <v>1</v>
      </c>
      <c r="AI247" s="5" t="b">
        <f t="shared" si="13"/>
        <v>0</v>
      </c>
      <c r="AJ247" t="e">
        <f t="shared" si="14"/>
        <v>#N/A</v>
      </c>
      <c r="AK247" t="e">
        <f t="shared" si="15"/>
        <v>#N/A</v>
      </c>
    </row>
    <row r="248" spans="1:37">
      <c r="A248" t="s">
        <v>1292</v>
      </c>
      <c r="B248" t="s">
        <v>1293</v>
      </c>
      <c r="C248" t="s">
        <v>1294</v>
      </c>
      <c r="D248" t="s">
        <v>1295</v>
      </c>
      <c r="E248" t="s">
        <v>72</v>
      </c>
      <c r="F248" t="s">
        <v>108</v>
      </c>
      <c r="G248" t="s">
        <v>27</v>
      </c>
      <c r="H248" t="s">
        <v>154</v>
      </c>
      <c r="I248" t="s">
        <v>155</v>
      </c>
      <c r="J248" t="s">
        <v>86</v>
      </c>
      <c r="K248" t="s">
        <v>382</v>
      </c>
      <c r="L248" t="s">
        <v>1296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  <c r="V248" s="1" t="s">
        <v>72</v>
      </c>
      <c r="W248" s="1" t="s">
        <v>108</v>
      </c>
      <c r="X248" s="1" t="s">
        <v>27</v>
      </c>
      <c r="Y248" s="1" t="s">
        <v>154</v>
      </c>
      <c r="Z248" s="1" t="s">
        <v>155</v>
      </c>
      <c r="AA248" s="1" t="s">
        <v>86</v>
      </c>
      <c r="AB248" s="1" t="s">
        <v>382</v>
      </c>
      <c r="AC248" s="1" t="s">
        <v>48</v>
      </c>
      <c r="AD248" s="1" t="s">
        <v>124</v>
      </c>
      <c r="AE248" s="1" t="s">
        <v>78</v>
      </c>
      <c r="AF248" s="5">
        <f t="shared" si="12"/>
        <v>45416</v>
      </c>
      <c r="AG248" s="5">
        <f t="shared" si="12"/>
        <v>45421</v>
      </c>
      <c r="AH248" s="5" t="b">
        <f t="shared" si="13"/>
        <v>1</v>
      </c>
      <c r="AI248" s="5" t="b">
        <f t="shared" si="13"/>
        <v>1</v>
      </c>
      <c r="AJ248" t="str">
        <f t="shared" si="14"/>
        <v>OK</v>
      </c>
      <c r="AK248">
        <f t="shared" si="15"/>
        <v>5</v>
      </c>
    </row>
    <row r="249" spans="1:37">
      <c r="A249" t="s">
        <v>1297</v>
      </c>
      <c r="B249" t="s">
        <v>1298</v>
      </c>
      <c r="C249" t="s">
        <v>1299</v>
      </c>
      <c r="D249" t="s">
        <v>1300</v>
      </c>
      <c r="E249" t="s">
        <v>148</v>
      </c>
      <c r="F249" t="s">
        <v>108</v>
      </c>
      <c r="G249" t="s">
        <v>27</v>
      </c>
      <c r="H249" t="s">
        <v>28</v>
      </c>
      <c r="I249" t="s">
        <v>29</v>
      </c>
      <c r="J249" t="s">
        <v>86</v>
      </c>
      <c r="K249" t="s">
        <v>87</v>
      </c>
      <c r="L249" t="s">
        <v>1301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  <c r="V249" s="1" t="s">
        <v>148</v>
      </c>
      <c r="W249" s="1" t="s">
        <v>108</v>
      </c>
      <c r="X249" s="1" t="s">
        <v>27</v>
      </c>
      <c r="Y249" s="1" t="s">
        <v>28</v>
      </c>
      <c r="Z249" s="1" t="s">
        <v>29</v>
      </c>
      <c r="AA249" s="1" t="s">
        <v>86</v>
      </c>
      <c r="AB249" s="1" t="s">
        <v>87</v>
      </c>
      <c r="AC249" s="1" t="s">
        <v>33</v>
      </c>
      <c r="AD249" s="1" t="s">
        <v>34</v>
      </c>
      <c r="AE249" s="1" t="s">
        <v>35</v>
      </c>
      <c r="AF249" s="5">
        <f t="shared" si="12"/>
        <v>45498</v>
      </c>
      <c r="AG249" s="5">
        <f t="shared" si="12"/>
        <v>45505</v>
      </c>
      <c r="AH249" s="5" t="b">
        <f t="shared" si="13"/>
        <v>1</v>
      </c>
      <c r="AI249" s="5" t="b">
        <f t="shared" si="13"/>
        <v>1</v>
      </c>
      <c r="AJ249" t="str">
        <f t="shared" si="14"/>
        <v>OK</v>
      </c>
      <c r="AK249">
        <f t="shared" si="15"/>
        <v>7</v>
      </c>
    </row>
    <row r="250" spans="1:37">
      <c r="A250" t="s">
        <v>1302</v>
      </c>
      <c r="B250" t="s">
        <v>1303</v>
      </c>
      <c r="C250" t="s">
        <v>578</v>
      </c>
      <c r="D250" t="s">
        <v>1304</v>
      </c>
      <c r="E250" t="s">
        <v>180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1305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  <c r="V250" s="1" t="s">
        <v>180</v>
      </c>
      <c r="W250" s="1" t="s">
        <v>115</v>
      </c>
      <c r="X250" s="1" t="s">
        <v>42</v>
      </c>
      <c r="Y250" s="1" t="s">
        <v>43</v>
      </c>
      <c r="Z250" s="1" t="s">
        <v>44</v>
      </c>
      <c r="AA250" s="1" t="s">
        <v>30</v>
      </c>
      <c r="AB250" s="1" t="s">
        <v>109</v>
      </c>
      <c r="AC250" s="1" t="s">
        <v>33</v>
      </c>
      <c r="AD250" s="1" t="s">
        <v>34</v>
      </c>
      <c r="AE250" s="1" t="s">
        <v>35</v>
      </c>
      <c r="AF250" s="5">
        <f t="shared" si="12"/>
        <v>45445</v>
      </c>
      <c r="AG250" s="5">
        <f t="shared" si="12"/>
        <v>45479</v>
      </c>
      <c r="AH250" s="5" t="b">
        <f t="shared" si="13"/>
        <v>1</v>
      </c>
      <c r="AI250" s="5" t="b">
        <f t="shared" si="13"/>
        <v>1</v>
      </c>
      <c r="AJ250" t="str">
        <f t="shared" si="14"/>
        <v>OK</v>
      </c>
      <c r="AK250">
        <f t="shared" si="15"/>
        <v>34</v>
      </c>
    </row>
    <row r="251" spans="1:37">
      <c r="A251" t="s">
        <v>1306</v>
      </c>
      <c r="B251" t="s">
        <v>820</v>
      </c>
      <c r="C251" t="s">
        <v>1307</v>
      </c>
      <c r="D251" t="s">
        <v>1308</v>
      </c>
      <c r="E251" t="s">
        <v>40</v>
      </c>
      <c r="F251" t="s">
        <v>108</v>
      </c>
      <c r="G251" t="s">
        <v>27</v>
      </c>
      <c r="H251" t="s">
        <v>28</v>
      </c>
      <c r="I251" t="s">
        <v>29</v>
      </c>
      <c r="J251" t="s">
        <v>45</v>
      </c>
      <c r="K251" t="s">
        <v>65</v>
      </c>
      <c r="L251" t="s">
        <v>1309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  <c r="V251" s="1" t="s">
        <v>40</v>
      </c>
      <c r="W251" s="1" t="s">
        <v>108</v>
      </c>
      <c r="X251" s="1" t="s">
        <v>27</v>
      </c>
      <c r="Y251" s="1" t="s">
        <v>28</v>
      </c>
      <c r="Z251" s="1" t="s">
        <v>29</v>
      </c>
      <c r="AA251" s="1" t="s">
        <v>45</v>
      </c>
      <c r="AB251" s="1" t="s">
        <v>65</v>
      </c>
      <c r="AC251" s="1" t="s">
        <v>56</v>
      </c>
      <c r="AD251" s="1" t="s">
        <v>34</v>
      </c>
      <c r="AE251" s="1" t="s">
        <v>35</v>
      </c>
      <c r="AF251" s="5">
        <f t="shared" si="12"/>
        <v>45870</v>
      </c>
      <c r="AG251" s="5">
        <f t="shared" si="12"/>
        <v>45871</v>
      </c>
      <c r="AH251" s="5" t="b">
        <f t="shared" si="13"/>
        <v>1</v>
      </c>
      <c r="AI251" s="5" t="b">
        <f t="shared" si="13"/>
        <v>1</v>
      </c>
      <c r="AJ251" t="str">
        <f t="shared" si="14"/>
        <v>OK</v>
      </c>
      <c r="AK251">
        <f t="shared" si="15"/>
        <v>1</v>
      </c>
    </row>
    <row r="252" spans="1:37">
      <c r="A252" t="s">
        <v>1310</v>
      </c>
      <c r="B252" t="s">
        <v>1311</v>
      </c>
      <c r="C252" t="s">
        <v>1312</v>
      </c>
      <c r="D252" t="s">
        <v>1313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1314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137</v>
      </c>
      <c r="U252" t="s">
        <v>125</v>
      </c>
      <c r="V252" s="1" t="s">
        <v>61</v>
      </c>
      <c r="W252" s="1" t="s">
        <v>41</v>
      </c>
      <c r="X252" s="1" t="s">
        <v>42</v>
      </c>
      <c r="Y252" s="1" t="s">
        <v>121</v>
      </c>
      <c r="Z252" s="1" t="s">
        <v>122</v>
      </c>
      <c r="AA252" s="1" t="s">
        <v>45</v>
      </c>
      <c r="AB252" s="1" t="s">
        <v>65</v>
      </c>
      <c r="AC252" s="1" t="s">
        <v>67</v>
      </c>
      <c r="AD252" s="1" t="s">
        <v>137</v>
      </c>
      <c r="AE252" s="1" t="s">
        <v>125</v>
      </c>
      <c r="AF252" s="5">
        <f t="shared" si="12"/>
        <v>45343</v>
      </c>
      <c r="AG252" s="5">
        <f t="shared" si="12"/>
        <v>45349</v>
      </c>
      <c r="AH252" s="5" t="b">
        <f t="shared" si="13"/>
        <v>1</v>
      </c>
      <c r="AI252" s="5" t="b">
        <f t="shared" si="13"/>
        <v>1</v>
      </c>
      <c r="AJ252" t="str">
        <f t="shared" si="14"/>
        <v>OK</v>
      </c>
      <c r="AK252">
        <f t="shared" si="15"/>
        <v>6</v>
      </c>
    </row>
    <row r="253" spans="1:37">
      <c r="A253" t="s">
        <v>1315</v>
      </c>
      <c r="B253" t="s">
        <v>1316</v>
      </c>
      <c r="C253" t="s">
        <v>90</v>
      </c>
      <c r="D253" t="s">
        <v>1317</v>
      </c>
      <c r="E253" t="s">
        <v>72</v>
      </c>
      <c r="F253" t="s">
        <v>108</v>
      </c>
      <c r="G253" t="s">
        <v>73</v>
      </c>
      <c r="H253" t="s">
        <v>235</v>
      </c>
      <c r="I253" t="s">
        <v>236</v>
      </c>
      <c r="J253" t="s">
        <v>45</v>
      </c>
      <c r="K253" t="s">
        <v>46</v>
      </c>
      <c r="L253" t="s">
        <v>1318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  <c r="V253" s="1" t="s">
        <v>72</v>
      </c>
      <c r="W253" s="1" t="s">
        <v>108</v>
      </c>
      <c r="X253" s="1" t="s">
        <v>73</v>
      </c>
      <c r="Y253" s="1" t="s">
        <v>235</v>
      </c>
      <c r="Z253" s="1" t="s">
        <v>236</v>
      </c>
      <c r="AA253" s="1" t="s">
        <v>45</v>
      </c>
      <c r="AB253" s="1" t="s">
        <v>46</v>
      </c>
      <c r="AC253" s="1" t="s">
        <v>33</v>
      </c>
      <c r="AD253" s="1" t="s">
        <v>34</v>
      </c>
      <c r="AE253" s="1" t="s">
        <v>35</v>
      </c>
      <c r="AF253" s="5">
        <f t="shared" si="12"/>
        <v>45753</v>
      </c>
      <c r="AG253" s="5">
        <f t="shared" si="12"/>
        <v>45757</v>
      </c>
      <c r="AH253" s="5" t="b">
        <f t="shared" si="13"/>
        <v>1</v>
      </c>
      <c r="AI253" s="5" t="b">
        <f t="shared" si="13"/>
        <v>1</v>
      </c>
      <c r="AJ253" t="str">
        <f t="shared" si="14"/>
        <v>OK</v>
      </c>
      <c r="AK253">
        <f t="shared" si="15"/>
        <v>4</v>
      </c>
    </row>
    <row r="254" spans="1:37">
      <c r="A254" t="s">
        <v>1319</v>
      </c>
      <c r="B254" t="s">
        <v>1320</v>
      </c>
      <c r="C254" t="s">
        <v>1215</v>
      </c>
      <c r="D254" t="s">
        <v>1321</v>
      </c>
      <c r="E254" t="s">
        <v>61</v>
      </c>
      <c r="F254" t="s">
        <v>108</v>
      </c>
      <c r="G254" t="s">
        <v>27</v>
      </c>
      <c r="H254" t="s">
        <v>323</v>
      </c>
      <c r="I254" t="s">
        <v>324</v>
      </c>
      <c r="J254" t="s">
        <v>30</v>
      </c>
      <c r="K254" t="s">
        <v>156</v>
      </c>
      <c r="L254" t="s">
        <v>1322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137</v>
      </c>
      <c r="U254" t="s">
        <v>125</v>
      </c>
      <c r="V254" s="1" t="s">
        <v>61</v>
      </c>
      <c r="W254" s="1" t="s">
        <v>108</v>
      </c>
      <c r="X254" s="1" t="s">
        <v>27</v>
      </c>
      <c r="Y254" s="1" t="s">
        <v>323</v>
      </c>
      <c r="Z254" s="1" t="s">
        <v>324</v>
      </c>
      <c r="AA254" s="1" t="s">
        <v>30</v>
      </c>
      <c r="AB254" s="1" t="s">
        <v>156</v>
      </c>
      <c r="AC254" s="1" t="s">
        <v>56</v>
      </c>
      <c r="AD254" s="1" t="s">
        <v>137</v>
      </c>
      <c r="AE254" s="1" t="s">
        <v>125</v>
      </c>
      <c r="AF254" s="5" t="e">
        <f t="shared" si="12"/>
        <v>#N/A</v>
      </c>
      <c r="AG254" s="5">
        <f t="shared" si="12"/>
        <v>45836</v>
      </c>
      <c r="AH254" s="5" t="b">
        <f t="shared" si="13"/>
        <v>0</v>
      </c>
      <c r="AI254" s="5" t="b">
        <f t="shared" si="13"/>
        <v>1</v>
      </c>
      <c r="AJ254" t="e">
        <f t="shared" si="14"/>
        <v>#N/A</v>
      </c>
      <c r="AK254" t="e">
        <f t="shared" si="15"/>
        <v>#N/A</v>
      </c>
    </row>
    <row r="255" spans="1:37">
      <c r="A255" t="s">
        <v>1323</v>
      </c>
      <c r="B255" t="s">
        <v>1324</v>
      </c>
      <c r="C255" t="s">
        <v>1325</v>
      </c>
      <c r="D255" t="s">
        <v>1326</v>
      </c>
      <c r="E255" t="s">
        <v>142</v>
      </c>
      <c r="F255" t="s">
        <v>41</v>
      </c>
      <c r="G255" t="s">
        <v>27</v>
      </c>
      <c r="H255" t="s">
        <v>28</v>
      </c>
      <c r="I255" t="s">
        <v>29</v>
      </c>
      <c r="J255" t="s">
        <v>86</v>
      </c>
      <c r="K255" t="s">
        <v>223</v>
      </c>
      <c r="L255" t="s">
        <v>1327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  <c r="V255" s="1" t="s">
        <v>142</v>
      </c>
      <c r="W255" s="1" t="s">
        <v>41</v>
      </c>
      <c r="X255" s="1" t="s">
        <v>27</v>
      </c>
      <c r="Y255" s="1" t="s">
        <v>28</v>
      </c>
      <c r="Z255" s="1" t="s">
        <v>29</v>
      </c>
      <c r="AA255" s="1" t="s">
        <v>86</v>
      </c>
      <c r="AB255" s="1" t="s">
        <v>223</v>
      </c>
      <c r="AC255" s="1" t="s">
        <v>48</v>
      </c>
      <c r="AD255" s="1" t="s">
        <v>124</v>
      </c>
      <c r="AE255" s="1" t="s">
        <v>78</v>
      </c>
      <c r="AF255" s="5">
        <f t="shared" si="12"/>
        <v>45547</v>
      </c>
      <c r="AG255" s="5">
        <f t="shared" si="12"/>
        <v>45548</v>
      </c>
      <c r="AH255" s="5" t="b">
        <f t="shared" si="13"/>
        <v>1</v>
      </c>
      <c r="AI255" s="5" t="b">
        <f t="shared" si="13"/>
        <v>1</v>
      </c>
      <c r="AJ255" t="str">
        <f t="shared" si="14"/>
        <v>OK</v>
      </c>
      <c r="AK255">
        <f t="shared" si="15"/>
        <v>1</v>
      </c>
    </row>
    <row r="256" spans="1:37">
      <c r="A256" t="s">
        <v>1328</v>
      </c>
      <c r="B256" t="s">
        <v>1329</v>
      </c>
      <c r="C256" t="s">
        <v>1330</v>
      </c>
      <c r="D256" t="s">
        <v>1331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1332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  <c r="V256" s="1" t="s">
        <v>72</v>
      </c>
      <c r="W256" s="1" t="s">
        <v>26</v>
      </c>
      <c r="X256" s="1" t="s">
        <v>73</v>
      </c>
      <c r="Y256" s="1" t="s">
        <v>84</v>
      </c>
      <c r="Z256" s="1" t="s">
        <v>85</v>
      </c>
      <c r="AA256" s="1" t="s">
        <v>86</v>
      </c>
      <c r="AB256" s="1" t="s">
        <v>87</v>
      </c>
      <c r="AC256" s="1" t="s">
        <v>48</v>
      </c>
      <c r="AD256" s="1" t="s">
        <v>34</v>
      </c>
      <c r="AE256" s="1" t="s">
        <v>125</v>
      </c>
      <c r="AF256" s="5">
        <f t="shared" si="12"/>
        <v>45658</v>
      </c>
      <c r="AG256" s="5">
        <f t="shared" si="12"/>
        <v>45717</v>
      </c>
      <c r="AH256" s="5" t="b">
        <f t="shared" si="13"/>
        <v>1</v>
      </c>
      <c r="AI256" s="5" t="b">
        <f t="shared" si="13"/>
        <v>1</v>
      </c>
      <c r="AJ256" t="str">
        <f t="shared" si="14"/>
        <v>OK</v>
      </c>
      <c r="AK256">
        <f t="shared" si="15"/>
        <v>59</v>
      </c>
    </row>
    <row r="257" spans="1:37">
      <c r="A257" t="s">
        <v>1333</v>
      </c>
      <c r="B257" t="s">
        <v>1334</v>
      </c>
      <c r="C257" t="s">
        <v>1335</v>
      </c>
      <c r="D257" t="s">
        <v>1336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223</v>
      </c>
      <c r="L257" t="s">
        <v>1337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  <c r="V257" s="1" t="s">
        <v>53</v>
      </c>
      <c r="W257" s="1" t="s">
        <v>108</v>
      </c>
      <c r="X257" s="1" t="s">
        <v>73</v>
      </c>
      <c r="Y257" s="1" t="s">
        <v>74</v>
      </c>
      <c r="Z257" s="1" t="s">
        <v>75</v>
      </c>
      <c r="AA257" s="1" t="s">
        <v>86</v>
      </c>
      <c r="AB257" s="1" t="s">
        <v>223</v>
      </c>
      <c r="AC257" s="1" t="s">
        <v>56</v>
      </c>
      <c r="AD257" s="1" t="s">
        <v>34</v>
      </c>
      <c r="AE257" s="1" t="s">
        <v>35</v>
      </c>
      <c r="AF257" s="5">
        <f t="shared" si="12"/>
        <v>45692</v>
      </c>
      <c r="AG257" s="5">
        <f t="shared" si="12"/>
        <v>45698</v>
      </c>
      <c r="AH257" s="5" t="b">
        <f t="shared" si="13"/>
        <v>1</v>
      </c>
      <c r="AI257" s="5" t="b">
        <f t="shared" si="13"/>
        <v>1</v>
      </c>
      <c r="AJ257" t="str">
        <f t="shared" si="14"/>
        <v>OK</v>
      </c>
      <c r="AK257">
        <f t="shared" si="15"/>
        <v>6</v>
      </c>
    </row>
    <row r="258" spans="1:37">
      <c r="A258" t="s">
        <v>1338</v>
      </c>
      <c r="B258" t="s">
        <v>1339</v>
      </c>
      <c r="C258" t="s">
        <v>483</v>
      </c>
      <c r="D258" t="s">
        <v>1340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1341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  <c r="V258" s="1" t="s">
        <v>72</v>
      </c>
      <c r="W258" s="1" t="s">
        <v>26</v>
      </c>
      <c r="X258" s="1" t="s">
        <v>42</v>
      </c>
      <c r="Y258" s="1" t="s">
        <v>121</v>
      </c>
      <c r="Z258" s="1" t="s">
        <v>122</v>
      </c>
      <c r="AA258" s="1" t="s">
        <v>45</v>
      </c>
      <c r="AB258" s="1" t="s">
        <v>46</v>
      </c>
      <c r="AC258" s="1" t="s">
        <v>56</v>
      </c>
      <c r="AD258" s="1" t="s">
        <v>34</v>
      </c>
      <c r="AE258" s="1" t="s">
        <v>35</v>
      </c>
      <c r="AF258" s="5">
        <f t="shared" si="12"/>
        <v>45601</v>
      </c>
      <c r="AG258" s="5">
        <f t="shared" si="12"/>
        <v>45599</v>
      </c>
      <c r="AH258" s="5" t="b">
        <f t="shared" si="13"/>
        <v>1</v>
      </c>
      <c r="AI258" s="5" t="b">
        <f t="shared" si="13"/>
        <v>1</v>
      </c>
      <c r="AJ258" t="str">
        <f t="shared" si="14"/>
        <v>Invalid: Ship before Order</v>
      </c>
      <c r="AK258" t="e">
        <f t="shared" si="15"/>
        <v>#NUM!</v>
      </c>
    </row>
    <row r="259" spans="1:37">
      <c r="A259" t="s">
        <v>1342</v>
      </c>
      <c r="B259" t="s">
        <v>1343</v>
      </c>
      <c r="C259" t="s">
        <v>1344</v>
      </c>
      <c r="D259" t="s">
        <v>1345</v>
      </c>
      <c r="E259" t="s">
        <v>210</v>
      </c>
      <c r="F259" t="s">
        <v>108</v>
      </c>
      <c r="G259" t="s">
        <v>62</v>
      </c>
      <c r="H259" t="s">
        <v>229</v>
      </c>
      <c r="I259" t="s">
        <v>230</v>
      </c>
      <c r="J259" t="s">
        <v>86</v>
      </c>
      <c r="K259" t="s">
        <v>87</v>
      </c>
      <c r="L259" t="s">
        <v>1346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  <c r="V259" s="1" t="s">
        <v>210</v>
      </c>
      <c r="W259" s="1" t="s">
        <v>108</v>
      </c>
      <c r="X259" s="1" t="s">
        <v>62</v>
      </c>
      <c r="Y259" s="1" t="s">
        <v>229</v>
      </c>
      <c r="Z259" s="1" t="s">
        <v>230</v>
      </c>
      <c r="AA259" s="1" t="s">
        <v>86</v>
      </c>
      <c r="AB259" s="1" t="s">
        <v>87</v>
      </c>
      <c r="AC259" s="1" t="s">
        <v>33</v>
      </c>
      <c r="AD259" s="1" t="s">
        <v>34</v>
      </c>
      <c r="AE259" s="1" t="s">
        <v>78</v>
      </c>
      <c r="AF259" s="5">
        <f t="shared" ref="AF259:AG322" si="16">IFERROR(DATEVALUE(B259),IFERROR(DATE(VALUE(RIGHT(B259,4)),VALUE(MID(SUBSTITUTE(B259,"-","/"),6,2)),VALUE(LEFT(B259,2))),NA()))</f>
        <v>45878</v>
      </c>
      <c r="AG259" s="5">
        <f t="shared" si="16"/>
        <v>45881</v>
      </c>
      <c r="AH259" s="5" t="b">
        <f t="shared" ref="AH259:AI322" si="17">ISNUMBER(AF259)</f>
        <v>1</v>
      </c>
      <c r="AI259" s="5" t="b">
        <f t="shared" si="17"/>
        <v>1</v>
      </c>
      <c r="AJ259" t="str">
        <f t="shared" ref="AJ259:AJ322" si="18">IF(AG259&lt;AF259,"Invalid: Ship before Order","OK")</f>
        <v>OK</v>
      </c>
      <c r="AK259">
        <f t="shared" ref="AK259:AK322" si="19">DATEDIF(AF259, AG259, "D")</f>
        <v>3</v>
      </c>
    </row>
    <row r="260" spans="1:37">
      <c r="A260" t="s">
        <v>1347</v>
      </c>
      <c r="B260" t="s">
        <v>825</v>
      </c>
      <c r="C260" t="s">
        <v>1348</v>
      </c>
      <c r="D260" t="s">
        <v>1349</v>
      </c>
      <c r="E260" t="s">
        <v>168</v>
      </c>
      <c r="F260" t="s">
        <v>108</v>
      </c>
      <c r="G260" t="s">
        <v>62</v>
      </c>
      <c r="H260" t="s">
        <v>339</v>
      </c>
      <c r="I260" t="s">
        <v>340</v>
      </c>
      <c r="J260" t="s">
        <v>45</v>
      </c>
      <c r="K260" t="s">
        <v>46</v>
      </c>
      <c r="L260" t="s">
        <v>1350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  <c r="V260" s="1" t="s">
        <v>168</v>
      </c>
      <c r="W260" s="1" t="s">
        <v>108</v>
      </c>
      <c r="X260" s="1" t="s">
        <v>62</v>
      </c>
      <c r="Y260" s="1" t="s">
        <v>339</v>
      </c>
      <c r="Z260" s="1" t="s">
        <v>340</v>
      </c>
      <c r="AA260" s="1" t="s">
        <v>45</v>
      </c>
      <c r="AB260" s="1" t="s">
        <v>46</v>
      </c>
      <c r="AC260" s="1" t="s">
        <v>48</v>
      </c>
      <c r="AD260" s="1" t="s">
        <v>34</v>
      </c>
      <c r="AE260" s="1" t="s">
        <v>35</v>
      </c>
      <c r="AF260" s="5">
        <f t="shared" si="16"/>
        <v>45656</v>
      </c>
      <c r="AG260" s="5">
        <f t="shared" si="16"/>
        <v>45661</v>
      </c>
      <c r="AH260" s="5" t="b">
        <f t="shared" si="17"/>
        <v>1</v>
      </c>
      <c r="AI260" s="5" t="b">
        <f t="shared" si="17"/>
        <v>1</v>
      </c>
      <c r="AJ260" t="str">
        <f t="shared" si="18"/>
        <v>OK</v>
      </c>
      <c r="AK260">
        <f t="shared" si="19"/>
        <v>5</v>
      </c>
    </row>
    <row r="261" spans="1:37">
      <c r="A261" t="s">
        <v>1351</v>
      </c>
      <c r="B261" t="s">
        <v>1352</v>
      </c>
      <c r="C261" t="s">
        <v>1353</v>
      </c>
      <c r="D261" t="s">
        <v>1354</v>
      </c>
      <c r="E261" t="s">
        <v>93</v>
      </c>
      <c r="F261" t="s">
        <v>26</v>
      </c>
      <c r="G261" t="s">
        <v>62</v>
      </c>
      <c r="H261" t="s">
        <v>339</v>
      </c>
      <c r="I261" t="s">
        <v>340</v>
      </c>
      <c r="J261" t="s">
        <v>86</v>
      </c>
      <c r="K261" t="s">
        <v>382</v>
      </c>
      <c r="L261" t="s">
        <v>1355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  <c r="V261" s="1" t="s">
        <v>93</v>
      </c>
      <c r="W261" s="1" t="s">
        <v>26</v>
      </c>
      <c r="X261" s="1" t="s">
        <v>62</v>
      </c>
      <c r="Y261" s="1" t="s">
        <v>339</v>
      </c>
      <c r="Z261" s="1" t="s">
        <v>340</v>
      </c>
      <c r="AA261" s="1" t="s">
        <v>86</v>
      </c>
      <c r="AB261" s="1" t="s">
        <v>382</v>
      </c>
      <c r="AC261" s="1" t="s">
        <v>67</v>
      </c>
      <c r="AD261" s="1" t="s">
        <v>34</v>
      </c>
      <c r="AE261" s="1" t="s">
        <v>35</v>
      </c>
      <c r="AF261" s="5">
        <f t="shared" si="16"/>
        <v>45464</v>
      </c>
      <c r="AG261" s="5">
        <f t="shared" si="16"/>
        <v>45472</v>
      </c>
      <c r="AH261" s="5" t="b">
        <f t="shared" si="17"/>
        <v>1</v>
      </c>
      <c r="AI261" s="5" t="b">
        <f t="shared" si="17"/>
        <v>1</v>
      </c>
      <c r="AJ261" t="str">
        <f t="shared" si="18"/>
        <v>OK</v>
      </c>
      <c r="AK261">
        <f t="shared" si="19"/>
        <v>8</v>
      </c>
    </row>
    <row r="262" spans="1:37">
      <c r="A262" t="s">
        <v>1356</v>
      </c>
      <c r="B262" t="s">
        <v>1357</v>
      </c>
      <c r="C262" t="s">
        <v>1358</v>
      </c>
      <c r="D262" t="s">
        <v>1359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198</v>
      </c>
      <c r="L262" t="s">
        <v>1360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200</v>
      </c>
      <c r="U262" t="s">
        <v>125</v>
      </c>
      <c r="V262" s="1" t="s">
        <v>107</v>
      </c>
      <c r="W262" s="1" t="s">
        <v>108</v>
      </c>
      <c r="X262" s="1" t="s">
        <v>42</v>
      </c>
      <c r="Y262" s="1" t="s">
        <v>121</v>
      </c>
      <c r="Z262" s="1" t="s">
        <v>122</v>
      </c>
      <c r="AA262" s="1" t="s">
        <v>30</v>
      </c>
      <c r="AB262" s="1" t="s">
        <v>198</v>
      </c>
      <c r="AC262" s="1" t="s">
        <v>48</v>
      </c>
      <c r="AD262" s="1" t="s">
        <v>200</v>
      </c>
      <c r="AE262" s="1" t="s">
        <v>125</v>
      </c>
      <c r="AF262" s="5">
        <f t="shared" si="16"/>
        <v>45923</v>
      </c>
      <c r="AG262" s="5">
        <f t="shared" si="16"/>
        <v>45927</v>
      </c>
      <c r="AH262" s="5" t="b">
        <f t="shared" si="17"/>
        <v>1</v>
      </c>
      <c r="AI262" s="5" t="b">
        <f t="shared" si="17"/>
        <v>1</v>
      </c>
      <c r="AJ262" t="str">
        <f t="shared" si="18"/>
        <v>OK</v>
      </c>
      <c r="AK262">
        <f t="shared" si="19"/>
        <v>4</v>
      </c>
    </row>
    <row r="263" spans="1:37">
      <c r="A263" t="s">
        <v>1361</v>
      </c>
      <c r="B263" t="s">
        <v>1362</v>
      </c>
      <c r="C263" t="s">
        <v>1363</v>
      </c>
      <c r="D263" t="s">
        <v>1364</v>
      </c>
      <c r="E263" t="s">
        <v>168</v>
      </c>
      <c r="F263" t="s">
        <v>108</v>
      </c>
      <c r="G263" t="s">
        <v>27</v>
      </c>
      <c r="H263" t="s">
        <v>28</v>
      </c>
      <c r="I263" t="s">
        <v>29</v>
      </c>
      <c r="J263" t="s">
        <v>30</v>
      </c>
      <c r="K263" t="s">
        <v>109</v>
      </c>
      <c r="L263" t="s">
        <v>1365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200</v>
      </c>
      <c r="U263" t="s">
        <v>78</v>
      </c>
      <c r="V263" s="1" t="s">
        <v>168</v>
      </c>
      <c r="W263" s="1" t="s">
        <v>108</v>
      </c>
      <c r="X263" s="1" t="s">
        <v>27</v>
      </c>
      <c r="Y263" s="1" t="s">
        <v>28</v>
      </c>
      <c r="Z263" s="1" t="s">
        <v>29</v>
      </c>
      <c r="AA263" s="1" t="s">
        <v>30</v>
      </c>
      <c r="AB263" s="1" t="s">
        <v>109</v>
      </c>
      <c r="AC263" s="1" t="s">
        <v>67</v>
      </c>
      <c r="AD263" s="1" t="s">
        <v>200</v>
      </c>
      <c r="AE263" s="1" t="s">
        <v>78</v>
      </c>
      <c r="AF263" s="5">
        <f t="shared" si="16"/>
        <v>45826</v>
      </c>
      <c r="AG263" s="5">
        <f t="shared" si="16"/>
        <v>45832</v>
      </c>
      <c r="AH263" s="5" t="b">
        <f t="shared" si="17"/>
        <v>1</v>
      </c>
      <c r="AI263" s="5" t="b">
        <f t="shared" si="17"/>
        <v>1</v>
      </c>
      <c r="AJ263" t="str">
        <f t="shared" si="18"/>
        <v>OK</v>
      </c>
      <c r="AK263">
        <f t="shared" si="19"/>
        <v>6</v>
      </c>
    </row>
    <row r="264" spans="1:37">
      <c r="A264" t="s">
        <v>1366</v>
      </c>
      <c r="B264" t="s">
        <v>1367</v>
      </c>
      <c r="C264" t="s">
        <v>1368</v>
      </c>
      <c r="D264" t="s">
        <v>950</v>
      </c>
      <c r="E264" t="s">
        <v>61</v>
      </c>
      <c r="F264" t="s">
        <v>41</v>
      </c>
      <c r="G264" t="s">
        <v>27</v>
      </c>
      <c r="H264" t="s">
        <v>506</v>
      </c>
      <c r="I264" t="s">
        <v>507</v>
      </c>
      <c r="J264" t="s">
        <v>86</v>
      </c>
      <c r="K264" t="s">
        <v>223</v>
      </c>
      <c r="L264" t="s">
        <v>1369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137</v>
      </c>
      <c r="U264" t="s">
        <v>125</v>
      </c>
      <c r="V264" s="1" t="s">
        <v>61</v>
      </c>
      <c r="W264" s="1" t="s">
        <v>41</v>
      </c>
      <c r="X264" s="1" t="s">
        <v>27</v>
      </c>
      <c r="Y264" s="1" t="s">
        <v>506</v>
      </c>
      <c r="Z264" s="1" t="s">
        <v>507</v>
      </c>
      <c r="AA264" s="1" t="s">
        <v>86</v>
      </c>
      <c r="AB264" s="1" t="s">
        <v>223</v>
      </c>
      <c r="AC264" s="1" t="s">
        <v>48</v>
      </c>
      <c r="AD264" s="1" t="s">
        <v>137</v>
      </c>
      <c r="AE264" s="1" t="s">
        <v>125</v>
      </c>
      <c r="AF264" s="5">
        <f t="shared" si="16"/>
        <v>45803</v>
      </c>
      <c r="AG264" s="5">
        <f t="shared" si="16"/>
        <v>45809</v>
      </c>
      <c r="AH264" s="5" t="b">
        <f t="shared" si="17"/>
        <v>1</v>
      </c>
      <c r="AI264" s="5" t="b">
        <f t="shared" si="17"/>
        <v>1</v>
      </c>
      <c r="AJ264" t="str">
        <f t="shared" si="18"/>
        <v>OK</v>
      </c>
      <c r="AK264">
        <f t="shared" si="19"/>
        <v>6</v>
      </c>
    </row>
    <row r="265" spans="1:37">
      <c r="A265" t="s">
        <v>1370</v>
      </c>
      <c r="B265" t="s">
        <v>1371</v>
      </c>
      <c r="C265" t="s">
        <v>944</v>
      </c>
      <c r="D265" t="s">
        <v>1372</v>
      </c>
      <c r="E265" t="s">
        <v>180</v>
      </c>
      <c r="F265" t="s">
        <v>41</v>
      </c>
      <c r="G265" t="s">
        <v>27</v>
      </c>
      <c r="H265" t="s">
        <v>506</v>
      </c>
      <c r="I265" t="s">
        <v>507</v>
      </c>
      <c r="J265" t="s">
        <v>30</v>
      </c>
      <c r="K265" t="s">
        <v>198</v>
      </c>
      <c r="L265" t="s">
        <v>1373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137</v>
      </c>
      <c r="U265" t="s">
        <v>125</v>
      </c>
      <c r="V265" s="1" t="s">
        <v>180</v>
      </c>
      <c r="W265" s="1" t="s">
        <v>41</v>
      </c>
      <c r="X265" s="1" t="s">
        <v>27</v>
      </c>
      <c r="Y265" s="1" t="s">
        <v>506</v>
      </c>
      <c r="Z265" s="1" t="s">
        <v>507</v>
      </c>
      <c r="AA265" s="1" t="s">
        <v>30</v>
      </c>
      <c r="AB265" s="1" t="s">
        <v>198</v>
      </c>
      <c r="AC265" s="1" t="s">
        <v>33</v>
      </c>
      <c r="AD265" s="1" t="s">
        <v>137</v>
      </c>
      <c r="AE265" s="1" t="s">
        <v>125</v>
      </c>
      <c r="AF265" s="5">
        <f t="shared" si="16"/>
        <v>45875</v>
      </c>
      <c r="AG265" s="5">
        <f t="shared" si="16"/>
        <v>45938</v>
      </c>
      <c r="AH265" s="5" t="b">
        <f t="shared" si="17"/>
        <v>1</v>
      </c>
      <c r="AI265" s="5" t="b">
        <f t="shared" si="17"/>
        <v>1</v>
      </c>
      <c r="AJ265" t="str">
        <f t="shared" si="18"/>
        <v>OK</v>
      </c>
      <c r="AK265">
        <f t="shared" si="19"/>
        <v>63</v>
      </c>
    </row>
    <row r="266" spans="1:37">
      <c r="A266" t="s">
        <v>1374</v>
      </c>
      <c r="B266" t="s">
        <v>1375</v>
      </c>
      <c r="C266" t="s">
        <v>1376</v>
      </c>
      <c r="D266" t="s">
        <v>1377</v>
      </c>
      <c r="E266" t="s">
        <v>210</v>
      </c>
      <c r="F266" t="s">
        <v>41</v>
      </c>
      <c r="G266" t="s">
        <v>42</v>
      </c>
      <c r="H266" t="s">
        <v>186</v>
      </c>
      <c r="I266" t="s">
        <v>187</v>
      </c>
      <c r="J266" t="s">
        <v>86</v>
      </c>
      <c r="K266" t="s">
        <v>94</v>
      </c>
      <c r="L266" t="s">
        <v>1378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  <c r="V266" s="1" t="s">
        <v>210</v>
      </c>
      <c r="W266" s="1" t="s">
        <v>41</v>
      </c>
      <c r="X266" s="1" t="s">
        <v>42</v>
      </c>
      <c r="Y266" s="1" t="s">
        <v>186</v>
      </c>
      <c r="Z266" s="1" t="s">
        <v>187</v>
      </c>
      <c r="AA266" s="1" t="s">
        <v>86</v>
      </c>
      <c r="AB266" s="1" t="s">
        <v>94</v>
      </c>
      <c r="AC266" s="1" t="s">
        <v>67</v>
      </c>
      <c r="AD266" s="1" t="s">
        <v>34</v>
      </c>
      <c r="AE266" s="1" t="s">
        <v>35</v>
      </c>
      <c r="AF266" s="5" t="e">
        <f t="shared" si="16"/>
        <v>#N/A</v>
      </c>
      <c r="AG266" s="5">
        <f t="shared" si="16"/>
        <v>45433</v>
      </c>
      <c r="AH266" s="5" t="b">
        <f t="shared" si="17"/>
        <v>0</v>
      </c>
      <c r="AI266" s="5" t="b">
        <f t="shared" si="17"/>
        <v>1</v>
      </c>
      <c r="AJ266" t="e">
        <f t="shared" si="18"/>
        <v>#N/A</v>
      </c>
      <c r="AK266" t="e">
        <f t="shared" si="19"/>
        <v>#N/A</v>
      </c>
    </row>
    <row r="267" spans="1:37">
      <c r="A267" t="s">
        <v>1379</v>
      </c>
      <c r="B267" t="s">
        <v>1380</v>
      </c>
      <c r="C267" t="s">
        <v>911</v>
      </c>
      <c r="D267" t="s">
        <v>1381</v>
      </c>
      <c r="E267" t="s">
        <v>142</v>
      </c>
      <c r="F267" t="s">
        <v>108</v>
      </c>
      <c r="G267" t="s">
        <v>42</v>
      </c>
      <c r="H267" t="s">
        <v>186</v>
      </c>
      <c r="I267" t="s">
        <v>187</v>
      </c>
      <c r="J267" t="s">
        <v>45</v>
      </c>
      <c r="K267" t="s">
        <v>204</v>
      </c>
      <c r="L267" t="s">
        <v>1382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78</v>
      </c>
      <c r="V267" s="1" t="s">
        <v>142</v>
      </c>
      <c r="W267" s="1" t="s">
        <v>108</v>
      </c>
      <c r="X267" s="1" t="s">
        <v>42</v>
      </c>
      <c r="Y267" s="1" t="s">
        <v>186</v>
      </c>
      <c r="Z267" s="1" t="s">
        <v>187</v>
      </c>
      <c r="AA267" s="1" t="s">
        <v>45</v>
      </c>
      <c r="AB267" s="1" t="s">
        <v>204</v>
      </c>
      <c r="AC267" s="1" t="s">
        <v>48</v>
      </c>
      <c r="AD267" s="1" t="s">
        <v>124</v>
      </c>
      <c r="AE267" s="1" t="s">
        <v>78</v>
      </c>
      <c r="AF267" s="5">
        <f t="shared" si="16"/>
        <v>45610</v>
      </c>
      <c r="AG267" s="5">
        <f t="shared" si="16"/>
        <v>45618</v>
      </c>
      <c r="AH267" s="5" t="b">
        <f t="shared" si="17"/>
        <v>1</v>
      </c>
      <c r="AI267" s="5" t="b">
        <f t="shared" si="17"/>
        <v>1</v>
      </c>
      <c r="AJ267" t="str">
        <f t="shared" si="18"/>
        <v>OK</v>
      </c>
      <c r="AK267">
        <f t="shared" si="19"/>
        <v>8</v>
      </c>
    </row>
    <row r="268" spans="1:37">
      <c r="A268" t="s">
        <v>1383</v>
      </c>
      <c r="B268" t="s">
        <v>1384</v>
      </c>
      <c r="C268" t="s">
        <v>1385</v>
      </c>
      <c r="D268" t="s">
        <v>1386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156</v>
      </c>
      <c r="L268" t="s">
        <v>1387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  <c r="V268" s="1" t="s">
        <v>93</v>
      </c>
      <c r="W268" s="1" t="s">
        <v>115</v>
      </c>
      <c r="X268" s="1" t="s">
        <v>73</v>
      </c>
      <c r="Y268" s="1" t="s">
        <v>74</v>
      </c>
      <c r="Z268" s="1" t="s">
        <v>75</v>
      </c>
      <c r="AA268" s="1" t="s">
        <v>30</v>
      </c>
      <c r="AB268" s="1" t="s">
        <v>156</v>
      </c>
      <c r="AC268" s="1" t="s">
        <v>33</v>
      </c>
      <c r="AD268" s="1" t="s">
        <v>34</v>
      </c>
      <c r="AE268" s="1" t="s">
        <v>35</v>
      </c>
      <c r="AF268" s="5">
        <f t="shared" si="16"/>
        <v>45780</v>
      </c>
      <c r="AG268" s="5">
        <f t="shared" si="16"/>
        <v>45787</v>
      </c>
      <c r="AH268" s="5" t="b">
        <f t="shared" si="17"/>
        <v>1</v>
      </c>
      <c r="AI268" s="5" t="b">
        <f t="shared" si="17"/>
        <v>1</v>
      </c>
      <c r="AJ268" t="str">
        <f t="shared" si="18"/>
        <v>OK</v>
      </c>
      <c r="AK268">
        <f t="shared" si="19"/>
        <v>7</v>
      </c>
    </row>
    <row r="269" spans="1:37">
      <c r="A269" t="s">
        <v>1388</v>
      </c>
      <c r="B269" t="s">
        <v>1018</v>
      </c>
      <c r="C269" t="s">
        <v>1389</v>
      </c>
      <c r="D269" t="s">
        <v>1390</v>
      </c>
      <c r="E269" t="s">
        <v>210</v>
      </c>
      <c r="F269" t="s">
        <v>108</v>
      </c>
      <c r="G269" t="s">
        <v>42</v>
      </c>
      <c r="H269" t="s">
        <v>311</v>
      </c>
      <c r="I269" t="s">
        <v>312</v>
      </c>
      <c r="J269" t="s">
        <v>45</v>
      </c>
      <c r="K269" t="s">
        <v>65</v>
      </c>
      <c r="L269" t="s">
        <v>1391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  <c r="V269" s="1" t="s">
        <v>210</v>
      </c>
      <c r="W269" s="1" t="s">
        <v>108</v>
      </c>
      <c r="X269" s="1" t="s">
        <v>42</v>
      </c>
      <c r="Y269" s="1" t="s">
        <v>311</v>
      </c>
      <c r="Z269" s="1" t="s">
        <v>312</v>
      </c>
      <c r="AA269" s="1" t="s">
        <v>45</v>
      </c>
      <c r="AB269" s="1" t="s">
        <v>65</v>
      </c>
      <c r="AC269" s="1" t="s">
        <v>56</v>
      </c>
      <c r="AD269" s="1" t="s">
        <v>34</v>
      </c>
      <c r="AE269" s="1" t="s">
        <v>35</v>
      </c>
      <c r="AF269" s="5">
        <f t="shared" si="16"/>
        <v>45805</v>
      </c>
      <c r="AG269" s="5">
        <f t="shared" si="16"/>
        <v>45753</v>
      </c>
      <c r="AH269" s="5" t="b">
        <f t="shared" si="17"/>
        <v>1</v>
      </c>
      <c r="AI269" s="5" t="b">
        <f t="shared" si="17"/>
        <v>1</v>
      </c>
      <c r="AJ269" t="str">
        <f t="shared" si="18"/>
        <v>Invalid: Ship before Order</v>
      </c>
      <c r="AK269" t="e">
        <f t="shared" si="19"/>
        <v>#NUM!</v>
      </c>
    </row>
    <row r="270" spans="1:37">
      <c r="A270" t="s">
        <v>1392</v>
      </c>
      <c r="B270" t="s">
        <v>1393</v>
      </c>
      <c r="C270" t="s">
        <v>1393</v>
      </c>
      <c r="D270" t="s">
        <v>1394</v>
      </c>
      <c r="E270" t="s">
        <v>162</v>
      </c>
      <c r="F270" t="s">
        <v>115</v>
      </c>
      <c r="G270" t="s">
        <v>27</v>
      </c>
      <c r="H270" t="s">
        <v>154</v>
      </c>
      <c r="I270" t="s">
        <v>155</v>
      </c>
      <c r="J270" t="s">
        <v>86</v>
      </c>
      <c r="K270" t="s">
        <v>87</v>
      </c>
      <c r="L270" t="s">
        <v>1395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  <c r="V270" s="1" t="s">
        <v>162</v>
      </c>
      <c r="W270" s="1" t="s">
        <v>115</v>
      </c>
      <c r="X270" s="1" t="s">
        <v>27</v>
      </c>
      <c r="Y270" s="1" t="s">
        <v>154</v>
      </c>
      <c r="Z270" s="1" t="s">
        <v>155</v>
      </c>
      <c r="AA270" s="1" t="s">
        <v>86</v>
      </c>
      <c r="AB270" s="1" t="s">
        <v>87</v>
      </c>
      <c r="AC270" s="1" t="s">
        <v>56</v>
      </c>
      <c r="AD270" s="1" t="s">
        <v>34</v>
      </c>
      <c r="AE270" s="1" t="s">
        <v>35</v>
      </c>
      <c r="AF270" s="5">
        <f t="shared" si="16"/>
        <v>45886</v>
      </c>
      <c r="AG270" s="5">
        <f t="shared" si="16"/>
        <v>45886</v>
      </c>
      <c r="AH270" s="5" t="b">
        <f t="shared" si="17"/>
        <v>1</v>
      </c>
      <c r="AI270" s="5" t="b">
        <f t="shared" si="17"/>
        <v>1</v>
      </c>
      <c r="AJ270" t="str">
        <f t="shared" si="18"/>
        <v>OK</v>
      </c>
      <c r="AK270">
        <f t="shared" si="19"/>
        <v>0</v>
      </c>
    </row>
    <row r="271" spans="1:37">
      <c r="A271" t="s">
        <v>1396</v>
      </c>
      <c r="B271" t="s">
        <v>1335</v>
      </c>
      <c r="C271" t="s">
        <v>1397</v>
      </c>
      <c r="D271" t="s">
        <v>1398</v>
      </c>
      <c r="E271" t="s">
        <v>148</v>
      </c>
      <c r="F271" t="s">
        <v>41</v>
      </c>
      <c r="G271" t="s">
        <v>73</v>
      </c>
      <c r="H271" t="s">
        <v>28</v>
      </c>
      <c r="I271" t="s">
        <v>135</v>
      </c>
      <c r="J271" t="s">
        <v>45</v>
      </c>
      <c r="K271" t="s">
        <v>46</v>
      </c>
      <c r="L271" t="s">
        <v>1399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  <c r="V271" s="1" t="s">
        <v>148</v>
      </c>
      <c r="W271" s="1" t="s">
        <v>41</v>
      </c>
      <c r="X271" s="1" t="s">
        <v>73</v>
      </c>
      <c r="Y271" s="1" t="s">
        <v>28</v>
      </c>
      <c r="Z271" s="1" t="s">
        <v>135</v>
      </c>
      <c r="AA271" s="1" t="s">
        <v>45</v>
      </c>
      <c r="AB271" s="1" t="s">
        <v>46</v>
      </c>
      <c r="AC271" s="1" t="s">
        <v>48</v>
      </c>
      <c r="AD271" s="1" t="s">
        <v>34</v>
      </c>
      <c r="AE271" s="1" t="s">
        <v>35</v>
      </c>
      <c r="AF271" s="5">
        <f t="shared" si="16"/>
        <v>45698</v>
      </c>
      <c r="AG271" s="5">
        <f t="shared" si="16"/>
        <v>45700</v>
      </c>
      <c r="AH271" s="5" t="b">
        <f t="shared" si="17"/>
        <v>1</v>
      </c>
      <c r="AI271" s="5" t="b">
        <f t="shared" si="17"/>
        <v>1</v>
      </c>
      <c r="AJ271" t="str">
        <f t="shared" si="18"/>
        <v>OK</v>
      </c>
      <c r="AK271">
        <f t="shared" si="19"/>
        <v>2</v>
      </c>
    </row>
    <row r="272" spans="1:37">
      <c r="A272" t="s">
        <v>1400</v>
      </c>
      <c r="B272" t="s">
        <v>1258</v>
      </c>
      <c r="C272" t="s">
        <v>563</v>
      </c>
      <c r="D272" t="s">
        <v>1401</v>
      </c>
      <c r="E272" t="s">
        <v>107</v>
      </c>
      <c r="F272" t="s">
        <v>108</v>
      </c>
      <c r="G272" t="s">
        <v>27</v>
      </c>
      <c r="H272" t="s">
        <v>174</v>
      </c>
      <c r="I272" t="s">
        <v>175</v>
      </c>
      <c r="J272" t="s">
        <v>86</v>
      </c>
      <c r="K272" t="s">
        <v>382</v>
      </c>
      <c r="L272" t="s">
        <v>1402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  <c r="V272" s="1" t="s">
        <v>107</v>
      </c>
      <c r="W272" s="1" t="s">
        <v>108</v>
      </c>
      <c r="X272" s="1" t="s">
        <v>27</v>
      </c>
      <c r="Y272" s="1" t="s">
        <v>174</v>
      </c>
      <c r="Z272" s="1" t="s">
        <v>175</v>
      </c>
      <c r="AA272" s="1" t="s">
        <v>86</v>
      </c>
      <c r="AB272" s="1" t="s">
        <v>382</v>
      </c>
      <c r="AC272" s="1" t="s">
        <v>48</v>
      </c>
      <c r="AD272" s="1" t="s">
        <v>34</v>
      </c>
      <c r="AE272" s="1" t="s">
        <v>35</v>
      </c>
      <c r="AF272" s="5">
        <f t="shared" si="16"/>
        <v>45303</v>
      </c>
      <c r="AG272" s="5" t="e">
        <f t="shared" si="16"/>
        <v>#N/A</v>
      </c>
      <c r="AH272" s="5" t="b">
        <f t="shared" si="17"/>
        <v>1</v>
      </c>
      <c r="AI272" s="5" t="b">
        <f t="shared" si="17"/>
        <v>0</v>
      </c>
      <c r="AJ272" t="e">
        <f t="shared" si="18"/>
        <v>#N/A</v>
      </c>
      <c r="AK272" t="e">
        <f t="shared" si="19"/>
        <v>#N/A</v>
      </c>
    </row>
    <row r="273" spans="1:37">
      <c r="A273" t="s">
        <v>1403</v>
      </c>
      <c r="B273" t="s">
        <v>1404</v>
      </c>
      <c r="C273" t="s">
        <v>1405</v>
      </c>
      <c r="D273" t="s">
        <v>1406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198</v>
      </c>
      <c r="L273" t="s">
        <v>1407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200</v>
      </c>
      <c r="U273" t="s">
        <v>78</v>
      </c>
      <c r="V273" s="1" t="s">
        <v>107</v>
      </c>
      <c r="W273" s="1" t="s">
        <v>26</v>
      </c>
      <c r="X273" s="1" t="s">
        <v>62</v>
      </c>
      <c r="Y273" s="1" t="s">
        <v>63</v>
      </c>
      <c r="Z273" s="1" t="s">
        <v>64</v>
      </c>
      <c r="AA273" s="1" t="s">
        <v>30</v>
      </c>
      <c r="AB273" s="1" t="s">
        <v>198</v>
      </c>
      <c r="AC273" s="1" t="s">
        <v>67</v>
      </c>
      <c r="AD273" s="1" t="s">
        <v>200</v>
      </c>
      <c r="AE273" s="1" t="s">
        <v>78</v>
      </c>
      <c r="AF273" s="5">
        <f t="shared" si="16"/>
        <v>45647</v>
      </c>
      <c r="AG273" s="5">
        <f t="shared" si="16"/>
        <v>45651</v>
      </c>
      <c r="AH273" s="5" t="b">
        <f t="shared" si="17"/>
        <v>1</v>
      </c>
      <c r="AI273" s="5" t="b">
        <f t="shared" si="17"/>
        <v>1</v>
      </c>
      <c r="AJ273" t="str">
        <f t="shared" si="18"/>
        <v>OK</v>
      </c>
      <c r="AK273">
        <f t="shared" si="19"/>
        <v>4</v>
      </c>
    </row>
    <row r="274" spans="1:37">
      <c r="A274" t="s">
        <v>1408</v>
      </c>
      <c r="B274" t="s">
        <v>1409</v>
      </c>
      <c r="C274" t="s">
        <v>1410</v>
      </c>
      <c r="D274" t="s">
        <v>1411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1412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  <c r="V274" s="1" t="s">
        <v>61</v>
      </c>
      <c r="W274" s="1" t="s">
        <v>26</v>
      </c>
      <c r="X274" s="1" t="s">
        <v>62</v>
      </c>
      <c r="Y274" s="1" t="s">
        <v>100</v>
      </c>
      <c r="Z274" s="1" t="s">
        <v>101</v>
      </c>
      <c r="AA274" s="1" t="s">
        <v>45</v>
      </c>
      <c r="AB274" s="1" t="s">
        <v>76</v>
      </c>
      <c r="AC274" s="1" t="s">
        <v>56</v>
      </c>
      <c r="AD274" s="1" t="s">
        <v>34</v>
      </c>
      <c r="AE274" s="1" t="s">
        <v>35</v>
      </c>
      <c r="AF274" s="5">
        <f t="shared" si="16"/>
        <v>45522</v>
      </c>
      <c r="AG274" s="5">
        <f t="shared" si="16"/>
        <v>45528</v>
      </c>
      <c r="AH274" s="5" t="b">
        <f t="shared" si="17"/>
        <v>1</v>
      </c>
      <c r="AI274" s="5" t="b">
        <f t="shared" si="17"/>
        <v>1</v>
      </c>
      <c r="AJ274" t="str">
        <f t="shared" si="18"/>
        <v>OK</v>
      </c>
      <c r="AK274">
        <f t="shared" si="19"/>
        <v>6</v>
      </c>
    </row>
    <row r="275" spans="1:37">
      <c r="A275" t="s">
        <v>1413</v>
      </c>
      <c r="B275" t="s">
        <v>1414</v>
      </c>
      <c r="C275" t="s">
        <v>1415</v>
      </c>
      <c r="D275" t="s">
        <v>1416</v>
      </c>
      <c r="E275" t="s">
        <v>53</v>
      </c>
      <c r="F275" t="s">
        <v>26</v>
      </c>
      <c r="G275" t="s">
        <v>42</v>
      </c>
      <c r="H275" t="s">
        <v>186</v>
      </c>
      <c r="I275" t="s">
        <v>187</v>
      </c>
      <c r="J275" t="s">
        <v>30</v>
      </c>
      <c r="K275" t="s">
        <v>31</v>
      </c>
      <c r="L275" t="s">
        <v>1417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  <c r="V275" s="1" t="s">
        <v>53</v>
      </c>
      <c r="W275" s="1" t="s">
        <v>26</v>
      </c>
      <c r="X275" s="1" t="s">
        <v>42</v>
      </c>
      <c r="Y275" s="1" t="s">
        <v>186</v>
      </c>
      <c r="Z275" s="1" t="s">
        <v>187</v>
      </c>
      <c r="AA275" s="1" t="s">
        <v>30</v>
      </c>
      <c r="AB275" s="1" t="s">
        <v>31</v>
      </c>
      <c r="AC275" s="1" t="s">
        <v>33</v>
      </c>
      <c r="AD275" s="1" t="s">
        <v>34</v>
      </c>
      <c r="AE275" s="1" t="s">
        <v>125</v>
      </c>
      <c r="AF275" s="5">
        <f t="shared" si="16"/>
        <v>45701</v>
      </c>
      <c r="AG275" s="5">
        <f t="shared" si="16"/>
        <v>45701</v>
      </c>
      <c r="AH275" s="5" t="b">
        <f t="shared" si="17"/>
        <v>1</v>
      </c>
      <c r="AI275" s="5" t="b">
        <f t="shared" si="17"/>
        <v>1</v>
      </c>
      <c r="AJ275" t="str">
        <f t="shared" si="18"/>
        <v>OK</v>
      </c>
      <c r="AK275">
        <f t="shared" si="19"/>
        <v>0</v>
      </c>
    </row>
    <row r="276" spans="1:37">
      <c r="A276" t="s">
        <v>1418</v>
      </c>
      <c r="B276" t="s">
        <v>1419</v>
      </c>
      <c r="C276" t="s">
        <v>1420</v>
      </c>
      <c r="D276" t="s">
        <v>1421</v>
      </c>
      <c r="E276" t="s">
        <v>180</v>
      </c>
      <c r="F276" t="s">
        <v>26</v>
      </c>
      <c r="G276" t="s">
        <v>62</v>
      </c>
      <c r="H276" t="s">
        <v>242</v>
      </c>
      <c r="I276" t="s">
        <v>243</v>
      </c>
      <c r="J276" t="s">
        <v>86</v>
      </c>
      <c r="K276" t="s">
        <v>94</v>
      </c>
      <c r="L276" t="s">
        <v>1422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200</v>
      </c>
      <c r="U276" t="s">
        <v>125</v>
      </c>
      <c r="V276" s="1" t="s">
        <v>180</v>
      </c>
      <c r="W276" s="1" t="s">
        <v>26</v>
      </c>
      <c r="X276" s="1" t="s">
        <v>62</v>
      </c>
      <c r="Y276" s="1" t="s">
        <v>242</v>
      </c>
      <c r="Z276" s="1" t="s">
        <v>243</v>
      </c>
      <c r="AA276" s="1" t="s">
        <v>86</v>
      </c>
      <c r="AB276" s="1" t="s">
        <v>94</v>
      </c>
      <c r="AC276" s="1" t="s">
        <v>67</v>
      </c>
      <c r="AD276" s="1" t="s">
        <v>200</v>
      </c>
      <c r="AE276" s="1" t="s">
        <v>125</v>
      </c>
      <c r="AF276" s="5">
        <f t="shared" si="16"/>
        <v>45477</v>
      </c>
      <c r="AG276" s="5" t="e">
        <f t="shared" si="16"/>
        <v>#N/A</v>
      </c>
      <c r="AH276" s="5" t="b">
        <f t="shared" si="17"/>
        <v>1</v>
      </c>
      <c r="AI276" s="5" t="b">
        <f t="shared" si="17"/>
        <v>0</v>
      </c>
      <c r="AJ276" t="e">
        <f t="shared" si="18"/>
        <v>#N/A</v>
      </c>
      <c r="AK276" t="e">
        <f t="shared" si="19"/>
        <v>#N/A</v>
      </c>
    </row>
    <row r="277" spans="1:37">
      <c r="A277" t="s">
        <v>1423</v>
      </c>
      <c r="B277" t="s">
        <v>677</v>
      </c>
      <c r="C277" t="s">
        <v>1424</v>
      </c>
      <c r="D277" t="s">
        <v>1425</v>
      </c>
      <c r="E277" t="s">
        <v>142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1426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  <c r="V277" s="1" t="s">
        <v>142</v>
      </c>
      <c r="W277" s="1" t="s">
        <v>41</v>
      </c>
      <c r="X277" s="1" t="s">
        <v>42</v>
      </c>
      <c r="Y277" s="1" t="s">
        <v>121</v>
      </c>
      <c r="Z277" s="1" t="s">
        <v>122</v>
      </c>
      <c r="AA277" s="1" t="s">
        <v>45</v>
      </c>
      <c r="AB277" s="1" t="s">
        <v>65</v>
      </c>
      <c r="AC277" s="1" t="s">
        <v>48</v>
      </c>
      <c r="AD277" s="1" t="s">
        <v>34</v>
      </c>
      <c r="AE277" s="1" t="s">
        <v>35</v>
      </c>
      <c r="AF277" s="5">
        <f t="shared" si="16"/>
        <v>45337</v>
      </c>
      <c r="AG277" s="5">
        <f t="shared" si="16"/>
        <v>45344</v>
      </c>
      <c r="AH277" s="5" t="b">
        <f t="shared" si="17"/>
        <v>1</v>
      </c>
      <c r="AI277" s="5" t="b">
        <f t="shared" si="17"/>
        <v>1</v>
      </c>
      <c r="AJ277" t="str">
        <f t="shared" si="18"/>
        <v>OK</v>
      </c>
      <c r="AK277">
        <f t="shared" si="19"/>
        <v>7</v>
      </c>
    </row>
    <row r="278" spans="1:37">
      <c r="A278" t="s">
        <v>1427</v>
      </c>
      <c r="B278" t="s">
        <v>1058</v>
      </c>
      <c r="C278" t="s">
        <v>1428</v>
      </c>
      <c r="D278" t="s">
        <v>1429</v>
      </c>
      <c r="E278" t="s">
        <v>162</v>
      </c>
      <c r="F278" t="s">
        <v>41</v>
      </c>
      <c r="H278" t="s">
        <v>216</v>
      </c>
      <c r="I278" t="s">
        <v>217</v>
      </c>
      <c r="J278" t="s">
        <v>45</v>
      </c>
      <c r="K278" t="s">
        <v>76</v>
      </c>
      <c r="L278" t="s">
        <v>1430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  <c r="V278" s="1" t="s">
        <v>162</v>
      </c>
      <c r="W278" s="1" t="s">
        <v>41</v>
      </c>
      <c r="X278" s="1" t="s">
        <v>4119</v>
      </c>
      <c r="Y278" s="1" t="s">
        <v>216</v>
      </c>
      <c r="Z278" s="1" t="s">
        <v>217</v>
      </c>
      <c r="AA278" s="1" t="s">
        <v>45</v>
      </c>
      <c r="AB278" s="1" t="s">
        <v>76</v>
      </c>
      <c r="AC278" s="1" t="s">
        <v>33</v>
      </c>
      <c r="AD278" s="1" t="s">
        <v>34</v>
      </c>
      <c r="AE278" s="1" t="s">
        <v>35</v>
      </c>
      <c r="AF278" s="5" t="e">
        <f t="shared" si="16"/>
        <v>#N/A</v>
      </c>
      <c r="AG278" s="5" t="e">
        <f t="shared" si="16"/>
        <v>#N/A</v>
      </c>
      <c r="AH278" s="5" t="b">
        <f t="shared" si="17"/>
        <v>0</v>
      </c>
      <c r="AI278" s="5" t="b">
        <f t="shared" si="17"/>
        <v>0</v>
      </c>
      <c r="AJ278" t="e">
        <f t="shared" si="18"/>
        <v>#N/A</v>
      </c>
      <c r="AK278" t="e">
        <f t="shared" si="19"/>
        <v>#N/A</v>
      </c>
    </row>
    <row r="279" spans="1:37">
      <c r="A279" t="s">
        <v>1431</v>
      </c>
      <c r="B279" t="s">
        <v>1432</v>
      </c>
      <c r="C279" t="s">
        <v>1432</v>
      </c>
      <c r="D279" t="s">
        <v>1206</v>
      </c>
      <c r="E279" t="s">
        <v>53</v>
      </c>
      <c r="F279" t="s">
        <v>108</v>
      </c>
      <c r="G279" t="s">
        <v>27</v>
      </c>
      <c r="H279" t="s">
        <v>323</v>
      </c>
      <c r="I279" t="s">
        <v>324</v>
      </c>
      <c r="J279" t="s">
        <v>86</v>
      </c>
      <c r="K279" t="s">
        <v>87</v>
      </c>
      <c r="L279" t="s">
        <v>1433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137</v>
      </c>
      <c r="U279" t="s">
        <v>78</v>
      </c>
      <c r="V279" s="1" t="s">
        <v>53</v>
      </c>
      <c r="W279" s="1" t="s">
        <v>108</v>
      </c>
      <c r="X279" s="1" t="s">
        <v>27</v>
      </c>
      <c r="Y279" s="1" t="s">
        <v>323</v>
      </c>
      <c r="Z279" s="1" t="s">
        <v>324</v>
      </c>
      <c r="AA279" s="1" t="s">
        <v>86</v>
      </c>
      <c r="AB279" s="1" t="s">
        <v>87</v>
      </c>
      <c r="AC279" s="1" t="s">
        <v>33</v>
      </c>
      <c r="AD279" s="1" t="s">
        <v>137</v>
      </c>
      <c r="AE279" s="1" t="s">
        <v>78</v>
      </c>
      <c r="AF279" s="5">
        <f t="shared" si="16"/>
        <v>45812</v>
      </c>
      <c r="AG279" s="5">
        <f t="shared" si="16"/>
        <v>45812</v>
      </c>
      <c r="AH279" s="5" t="b">
        <f t="shared" si="17"/>
        <v>1</v>
      </c>
      <c r="AI279" s="5" t="b">
        <f t="shared" si="17"/>
        <v>1</v>
      </c>
      <c r="AJ279" t="str">
        <f t="shared" si="18"/>
        <v>OK</v>
      </c>
      <c r="AK279">
        <f t="shared" si="19"/>
        <v>0</v>
      </c>
    </row>
    <row r="280" spans="1:37">
      <c r="A280" t="s">
        <v>1434</v>
      </c>
      <c r="B280" t="s">
        <v>787</v>
      </c>
      <c r="C280" t="s">
        <v>1435</v>
      </c>
      <c r="D280" t="s">
        <v>1436</v>
      </c>
      <c r="E280" t="s">
        <v>142</v>
      </c>
      <c r="F280" t="s">
        <v>41</v>
      </c>
      <c r="G280" t="s">
        <v>27</v>
      </c>
      <c r="H280" t="s">
        <v>506</v>
      </c>
      <c r="I280" t="s">
        <v>507</v>
      </c>
      <c r="J280" t="s">
        <v>86</v>
      </c>
      <c r="K280" t="s">
        <v>87</v>
      </c>
      <c r="L280" t="s">
        <v>1437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  <c r="V280" s="1" t="s">
        <v>142</v>
      </c>
      <c r="W280" s="1" t="s">
        <v>41</v>
      </c>
      <c r="X280" s="1" t="s">
        <v>27</v>
      </c>
      <c r="Y280" s="1" t="s">
        <v>506</v>
      </c>
      <c r="Z280" s="1" t="s">
        <v>507</v>
      </c>
      <c r="AA280" s="1" t="s">
        <v>86</v>
      </c>
      <c r="AB280" s="1" t="s">
        <v>87</v>
      </c>
      <c r="AC280" s="1" t="s">
        <v>48</v>
      </c>
      <c r="AD280" s="1" t="s">
        <v>34</v>
      </c>
      <c r="AE280" s="1" t="s">
        <v>125</v>
      </c>
      <c r="AF280" s="5">
        <f t="shared" si="16"/>
        <v>45841</v>
      </c>
      <c r="AG280" s="5">
        <f t="shared" si="16"/>
        <v>45730</v>
      </c>
      <c r="AH280" s="5" t="b">
        <f t="shared" si="17"/>
        <v>1</v>
      </c>
      <c r="AI280" s="5" t="b">
        <f t="shared" si="17"/>
        <v>1</v>
      </c>
      <c r="AJ280" t="str">
        <f t="shared" si="18"/>
        <v>Invalid: Ship before Order</v>
      </c>
      <c r="AK280" t="e">
        <f t="shared" si="19"/>
        <v>#NUM!</v>
      </c>
    </row>
    <row r="281" spans="1:37">
      <c r="A281" t="s">
        <v>1438</v>
      </c>
      <c r="B281" t="s">
        <v>1439</v>
      </c>
      <c r="C281" t="s">
        <v>1440</v>
      </c>
      <c r="D281" t="s">
        <v>1441</v>
      </c>
      <c r="E281" t="s">
        <v>180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156</v>
      </c>
      <c r="L281" t="s">
        <v>1442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  <c r="V281" s="1" t="s">
        <v>180</v>
      </c>
      <c r="W281" s="1" t="s">
        <v>41</v>
      </c>
      <c r="X281" s="1" t="s">
        <v>73</v>
      </c>
      <c r="Y281" s="1" t="s">
        <v>74</v>
      </c>
      <c r="Z281" s="1" t="s">
        <v>75</v>
      </c>
      <c r="AA281" s="1" t="s">
        <v>30</v>
      </c>
      <c r="AB281" s="1" t="s">
        <v>156</v>
      </c>
      <c r="AC281" s="1" t="s">
        <v>56</v>
      </c>
      <c r="AD281" s="1" t="s">
        <v>34</v>
      </c>
      <c r="AE281" s="1" t="s">
        <v>35</v>
      </c>
      <c r="AF281" s="5">
        <f t="shared" si="16"/>
        <v>45391</v>
      </c>
      <c r="AG281" s="5">
        <f t="shared" si="16"/>
        <v>45392</v>
      </c>
      <c r="AH281" s="5" t="b">
        <f t="shared" si="17"/>
        <v>1</v>
      </c>
      <c r="AI281" s="5" t="b">
        <f t="shared" si="17"/>
        <v>1</v>
      </c>
      <c r="AJ281" t="str">
        <f t="shared" si="18"/>
        <v>OK</v>
      </c>
      <c r="AK281">
        <f t="shared" si="19"/>
        <v>1</v>
      </c>
    </row>
    <row r="282" spans="1:37">
      <c r="A282" t="s">
        <v>1443</v>
      </c>
      <c r="B282" t="s">
        <v>1444</v>
      </c>
      <c r="C282" t="s">
        <v>1445</v>
      </c>
      <c r="D282" t="s">
        <v>1446</v>
      </c>
      <c r="E282" t="s">
        <v>107</v>
      </c>
      <c r="F282" t="s">
        <v>26</v>
      </c>
      <c r="G282" t="s">
        <v>62</v>
      </c>
      <c r="H282" t="s">
        <v>229</v>
      </c>
      <c r="I282" t="s">
        <v>230</v>
      </c>
      <c r="J282" t="s">
        <v>86</v>
      </c>
      <c r="K282" t="s">
        <v>94</v>
      </c>
      <c r="L282" t="s">
        <v>1447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  <c r="V282" s="1" t="s">
        <v>107</v>
      </c>
      <c r="W282" s="1" t="s">
        <v>26</v>
      </c>
      <c r="X282" s="1" t="s">
        <v>62</v>
      </c>
      <c r="Y282" s="1" t="s">
        <v>229</v>
      </c>
      <c r="Z282" s="1" t="s">
        <v>230</v>
      </c>
      <c r="AA282" s="1" t="s">
        <v>86</v>
      </c>
      <c r="AB282" s="1" t="s">
        <v>94</v>
      </c>
      <c r="AC282" s="1" t="s">
        <v>67</v>
      </c>
      <c r="AD282" s="1" t="s">
        <v>34</v>
      </c>
      <c r="AE282" s="1" t="s">
        <v>35</v>
      </c>
      <c r="AF282" s="5">
        <f t="shared" si="16"/>
        <v>45649</v>
      </c>
      <c r="AG282" s="5" t="e">
        <f t="shared" si="16"/>
        <v>#N/A</v>
      </c>
      <c r="AH282" s="5" t="b">
        <f t="shared" si="17"/>
        <v>1</v>
      </c>
      <c r="AI282" s="5" t="b">
        <f t="shared" si="17"/>
        <v>0</v>
      </c>
      <c r="AJ282" t="e">
        <f t="shared" si="18"/>
        <v>#N/A</v>
      </c>
      <c r="AK282" t="e">
        <f t="shared" si="19"/>
        <v>#N/A</v>
      </c>
    </row>
    <row r="283" spans="1:37">
      <c r="A283" t="s">
        <v>1448</v>
      </c>
      <c r="B283" t="s">
        <v>1449</v>
      </c>
      <c r="C283" t="s">
        <v>1450</v>
      </c>
      <c r="D283" t="s">
        <v>1451</v>
      </c>
      <c r="E283" t="s">
        <v>366</v>
      </c>
      <c r="F283" t="s">
        <v>26</v>
      </c>
      <c r="G283" t="s">
        <v>42</v>
      </c>
      <c r="H283" t="s">
        <v>311</v>
      </c>
      <c r="I283" t="s">
        <v>312</v>
      </c>
      <c r="J283" t="s">
        <v>30</v>
      </c>
      <c r="K283" t="s">
        <v>198</v>
      </c>
      <c r="L283" t="s">
        <v>1452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  <c r="V283" s="1" t="s">
        <v>366</v>
      </c>
      <c r="W283" s="1" t="s">
        <v>26</v>
      </c>
      <c r="X283" s="1" t="s">
        <v>42</v>
      </c>
      <c r="Y283" s="1" t="s">
        <v>311</v>
      </c>
      <c r="Z283" s="1" t="s">
        <v>312</v>
      </c>
      <c r="AA283" s="1" t="s">
        <v>30</v>
      </c>
      <c r="AB283" s="1" t="s">
        <v>198</v>
      </c>
      <c r="AC283" s="1" t="s">
        <v>33</v>
      </c>
      <c r="AD283" s="1" t="s">
        <v>34</v>
      </c>
      <c r="AE283" s="1" t="s">
        <v>35</v>
      </c>
      <c r="AF283" s="5" t="e">
        <f t="shared" si="16"/>
        <v>#N/A</v>
      </c>
      <c r="AG283" s="5">
        <f t="shared" si="16"/>
        <v>45865</v>
      </c>
      <c r="AH283" s="5" t="b">
        <f t="shared" si="17"/>
        <v>0</v>
      </c>
      <c r="AI283" s="5" t="b">
        <f t="shared" si="17"/>
        <v>1</v>
      </c>
      <c r="AJ283" t="e">
        <f t="shared" si="18"/>
        <v>#N/A</v>
      </c>
      <c r="AK283" t="e">
        <f t="shared" si="19"/>
        <v>#N/A</v>
      </c>
    </row>
    <row r="284" spans="1:37">
      <c r="A284" t="s">
        <v>1453</v>
      </c>
      <c r="B284" t="s">
        <v>1454</v>
      </c>
      <c r="C284" t="s">
        <v>1455</v>
      </c>
      <c r="D284" t="s">
        <v>1456</v>
      </c>
      <c r="E284" t="s">
        <v>25</v>
      </c>
      <c r="F284" t="s">
        <v>115</v>
      </c>
      <c r="G284" t="s">
        <v>42</v>
      </c>
      <c r="H284" t="s">
        <v>216</v>
      </c>
      <c r="I284" t="s">
        <v>217</v>
      </c>
      <c r="J284" t="s">
        <v>45</v>
      </c>
      <c r="K284" t="s">
        <v>46</v>
      </c>
      <c r="L284" t="s">
        <v>1457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  <c r="V284" s="1" t="s">
        <v>25</v>
      </c>
      <c r="W284" s="1" t="s">
        <v>115</v>
      </c>
      <c r="X284" s="1" t="s">
        <v>42</v>
      </c>
      <c r="Y284" s="1" t="s">
        <v>216</v>
      </c>
      <c r="Z284" s="1" t="s">
        <v>217</v>
      </c>
      <c r="AA284" s="1" t="s">
        <v>45</v>
      </c>
      <c r="AB284" s="1" t="s">
        <v>46</v>
      </c>
      <c r="AC284" s="1" t="s">
        <v>33</v>
      </c>
      <c r="AD284" s="1" t="s">
        <v>34</v>
      </c>
      <c r="AE284" s="1" t="s">
        <v>35</v>
      </c>
      <c r="AF284" s="5">
        <f t="shared" si="16"/>
        <v>45566</v>
      </c>
      <c r="AG284" s="5">
        <f t="shared" si="16"/>
        <v>45567</v>
      </c>
      <c r="AH284" s="5" t="b">
        <f t="shared" si="17"/>
        <v>1</v>
      </c>
      <c r="AI284" s="5" t="b">
        <f t="shared" si="17"/>
        <v>1</v>
      </c>
      <c r="AJ284" t="str">
        <f t="shared" si="18"/>
        <v>OK</v>
      </c>
      <c r="AK284">
        <f t="shared" si="19"/>
        <v>1</v>
      </c>
    </row>
    <row r="285" spans="1:37">
      <c r="A285" t="s">
        <v>1458</v>
      </c>
      <c r="B285" t="s">
        <v>1459</v>
      </c>
      <c r="C285" t="s">
        <v>1460</v>
      </c>
      <c r="D285" t="s">
        <v>1461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1462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  <c r="V285" s="1" t="s">
        <v>83</v>
      </c>
      <c r="W285" s="1" t="s">
        <v>26</v>
      </c>
      <c r="X285" s="1" t="s">
        <v>73</v>
      </c>
      <c r="Y285" s="1" t="s">
        <v>74</v>
      </c>
      <c r="Z285" s="1" t="s">
        <v>75</v>
      </c>
      <c r="AA285" s="1" t="s">
        <v>45</v>
      </c>
      <c r="AB285" s="1" t="s">
        <v>65</v>
      </c>
      <c r="AC285" s="1" t="s">
        <v>56</v>
      </c>
      <c r="AD285" s="1" t="s">
        <v>34</v>
      </c>
      <c r="AE285" s="1" t="s">
        <v>35</v>
      </c>
      <c r="AF285" s="5">
        <f t="shared" si="16"/>
        <v>45729</v>
      </c>
      <c r="AG285" s="5" t="e">
        <f t="shared" si="16"/>
        <v>#N/A</v>
      </c>
      <c r="AH285" s="5" t="b">
        <f t="shared" si="17"/>
        <v>1</v>
      </c>
      <c r="AI285" s="5" t="b">
        <f t="shared" si="17"/>
        <v>0</v>
      </c>
      <c r="AJ285" t="e">
        <f t="shared" si="18"/>
        <v>#N/A</v>
      </c>
      <c r="AK285" t="e">
        <f t="shared" si="19"/>
        <v>#N/A</v>
      </c>
    </row>
    <row r="286" spans="1:37">
      <c r="A286" t="s">
        <v>1463</v>
      </c>
      <c r="B286" t="s">
        <v>1464</v>
      </c>
      <c r="C286" t="s">
        <v>1465</v>
      </c>
      <c r="D286" t="s">
        <v>1466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1467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  <c r="V286" s="1" t="s">
        <v>25</v>
      </c>
      <c r="W286" s="1" t="s">
        <v>26</v>
      </c>
      <c r="X286" s="1" t="s">
        <v>42</v>
      </c>
      <c r="Y286" s="1" t="s">
        <v>43</v>
      </c>
      <c r="Z286" s="1" t="s">
        <v>44</v>
      </c>
      <c r="AA286" s="1" t="s">
        <v>45</v>
      </c>
      <c r="AB286" s="1" t="s">
        <v>46</v>
      </c>
      <c r="AC286" s="1" t="s">
        <v>48</v>
      </c>
      <c r="AD286" s="1" t="s">
        <v>34</v>
      </c>
      <c r="AE286" s="1" t="s">
        <v>125</v>
      </c>
      <c r="AF286" s="5">
        <f t="shared" si="16"/>
        <v>45634</v>
      </c>
      <c r="AG286" s="5">
        <f t="shared" si="16"/>
        <v>45640</v>
      </c>
      <c r="AH286" s="5" t="b">
        <f t="shared" si="17"/>
        <v>1</v>
      </c>
      <c r="AI286" s="5" t="b">
        <f t="shared" si="17"/>
        <v>1</v>
      </c>
      <c r="AJ286" t="str">
        <f t="shared" si="18"/>
        <v>OK</v>
      </c>
      <c r="AK286">
        <f t="shared" si="19"/>
        <v>6</v>
      </c>
    </row>
    <row r="287" spans="1:37">
      <c r="A287" t="s">
        <v>1468</v>
      </c>
      <c r="B287" t="s">
        <v>1469</v>
      </c>
      <c r="C287" t="s">
        <v>1470</v>
      </c>
      <c r="D287" t="s">
        <v>1471</v>
      </c>
      <c r="E287" t="s">
        <v>93</v>
      </c>
      <c r="F287" t="s">
        <v>115</v>
      </c>
      <c r="G287" t="s">
        <v>27</v>
      </c>
      <c r="H287" t="s">
        <v>28</v>
      </c>
      <c r="I287" t="s">
        <v>29</v>
      </c>
      <c r="J287" t="s">
        <v>30</v>
      </c>
      <c r="K287" t="s">
        <v>156</v>
      </c>
      <c r="L287" t="s">
        <v>1472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  <c r="V287" s="1" t="s">
        <v>93</v>
      </c>
      <c r="W287" s="1" t="s">
        <v>115</v>
      </c>
      <c r="X287" s="1" t="s">
        <v>27</v>
      </c>
      <c r="Y287" s="1" t="s">
        <v>28</v>
      </c>
      <c r="Z287" s="1" t="s">
        <v>29</v>
      </c>
      <c r="AA287" s="1" t="s">
        <v>30</v>
      </c>
      <c r="AB287" s="1" t="s">
        <v>156</v>
      </c>
      <c r="AC287" s="1" t="s">
        <v>67</v>
      </c>
      <c r="AD287" s="1" t="s">
        <v>34</v>
      </c>
      <c r="AE287" s="1" t="s">
        <v>35</v>
      </c>
      <c r="AF287" s="5">
        <f t="shared" si="16"/>
        <v>45884</v>
      </c>
      <c r="AG287" s="5">
        <f t="shared" si="16"/>
        <v>45889</v>
      </c>
      <c r="AH287" s="5" t="b">
        <f t="shared" si="17"/>
        <v>1</v>
      </c>
      <c r="AI287" s="5" t="b">
        <f t="shared" si="17"/>
        <v>1</v>
      </c>
      <c r="AJ287" t="str">
        <f t="shared" si="18"/>
        <v>OK</v>
      </c>
      <c r="AK287">
        <f t="shared" si="19"/>
        <v>5</v>
      </c>
    </row>
    <row r="288" spans="1:37">
      <c r="A288" t="s">
        <v>1473</v>
      </c>
      <c r="B288" t="s">
        <v>1474</v>
      </c>
      <c r="C288" t="s">
        <v>1475</v>
      </c>
      <c r="D288" t="s">
        <v>1476</v>
      </c>
      <c r="E288" t="s">
        <v>142</v>
      </c>
      <c r="F288" t="s">
        <v>41</v>
      </c>
      <c r="G288" t="s">
        <v>27</v>
      </c>
      <c r="H288" t="s">
        <v>506</v>
      </c>
      <c r="I288" t="s">
        <v>507</v>
      </c>
      <c r="J288" t="s">
        <v>45</v>
      </c>
      <c r="K288" t="s">
        <v>65</v>
      </c>
      <c r="L288" t="s">
        <v>1477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137</v>
      </c>
      <c r="U288" t="s">
        <v>125</v>
      </c>
      <c r="V288" s="1" t="s">
        <v>142</v>
      </c>
      <c r="W288" s="1" t="s">
        <v>41</v>
      </c>
      <c r="X288" s="1" t="s">
        <v>27</v>
      </c>
      <c r="Y288" s="1" t="s">
        <v>506</v>
      </c>
      <c r="Z288" s="1" t="s">
        <v>507</v>
      </c>
      <c r="AA288" s="1" t="s">
        <v>45</v>
      </c>
      <c r="AB288" s="1" t="s">
        <v>65</v>
      </c>
      <c r="AC288" s="1" t="s">
        <v>56</v>
      </c>
      <c r="AD288" s="1" t="s">
        <v>137</v>
      </c>
      <c r="AE288" s="1" t="s">
        <v>125</v>
      </c>
      <c r="AF288" s="5" t="e">
        <f t="shared" si="16"/>
        <v>#N/A</v>
      </c>
      <c r="AG288" s="5">
        <f t="shared" si="16"/>
        <v>45353</v>
      </c>
      <c r="AH288" s="5" t="b">
        <f t="shared" si="17"/>
        <v>0</v>
      </c>
      <c r="AI288" s="5" t="b">
        <f t="shared" si="17"/>
        <v>1</v>
      </c>
      <c r="AJ288" t="e">
        <f t="shared" si="18"/>
        <v>#N/A</v>
      </c>
      <c r="AK288" t="e">
        <f t="shared" si="19"/>
        <v>#N/A</v>
      </c>
    </row>
    <row r="289" spans="1:37">
      <c r="A289" t="s">
        <v>1478</v>
      </c>
      <c r="B289" t="s">
        <v>1479</v>
      </c>
      <c r="C289" t="s">
        <v>1480</v>
      </c>
      <c r="D289" t="s">
        <v>1481</v>
      </c>
      <c r="E289" t="s">
        <v>93</v>
      </c>
      <c r="F289" t="s">
        <v>41</v>
      </c>
      <c r="G289" t="s">
        <v>62</v>
      </c>
      <c r="H289" t="s">
        <v>339</v>
      </c>
      <c r="I289" t="s">
        <v>340</v>
      </c>
      <c r="J289" t="s">
        <v>86</v>
      </c>
      <c r="K289" t="s">
        <v>94</v>
      </c>
      <c r="L289" t="s">
        <v>1482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  <c r="V289" s="1" t="s">
        <v>93</v>
      </c>
      <c r="W289" s="1" t="s">
        <v>41</v>
      </c>
      <c r="X289" s="1" t="s">
        <v>62</v>
      </c>
      <c r="Y289" s="1" t="s">
        <v>339</v>
      </c>
      <c r="Z289" s="1" t="s">
        <v>340</v>
      </c>
      <c r="AA289" s="1" t="s">
        <v>86</v>
      </c>
      <c r="AB289" s="1" t="s">
        <v>94</v>
      </c>
      <c r="AC289" s="1" t="s">
        <v>67</v>
      </c>
      <c r="AD289" s="1" t="s">
        <v>34</v>
      </c>
      <c r="AE289" s="1" t="s">
        <v>78</v>
      </c>
      <c r="AF289" s="5">
        <f t="shared" si="16"/>
        <v>45540</v>
      </c>
      <c r="AG289" s="5">
        <f t="shared" si="16"/>
        <v>45482</v>
      </c>
      <c r="AH289" s="5" t="b">
        <f t="shared" si="17"/>
        <v>1</v>
      </c>
      <c r="AI289" s="5" t="b">
        <f t="shared" si="17"/>
        <v>1</v>
      </c>
      <c r="AJ289" t="str">
        <f t="shared" si="18"/>
        <v>Invalid: Ship before Order</v>
      </c>
      <c r="AK289" t="e">
        <f t="shared" si="19"/>
        <v>#NUM!</v>
      </c>
    </row>
    <row r="290" spans="1:37">
      <c r="A290" t="s">
        <v>1483</v>
      </c>
      <c r="B290" t="s">
        <v>1484</v>
      </c>
      <c r="C290" t="s">
        <v>1484</v>
      </c>
      <c r="D290" t="s">
        <v>1485</v>
      </c>
      <c r="E290" t="s">
        <v>180</v>
      </c>
      <c r="F290" t="s">
        <v>41</v>
      </c>
      <c r="G290" t="s">
        <v>42</v>
      </c>
      <c r="H290" t="s">
        <v>186</v>
      </c>
      <c r="I290" t="s">
        <v>187</v>
      </c>
      <c r="J290" t="s">
        <v>30</v>
      </c>
      <c r="K290" t="s">
        <v>198</v>
      </c>
      <c r="L290" t="s">
        <v>1486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  <c r="V290" s="1" t="s">
        <v>180</v>
      </c>
      <c r="W290" s="1" t="s">
        <v>41</v>
      </c>
      <c r="X290" s="1" t="s">
        <v>42</v>
      </c>
      <c r="Y290" s="1" t="s">
        <v>186</v>
      </c>
      <c r="Z290" s="1" t="s">
        <v>187</v>
      </c>
      <c r="AA290" s="1" t="s">
        <v>30</v>
      </c>
      <c r="AB290" s="1" t="s">
        <v>198</v>
      </c>
      <c r="AC290" s="1" t="s">
        <v>48</v>
      </c>
      <c r="AD290" s="1" t="s">
        <v>34</v>
      </c>
      <c r="AE290" s="1" t="s">
        <v>35</v>
      </c>
      <c r="AF290" s="5">
        <f t="shared" si="16"/>
        <v>45467</v>
      </c>
      <c r="AG290" s="5">
        <f t="shared" si="16"/>
        <v>45467</v>
      </c>
      <c r="AH290" s="5" t="b">
        <f t="shared" si="17"/>
        <v>1</v>
      </c>
      <c r="AI290" s="5" t="b">
        <f t="shared" si="17"/>
        <v>1</v>
      </c>
      <c r="AJ290" t="str">
        <f t="shared" si="18"/>
        <v>OK</v>
      </c>
      <c r="AK290">
        <f t="shared" si="19"/>
        <v>0</v>
      </c>
    </row>
    <row r="291" spans="1:37">
      <c r="A291" t="s">
        <v>1487</v>
      </c>
      <c r="B291" t="s">
        <v>254</v>
      </c>
      <c r="C291" t="s">
        <v>649</v>
      </c>
      <c r="D291" t="s">
        <v>1488</v>
      </c>
      <c r="E291" t="s">
        <v>25</v>
      </c>
      <c r="F291" t="s">
        <v>115</v>
      </c>
      <c r="G291" t="s">
        <v>62</v>
      </c>
      <c r="H291" t="s">
        <v>339</v>
      </c>
      <c r="I291" t="s">
        <v>340</v>
      </c>
      <c r="J291" t="s">
        <v>45</v>
      </c>
      <c r="K291" t="s">
        <v>204</v>
      </c>
      <c r="L291" t="s">
        <v>1489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  <c r="V291" s="1" t="s">
        <v>25</v>
      </c>
      <c r="W291" s="1" t="s">
        <v>115</v>
      </c>
      <c r="X291" s="1" t="s">
        <v>62</v>
      </c>
      <c r="Y291" s="1" t="s">
        <v>339</v>
      </c>
      <c r="Z291" s="1" t="s">
        <v>340</v>
      </c>
      <c r="AA291" s="1" t="s">
        <v>45</v>
      </c>
      <c r="AB291" s="1" t="s">
        <v>204</v>
      </c>
      <c r="AC291" s="1" t="s">
        <v>56</v>
      </c>
      <c r="AD291" s="1" t="s">
        <v>34</v>
      </c>
      <c r="AE291" s="1" t="s">
        <v>35</v>
      </c>
      <c r="AF291" s="5" t="e">
        <f t="shared" si="16"/>
        <v>#N/A</v>
      </c>
      <c r="AG291" s="5">
        <f t="shared" si="16"/>
        <v>45835</v>
      </c>
      <c r="AH291" s="5" t="b">
        <f t="shared" si="17"/>
        <v>0</v>
      </c>
      <c r="AI291" s="5" t="b">
        <f t="shared" si="17"/>
        <v>1</v>
      </c>
      <c r="AJ291" t="e">
        <f t="shared" si="18"/>
        <v>#N/A</v>
      </c>
      <c r="AK291" t="e">
        <f t="shared" si="19"/>
        <v>#N/A</v>
      </c>
    </row>
    <row r="292" spans="1:37">
      <c r="A292" t="s">
        <v>1490</v>
      </c>
      <c r="B292" t="s">
        <v>1491</v>
      </c>
      <c r="C292" t="s">
        <v>1492</v>
      </c>
      <c r="D292" t="s">
        <v>1493</v>
      </c>
      <c r="E292" t="s">
        <v>210</v>
      </c>
      <c r="F292" t="s">
        <v>115</v>
      </c>
      <c r="G292" t="s">
        <v>42</v>
      </c>
      <c r="H292" t="s">
        <v>311</v>
      </c>
      <c r="I292" t="s">
        <v>312</v>
      </c>
      <c r="J292" t="s">
        <v>45</v>
      </c>
      <c r="K292" t="s">
        <v>46</v>
      </c>
      <c r="L292" t="s">
        <v>1494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  <c r="V292" s="1" t="s">
        <v>210</v>
      </c>
      <c r="W292" s="1" t="s">
        <v>115</v>
      </c>
      <c r="X292" s="1" t="s">
        <v>42</v>
      </c>
      <c r="Y292" s="1" t="s">
        <v>311</v>
      </c>
      <c r="Z292" s="1" t="s">
        <v>312</v>
      </c>
      <c r="AA292" s="1" t="s">
        <v>45</v>
      </c>
      <c r="AB292" s="1" t="s">
        <v>46</v>
      </c>
      <c r="AC292" s="1" t="s">
        <v>67</v>
      </c>
      <c r="AD292" s="1" t="s">
        <v>34</v>
      </c>
      <c r="AE292" s="1" t="s">
        <v>35</v>
      </c>
      <c r="AF292" s="5">
        <f t="shared" si="16"/>
        <v>45891</v>
      </c>
      <c r="AG292" s="5">
        <f t="shared" si="16"/>
        <v>45895</v>
      </c>
      <c r="AH292" s="5" t="b">
        <f t="shared" si="17"/>
        <v>1</v>
      </c>
      <c r="AI292" s="5" t="b">
        <f t="shared" si="17"/>
        <v>1</v>
      </c>
      <c r="AJ292" t="str">
        <f t="shared" si="18"/>
        <v>OK</v>
      </c>
      <c r="AK292">
        <f t="shared" si="19"/>
        <v>4</v>
      </c>
    </row>
    <row r="293" spans="1:37">
      <c r="A293" t="s">
        <v>1495</v>
      </c>
      <c r="B293" t="s">
        <v>1496</v>
      </c>
      <c r="C293" t="s">
        <v>1497</v>
      </c>
      <c r="D293" t="s">
        <v>1498</v>
      </c>
      <c r="E293" t="s">
        <v>142</v>
      </c>
      <c r="F293" t="s">
        <v>115</v>
      </c>
      <c r="G293" t="s">
        <v>27</v>
      </c>
      <c r="H293" t="s">
        <v>28</v>
      </c>
      <c r="I293" t="s">
        <v>29</v>
      </c>
      <c r="J293" t="s">
        <v>30</v>
      </c>
      <c r="K293" t="s">
        <v>198</v>
      </c>
      <c r="L293" t="s">
        <v>1499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  <c r="V293" s="1" t="s">
        <v>142</v>
      </c>
      <c r="W293" s="1" t="s">
        <v>115</v>
      </c>
      <c r="X293" s="1" t="s">
        <v>27</v>
      </c>
      <c r="Y293" s="1" t="s">
        <v>28</v>
      </c>
      <c r="Z293" s="1" t="s">
        <v>29</v>
      </c>
      <c r="AA293" s="1" t="s">
        <v>30</v>
      </c>
      <c r="AB293" s="1" t="s">
        <v>198</v>
      </c>
      <c r="AC293" s="1" t="s">
        <v>67</v>
      </c>
      <c r="AD293" s="1" t="s">
        <v>34</v>
      </c>
      <c r="AE293" s="1" t="s">
        <v>35</v>
      </c>
      <c r="AF293" s="5">
        <f t="shared" si="16"/>
        <v>45387</v>
      </c>
      <c r="AG293" s="5">
        <f t="shared" si="16"/>
        <v>45392</v>
      </c>
      <c r="AH293" s="5" t="b">
        <f t="shared" si="17"/>
        <v>1</v>
      </c>
      <c r="AI293" s="5" t="b">
        <f t="shared" si="17"/>
        <v>1</v>
      </c>
      <c r="AJ293" t="str">
        <f t="shared" si="18"/>
        <v>OK</v>
      </c>
      <c r="AK293">
        <f t="shared" si="19"/>
        <v>5</v>
      </c>
    </row>
    <row r="294" spans="1:37">
      <c r="A294" t="s">
        <v>1500</v>
      </c>
      <c r="B294" t="s">
        <v>1501</v>
      </c>
      <c r="C294" t="s">
        <v>1502</v>
      </c>
      <c r="D294" t="s">
        <v>1503</v>
      </c>
      <c r="E294" t="s">
        <v>366</v>
      </c>
      <c r="F294" t="s">
        <v>115</v>
      </c>
      <c r="G294" t="s">
        <v>27</v>
      </c>
      <c r="H294" t="s">
        <v>323</v>
      </c>
      <c r="I294" t="s">
        <v>324</v>
      </c>
      <c r="J294" t="s">
        <v>30</v>
      </c>
      <c r="K294" t="s">
        <v>54</v>
      </c>
      <c r="L294" t="s">
        <v>1504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137</v>
      </c>
      <c r="U294" t="s">
        <v>78</v>
      </c>
      <c r="V294" s="1" t="s">
        <v>366</v>
      </c>
      <c r="W294" s="1" t="s">
        <v>115</v>
      </c>
      <c r="X294" s="1" t="s">
        <v>27</v>
      </c>
      <c r="Y294" s="1" t="s">
        <v>323</v>
      </c>
      <c r="Z294" s="1" t="s">
        <v>324</v>
      </c>
      <c r="AA294" s="1" t="s">
        <v>30</v>
      </c>
      <c r="AB294" s="1" t="s">
        <v>54</v>
      </c>
      <c r="AC294" s="1" t="s">
        <v>48</v>
      </c>
      <c r="AD294" s="1" t="s">
        <v>137</v>
      </c>
      <c r="AE294" s="1" t="s">
        <v>78</v>
      </c>
      <c r="AF294" s="5">
        <f t="shared" si="16"/>
        <v>45716</v>
      </c>
      <c r="AG294" s="5">
        <f t="shared" si="16"/>
        <v>45719</v>
      </c>
      <c r="AH294" s="5" t="b">
        <f t="shared" si="17"/>
        <v>1</v>
      </c>
      <c r="AI294" s="5" t="b">
        <f t="shared" si="17"/>
        <v>1</v>
      </c>
      <c r="AJ294" t="str">
        <f t="shared" si="18"/>
        <v>OK</v>
      </c>
      <c r="AK294">
        <f t="shared" si="19"/>
        <v>3</v>
      </c>
    </row>
    <row r="295" spans="1:37">
      <c r="A295" t="s">
        <v>1505</v>
      </c>
      <c r="B295" t="s">
        <v>1506</v>
      </c>
      <c r="C295" t="s">
        <v>1507</v>
      </c>
      <c r="D295" t="s">
        <v>1508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223</v>
      </c>
      <c r="L295" t="s">
        <v>1509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  <c r="V295" s="1" t="s">
        <v>61</v>
      </c>
      <c r="W295" s="1" t="s">
        <v>115</v>
      </c>
      <c r="X295" s="1" t="s">
        <v>62</v>
      </c>
      <c r="Y295" s="1" t="s">
        <v>63</v>
      </c>
      <c r="Z295" s="1" t="s">
        <v>64</v>
      </c>
      <c r="AA295" s="1" t="s">
        <v>86</v>
      </c>
      <c r="AB295" s="1" t="s">
        <v>223</v>
      </c>
      <c r="AC295" s="1" t="s">
        <v>56</v>
      </c>
      <c r="AD295" s="1" t="s">
        <v>34</v>
      </c>
      <c r="AE295" s="1" t="s">
        <v>35</v>
      </c>
      <c r="AF295" s="5">
        <f t="shared" si="16"/>
        <v>45358</v>
      </c>
      <c r="AG295" s="5">
        <f t="shared" si="16"/>
        <v>45599</v>
      </c>
      <c r="AH295" s="5" t="b">
        <f t="shared" si="17"/>
        <v>1</v>
      </c>
      <c r="AI295" s="5" t="b">
        <f t="shared" si="17"/>
        <v>1</v>
      </c>
      <c r="AJ295" t="str">
        <f t="shared" si="18"/>
        <v>OK</v>
      </c>
      <c r="AK295">
        <f t="shared" si="19"/>
        <v>241</v>
      </c>
    </row>
    <row r="296" spans="1:37">
      <c r="A296" t="s">
        <v>1510</v>
      </c>
      <c r="B296" t="s">
        <v>1511</v>
      </c>
      <c r="C296" t="s">
        <v>1512</v>
      </c>
      <c r="D296" t="s">
        <v>1513</v>
      </c>
      <c r="E296" t="s">
        <v>142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223</v>
      </c>
      <c r="L296" t="s">
        <v>1514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  <c r="V296" s="1" t="s">
        <v>142</v>
      </c>
      <c r="W296" s="1" t="s">
        <v>26</v>
      </c>
      <c r="X296" s="1" t="s">
        <v>42</v>
      </c>
      <c r="Y296" s="1" t="s">
        <v>43</v>
      </c>
      <c r="Z296" s="1" t="s">
        <v>44</v>
      </c>
      <c r="AA296" s="1" t="s">
        <v>86</v>
      </c>
      <c r="AB296" s="1" t="s">
        <v>223</v>
      </c>
      <c r="AC296" s="1" t="s">
        <v>33</v>
      </c>
      <c r="AD296" s="1" t="s">
        <v>34</v>
      </c>
      <c r="AE296" s="1" t="s">
        <v>125</v>
      </c>
      <c r="AF296" s="5">
        <f t="shared" si="16"/>
        <v>45854</v>
      </c>
      <c r="AG296" s="5">
        <f t="shared" si="16"/>
        <v>45860</v>
      </c>
      <c r="AH296" s="5" t="b">
        <f t="shared" si="17"/>
        <v>1</v>
      </c>
      <c r="AI296" s="5" t="b">
        <f t="shared" si="17"/>
        <v>1</v>
      </c>
      <c r="AJ296" t="str">
        <f t="shared" si="18"/>
        <v>OK</v>
      </c>
      <c r="AK296">
        <f t="shared" si="19"/>
        <v>6</v>
      </c>
    </row>
    <row r="297" spans="1:37">
      <c r="A297" t="s">
        <v>1515</v>
      </c>
      <c r="B297" t="s">
        <v>1516</v>
      </c>
      <c r="C297" t="s">
        <v>1517</v>
      </c>
      <c r="D297" t="s">
        <v>1518</v>
      </c>
      <c r="E297" t="s">
        <v>107</v>
      </c>
      <c r="F297" t="s">
        <v>41</v>
      </c>
      <c r="G297" t="s">
        <v>42</v>
      </c>
      <c r="H297" t="s">
        <v>216</v>
      </c>
      <c r="I297" t="s">
        <v>217</v>
      </c>
      <c r="J297" t="s">
        <v>30</v>
      </c>
      <c r="K297" t="s">
        <v>198</v>
      </c>
      <c r="L297" t="s">
        <v>1519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  <c r="V297" s="1" t="s">
        <v>107</v>
      </c>
      <c r="W297" s="1" t="s">
        <v>41</v>
      </c>
      <c r="X297" s="1" t="s">
        <v>42</v>
      </c>
      <c r="Y297" s="1" t="s">
        <v>216</v>
      </c>
      <c r="Z297" s="1" t="s">
        <v>217</v>
      </c>
      <c r="AA297" s="1" t="s">
        <v>30</v>
      </c>
      <c r="AB297" s="1" t="s">
        <v>198</v>
      </c>
      <c r="AC297" s="1" t="s">
        <v>67</v>
      </c>
      <c r="AD297" s="1" t="s">
        <v>34</v>
      </c>
      <c r="AE297" s="1" t="s">
        <v>35</v>
      </c>
      <c r="AF297" s="5">
        <f t="shared" si="16"/>
        <v>45833</v>
      </c>
      <c r="AG297" s="5">
        <f t="shared" si="16"/>
        <v>45836</v>
      </c>
      <c r="AH297" s="5" t="b">
        <f t="shared" si="17"/>
        <v>1</v>
      </c>
      <c r="AI297" s="5" t="b">
        <f t="shared" si="17"/>
        <v>1</v>
      </c>
      <c r="AJ297" t="str">
        <f t="shared" si="18"/>
        <v>OK</v>
      </c>
      <c r="AK297">
        <f t="shared" si="19"/>
        <v>3</v>
      </c>
    </row>
    <row r="298" spans="1:37">
      <c r="A298" t="s">
        <v>1520</v>
      </c>
      <c r="B298" t="s">
        <v>1521</v>
      </c>
      <c r="C298" t="s">
        <v>1522</v>
      </c>
      <c r="D298" t="s">
        <v>1523</v>
      </c>
      <c r="E298" t="s">
        <v>107</v>
      </c>
      <c r="F298" t="s">
        <v>115</v>
      </c>
      <c r="G298" t="s">
        <v>27</v>
      </c>
      <c r="H298" t="s">
        <v>323</v>
      </c>
      <c r="I298" t="s">
        <v>324</v>
      </c>
      <c r="J298" t="s">
        <v>45</v>
      </c>
      <c r="K298" t="s">
        <v>65</v>
      </c>
      <c r="L298" t="s">
        <v>1524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  <c r="V298" s="1" t="s">
        <v>107</v>
      </c>
      <c r="W298" s="1" t="s">
        <v>115</v>
      </c>
      <c r="X298" s="1" t="s">
        <v>27</v>
      </c>
      <c r="Y298" s="1" t="s">
        <v>323</v>
      </c>
      <c r="Z298" s="1" t="s">
        <v>324</v>
      </c>
      <c r="AA298" s="1" t="s">
        <v>45</v>
      </c>
      <c r="AB298" s="1" t="s">
        <v>65</v>
      </c>
      <c r="AC298" s="1" t="s">
        <v>48</v>
      </c>
      <c r="AD298" s="1" t="s">
        <v>34</v>
      </c>
      <c r="AE298" s="1" t="s">
        <v>35</v>
      </c>
      <c r="AF298" s="5">
        <f t="shared" si="16"/>
        <v>45801</v>
      </c>
      <c r="AG298" s="5">
        <f t="shared" si="16"/>
        <v>45803</v>
      </c>
      <c r="AH298" s="5" t="b">
        <f t="shared" si="17"/>
        <v>1</v>
      </c>
      <c r="AI298" s="5" t="b">
        <f t="shared" si="17"/>
        <v>1</v>
      </c>
      <c r="AJ298" t="str">
        <f t="shared" si="18"/>
        <v>OK</v>
      </c>
      <c r="AK298">
        <f t="shared" si="19"/>
        <v>2</v>
      </c>
    </row>
    <row r="299" spans="1:37">
      <c r="A299" t="s">
        <v>1525</v>
      </c>
      <c r="B299" t="s">
        <v>1526</v>
      </c>
      <c r="C299" t="s">
        <v>1527</v>
      </c>
      <c r="D299" t="s">
        <v>1528</v>
      </c>
      <c r="E299" t="s">
        <v>168</v>
      </c>
      <c r="F299" t="s">
        <v>108</v>
      </c>
      <c r="G299" t="s">
        <v>62</v>
      </c>
      <c r="H299" t="s">
        <v>339</v>
      </c>
      <c r="I299" t="s">
        <v>340</v>
      </c>
      <c r="J299" t="s">
        <v>86</v>
      </c>
      <c r="K299" t="s">
        <v>94</v>
      </c>
      <c r="L299" t="s">
        <v>1529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  <c r="V299" s="1" t="s">
        <v>168</v>
      </c>
      <c r="W299" s="1" t="s">
        <v>108</v>
      </c>
      <c r="X299" s="1" t="s">
        <v>62</v>
      </c>
      <c r="Y299" s="1" t="s">
        <v>339</v>
      </c>
      <c r="Z299" s="1" t="s">
        <v>340</v>
      </c>
      <c r="AA299" s="1" t="s">
        <v>86</v>
      </c>
      <c r="AB299" s="1" t="s">
        <v>94</v>
      </c>
      <c r="AC299" s="1" t="s">
        <v>48</v>
      </c>
      <c r="AD299" s="1" t="s">
        <v>34</v>
      </c>
      <c r="AE299" s="1" t="s">
        <v>35</v>
      </c>
      <c r="AF299" s="5">
        <f t="shared" si="16"/>
        <v>45594</v>
      </c>
      <c r="AG299" s="5">
        <f t="shared" si="16"/>
        <v>45454</v>
      </c>
      <c r="AH299" s="5" t="b">
        <f t="shared" si="17"/>
        <v>1</v>
      </c>
      <c r="AI299" s="5" t="b">
        <f t="shared" si="17"/>
        <v>1</v>
      </c>
      <c r="AJ299" t="str">
        <f t="shared" si="18"/>
        <v>Invalid: Ship before Order</v>
      </c>
      <c r="AK299" t="e">
        <f t="shared" si="19"/>
        <v>#NUM!</v>
      </c>
    </row>
    <row r="300" spans="1:37">
      <c r="A300" t="s">
        <v>1530</v>
      </c>
      <c r="B300" t="s">
        <v>1531</v>
      </c>
      <c r="C300" t="s">
        <v>1532</v>
      </c>
      <c r="D300" t="s">
        <v>1533</v>
      </c>
      <c r="E300" t="s">
        <v>53</v>
      </c>
      <c r="F300" t="s">
        <v>26</v>
      </c>
      <c r="G300" t="s">
        <v>62</v>
      </c>
      <c r="H300" t="s">
        <v>242</v>
      </c>
      <c r="I300" t="s">
        <v>243</v>
      </c>
      <c r="J300" t="s">
        <v>86</v>
      </c>
      <c r="K300" t="s">
        <v>94</v>
      </c>
      <c r="L300" t="s">
        <v>1534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200</v>
      </c>
      <c r="U300" t="s">
        <v>125</v>
      </c>
      <c r="V300" s="1" t="s">
        <v>53</v>
      </c>
      <c r="W300" s="1" t="s">
        <v>26</v>
      </c>
      <c r="X300" s="1" t="s">
        <v>62</v>
      </c>
      <c r="Y300" s="1" t="s">
        <v>242</v>
      </c>
      <c r="Z300" s="1" t="s">
        <v>243</v>
      </c>
      <c r="AA300" s="1" t="s">
        <v>86</v>
      </c>
      <c r="AB300" s="1" t="s">
        <v>94</v>
      </c>
      <c r="AC300" s="1" t="s">
        <v>56</v>
      </c>
      <c r="AD300" s="1" t="s">
        <v>200</v>
      </c>
      <c r="AE300" s="1" t="s">
        <v>125</v>
      </c>
      <c r="AF300" s="5" t="e">
        <f t="shared" si="16"/>
        <v>#N/A</v>
      </c>
      <c r="AG300" s="5">
        <f t="shared" si="16"/>
        <v>45683</v>
      </c>
      <c r="AH300" s="5" t="b">
        <f t="shared" si="17"/>
        <v>0</v>
      </c>
      <c r="AI300" s="5" t="b">
        <f t="shared" si="17"/>
        <v>1</v>
      </c>
      <c r="AJ300" t="e">
        <f t="shared" si="18"/>
        <v>#N/A</v>
      </c>
      <c r="AK300" t="e">
        <f t="shared" si="19"/>
        <v>#N/A</v>
      </c>
    </row>
    <row r="301" spans="1:37">
      <c r="A301" t="s">
        <v>1535</v>
      </c>
      <c r="B301" t="s">
        <v>1527</v>
      </c>
      <c r="C301" t="s">
        <v>1536</v>
      </c>
      <c r="D301" t="s">
        <v>1537</v>
      </c>
      <c r="E301" t="s">
        <v>148</v>
      </c>
      <c r="F301" t="s">
        <v>41</v>
      </c>
      <c r="G301" t="s">
        <v>73</v>
      </c>
      <c r="H301" t="s">
        <v>235</v>
      </c>
      <c r="I301" t="s">
        <v>236</v>
      </c>
      <c r="J301" t="s">
        <v>86</v>
      </c>
      <c r="K301" t="s">
        <v>87</v>
      </c>
      <c r="L301" t="s">
        <v>1538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  <c r="V301" s="1" t="s">
        <v>148</v>
      </c>
      <c r="W301" s="1" t="s">
        <v>41</v>
      </c>
      <c r="X301" s="1" t="s">
        <v>73</v>
      </c>
      <c r="Y301" s="1" t="s">
        <v>235</v>
      </c>
      <c r="Z301" s="1" t="s">
        <v>236</v>
      </c>
      <c r="AA301" s="1" t="s">
        <v>86</v>
      </c>
      <c r="AB301" s="1" t="s">
        <v>87</v>
      </c>
      <c r="AC301" s="1" t="s">
        <v>67</v>
      </c>
      <c r="AD301" s="1" t="s">
        <v>34</v>
      </c>
      <c r="AE301" s="1" t="s">
        <v>35</v>
      </c>
      <c r="AF301" s="5">
        <f t="shared" si="16"/>
        <v>45454</v>
      </c>
      <c r="AG301" s="5">
        <f t="shared" si="16"/>
        <v>45608</v>
      </c>
      <c r="AH301" s="5" t="b">
        <f t="shared" si="17"/>
        <v>1</v>
      </c>
      <c r="AI301" s="5" t="b">
        <f t="shared" si="17"/>
        <v>1</v>
      </c>
      <c r="AJ301" t="str">
        <f t="shared" si="18"/>
        <v>OK</v>
      </c>
      <c r="AK301">
        <f t="shared" si="19"/>
        <v>154</v>
      </c>
    </row>
    <row r="302" spans="1:37">
      <c r="A302" t="s">
        <v>1539</v>
      </c>
      <c r="B302" t="s">
        <v>1540</v>
      </c>
      <c r="C302" t="s">
        <v>1541</v>
      </c>
      <c r="D302" t="s">
        <v>1542</v>
      </c>
      <c r="E302" t="s">
        <v>210</v>
      </c>
      <c r="F302" t="s">
        <v>41</v>
      </c>
      <c r="G302" t="s">
        <v>27</v>
      </c>
      <c r="H302" t="s">
        <v>154</v>
      </c>
      <c r="I302" t="s">
        <v>155</v>
      </c>
      <c r="J302" t="s">
        <v>86</v>
      </c>
      <c r="K302" t="s">
        <v>87</v>
      </c>
      <c r="L302" t="s">
        <v>1543</v>
      </c>
      <c r="M302" t="s">
        <v>33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  <c r="V302" s="1" t="s">
        <v>210</v>
      </c>
      <c r="W302" s="1" t="s">
        <v>41</v>
      </c>
      <c r="X302" s="1" t="s">
        <v>27</v>
      </c>
      <c r="Y302" s="1" t="s">
        <v>154</v>
      </c>
      <c r="Z302" s="1" t="s">
        <v>155</v>
      </c>
      <c r="AA302" s="1" t="s">
        <v>86</v>
      </c>
      <c r="AB302" s="1" t="s">
        <v>87</v>
      </c>
      <c r="AC302" s="1" t="s">
        <v>33</v>
      </c>
      <c r="AD302" s="1" t="s">
        <v>34</v>
      </c>
      <c r="AE302" s="1" t="s">
        <v>35</v>
      </c>
      <c r="AF302" s="5" t="e">
        <f t="shared" si="16"/>
        <v>#N/A</v>
      </c>
      <c r="AG302" s="5">
        <f t="shared" si="16"/>
        <v>45405</v>
      </c>
      <c r="AH302" s="5" t="b">
        <f t="shared" si="17"/>
        <v>0</v>
      </c>
      <c r="AI302" s="5" t="b">
        <f t="shared" si="17"/>
        <v>1</v>
      </c>
      <c r="AJ302" t="e">
        <f t="shared" si="18"/>
        <v>#N/A</v>
      </c>
      <c r="AK302" t="e">
        <f t="shared" si="19"/>
        <v>#N/A</v>
      </c>
    </row>
    <row r="303" spans="1:37">
      <c r="A303" t="s">
        <v>1544</v>
      </c>
      <c r="B303" t="s">
        <v>1018</v>
      </c>
      <c r="C303" t="s">
        <v>1545</v>
      </c>
      <c r="D303" t="s">
        <v>1546</v>
      </c>
      <c r="E303" t="s">
        <v>53</v>
      </c>
      <c r="F303" t="s">
        <v>115</v>
      </c>
      <c r="G303" t="s">
        <v>42</v>
      </c>
      <c r="H303" t="s">
        <v>186</v>
      </c>
      <c r="I303" t="s">
        <v>187</v>
      </c>
      <c r="J303" t="s">
        <v>86</v>
      </c>
      <c r="K303" t="s">
        <v>223</v>
      </c>
      <c r="L303" t="s">
        <v>1547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  <c r="V303" s="1" t="s">
        <v>53</v>
      </c>
      <c r="W303" s="1" t="s">
        <v>115</v>
      </c>
      <c r="X303" s="1" t="s">
        <v>42</v>
      </c>
      <c r="Y303" s="1" t="s">
        <v>186</v>
      </c>
      <c r="Z303" s="1" t="s">
        <v>187</v>
      </c>
      <c r="AA303" s="1" t="s">
        <v>86</v>
      </c>
      <c r="AB303" s="1" t="s">
        <v>223</v>
      </c>
      <c r="AC303" s="1" t="s">
        <v>48</v>
      </c>
      <c r="AD303" s="1" t="s">
        <v>34</v>
      </c>
      <c r="AE303" s="1" t="s">
        <v>35</v>
      </c>
      <c r="AF303" s="5">
        <f t="shared" si="16"/>
        <v>45805</v>
      </c>
      <c r="AG303" s="5">
        <f t="shared" si="16"/>
        <v>45663</v>
      </c>
      <c r="AH303" s="5" t="b">
        <f t="shared" si="17"/>
        <v>1</v>
      </c>
      <c r="AI303" s="5" t="b">
        <f t="shared" si="17"/>
        <v>1</v>
      </c>
      <c r="AJ303" t="str">
        <f t="shared" si="18"/>
        <v>Invalid: Ship before Order</v>
      </c>
      <c r="AK303" t="e">
        <f t="shared" si="19"/>
        <v>#NUM!</v>
      </c>
    </row>
    <row r="304" spans="1:37">
      <c r="A304" t="s">
        <v>1548</v>
      </c>
      <c r="B304" t="s">
        <v>1389</v>
      </c>
      <c r="C304" t="s">
        <v>1549</v>
      </c>
      <c r="D304" t="s">
        <v>1550</v>
      </c>
      <c r="E304" t="s">
        <v>93</v>
      </c>
      <c r="F304" t="s">
        <v>26</v>
      </c>
      <c r="G304" t="s">
        <v>73</v>
      </c>
      <c r="H304" t="s">
        <v>249</v>
      </c>
      <c r="I304" t="s">
        <v>250</v>
      </c>
      <c r="J304" t="s">
        <v>918</v>
      </c>
      <c r="K304" t="s">
        <v>156</v>
      </c>
      <c r="L304" t="s">
        <v>1551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  <c r="V304" s="1" t="s">
        <v>93</v>
      </c>
      <c r="W304" s="1" t="s">
        <v>26</v>
      </c>
      <c r="X304" s="1" t="s">
        <v>73</v>
      </c>
      <c r="Y304" s="1" t="s">
        <v>249</v>
      </c>
      <c r="Z304" s="1" t="s">
        <v>250</v>
      </c>
      <c r="AA304" s="1" t="s">
        <v>30</v>
      </c>
      <c r="AB304" s="1" t="s">
        <v>156</v>
      </c>
      <c r="AC304" s="1" t="s">
        <v>48</v>
      </c>
      <c r="AD304" s="1" t="s">
        <v>34</v>
      </c>
      <c r="AE304" s="1" t="s">
        <v>35</v>
      </c>
      <c r="AF304" s="5">
        <f t="shared" si="16"/>
        <v>45753</v>
      </c>
      <c r="AG304" s="5">
        <f t="shared" si="16"/>
        <v>45820</v>
      </c>
      <c r="AH304" s="5" t="b">
        <f t="shared" si="17"/>
        <v>1</v>
      </c>
      <c r="AI304" s="5" t="b">
        <f t="shared" si="17"/>
        <v>1</v>
      </c>
      <c r="AJ304" t="str">
        <f t="shared" si="18"/>
        <v>OK</v>
      </c>
      <c r="AK304">
        <f t="shared" si="19"/>
        <v>67</v>
      </c>
    </row>
    <row r="305" spans="1:37">
      <c r="A305" t="s">
        <v>1552</v>
      </c>
      <c r="B305" t="s">
        <v>1553</v>
      </c>
      <c r="C305" t="s">
        <v>1043</v>
      </c>
      <c r="D305" t="s">
        <v>1554</v>
      </c>
      <c r="E305" t="s">
        <v>210</v>
      </c>
      <c r="F305" t="s">
        <v>115</v>
      </c>
      <c r="G305" t="s">
        <v>73</v>
      </c>
      <c r="H305" t="s">
        <v>235</v>
      </c>
      <c r="I305" t="s">
        <v>236</v>
      </c>
      <c r="J305" t="s">
        <v>45</v>
      </c>
      <c r="K305" t="s">
        <v>76</v>
      </c>
      <c r="L305" t="s">
        <v>1555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137</v>
      </c>
      <c r="U305" t="s">
        <v>125</v>
      </c>
      <c r="V305" s="1" t="s">
        <v>210</v>
      </c>
      <c r="W305" s="1" t="s">
        <v>115</v>
      </c>
      <c r="X305" s="1" t="s">
        <v>73</v>
      </c>
      <c r="Y305" s="1" t="s">
        <v>235</v>
      </c>
      <c r="Z305" s="1" t="s">
        <v>236</v>
      </c>
      <c r="AA305" s="1" t="s">
        <v>45</v>
      </c>
      <c r="AB305" s="1" t="s">
        <v>76</v>
      </c>
      <c r="AC305" s="1" t="s">
        <v>67</v>
      </c>
      <c r="AD305" s="1" t="s">
        <v>137</v>
      </c>
      <c r="AE305" s="1" t="s">
        <v>125</v>
      </c>
      <c r="AF305" s="5">
        <f t="shared" si="16"/>
        <v>45466</v>
      </c>
      <c r="AG305" s="5" t="e">
        <f t="shared" si="16"/>
        <v>#N/A</v>
      </c>
      <c r="AH305" s="5" t="b">
        <f t="shared" si="17"/>
        <v>1</v>
      </c>
      <c r="AI305" s="5" t="b">
        <f t="shared" si="17"/>
        <v>0</v>
      </c>
      <c r="AJ305" t="e">
        <f t="shared" si="18"/>
        <v>#N/A</v>
      </c>
      <c r="AK305" t="e">
        <f t="shared" si="19"/>
        <v>#N/A</v>
      </c>
    </row>
    <row r="306" spans="1:37">
      <c r="A306" t="s">
        <v>1556</v>
      </c>
      <c r="B306" t="s">
        <v>1557</v>
      </c>
      <c r="C306" t="s">
        <v>1558</v>
      </c>
      <c r="D306" t="s">
        <v>1559</v>
      </c>
      <c r="E306" t="s">
        <v>25</v>
      </c>
      <c r="F306" t="s">
        <v>26</v>
      </c>
      <c r="G306" t="s">
        <v>27</v>
      </c>
      <c r="H306" t="s">
        <v>154</v>
      </c>
      <c r="I306" t="s">
        <v>155</v>
      </c>
      <c r="J306" t="s">
        <v>45</v>
      </c>
      <c r="K306" t="s">
        <v>65</v>
      </c>
      <c r="L306" t="s">
        <v>1560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  <c r="V306" s="1" t="s">
        <v>25</v>
      </c>
      <c r="W306" s="1" t="s">
        <v>26</v>
      </c>
      <c r="X306" s="1" t="s">
        <v>27</v>
      </c>
      <c r="Y306" s="1" t="s">
        <v>154</v>
      </c>
      <c r="Z306" s="1" t="s">
        <v>155</v>
      </c>
      <c r="AA306" s="1" t="s">
        <v>45</v>
      </c>
      <c r="AB306" s="1" t="s">
        <v>65</v>
      </c>
      <c r="AC306" s="1" t="s">
        <v>67</v>
      </c>
      <c r="AD306" s="1" t="s">
        <v>34</v>
      </c>
      <c r="AE306" s="1" t="s">
        <v>35</v>
      </c>
      <c r="AF306" s="5">
        <f t="shared" si="16"/>
        <v>45357</v>
      </c>
      <c r="AG306" s="5">
        <f t="shared" si="16"/>
        <v>45364</v>
      </c>
      <c r="AH306" s="5" t="b">
        <f t="shared" si="17"/>
        <v>1</v>
      </c>
      <c r="AI306" s="5" t="b">
        <f t="shared" si="17"/>
        <v>1</v>
      </c>
      <c r="AJ306" t="str">
        <f t="shared" si="18"/>
        <v>OK</v>
      </c>
      <c r="AK306">
        <f t="shared" si="19"/>
        <v>7</v>
      </c>
    </row>
    <row r="307" spans="1:37">
      <c r="A307" t="s">
        <v>1561</v>
      </c>
      <c r="B307" t="s">
        <v>1562</v>
      </c>
      <c r="C307" t="s">
        <v>1225</v>
      </c>
      <c r="D307" t="s">
        <v>1563</v>
      </c>
      <c r="E307" t="s">
        <v>72</v>
      </c>
      <c r="F307" t="s">
        <v>26</v>
      </c>
      <c r="G307" t="s">
        <v>42</v>
      </c>
      <c r="H307" t="s">
        <v>216</v>
      </c>
      <c r="I307" t="s">
        <v>217</v>
      </c>
      <c r="J307" t="s">
        <v>45</v>
      </c>
      <c r="K307" t="s">
        <v>76</v>
      </c>
      <c r="L307" t="s">
        <v>1564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  <c r="V307" s="1" t="s">
        <v>72</v>
      </c>
      <c r="W307" s="1" t="s">
        <v>26</v>
      </c>
      <c r="X307" s="1" t="s">
        <v>42</v>
      </c>
      <c r="Y307" s="1" t="s">
        <v>216</v>
      </c>
      <c r="Z307" s="1" t="s">
        <v>217</v>
      </c>
      <c r="AA307" s="1" t="s">
        <v>45</v>
      </c>
      <c r="AB307" s="1" t="s">
        <v>76</v>
      </c>
      <c r="AC307" s="1" t="s">
        <v>56</v>
      </c>
      <c r="AD307" s="1" t="s">
        <v>34</v>
      </c>
      <c r="AE307" s="1" t="s">
        <v>78</v>
      </c>
      <c r="AF307" s="5">
        <f t="shared" si="16"/>
        <v>45413</v>
      </c>
      <c r="AG307" s="5">
        <f t="shared" si="16"/>
        <v>45414</v>
      </c>
      <c r="AH307" s="5" t="b">
        <f t="shared" si="17"/>
        <v>1</v>
      </c>
      <c r="AI307" s="5" t="b">
        <f t="shared" si="17"/>
        <v>1</v>
      </c>
      <c r="AJ307" t="str">
        <f t="shared" si="18"/>
        <v>OK</v>
      </c>
      <c r="AK307">
        <f t="shared" si="19"/>
        <v>1</v>
      </c>
    </row>
    <row r="308" spans="1:37">
      <c r="A308" t="s">
        <v>1565</v>
      </c>
      <c r="B308" t="s">
        <v>1566</v>
      </c>
      <c r="C308" t="s">
        <v>97</v>
      </c>
      <c r="D308" t="s">
        <v>1567</v>
      </c>
      <c r="E308" t="s">
        <v>162</v>
      </c>
      <c r="F308" t="s">
        <v>26</v>
      </c>
      <c r="G308" t="s">
        <v>27</v>
      </c>
      <c r="H308" t="s">
        <v>28</v>
      </c>
      <c r="I308" t="s">
        <v>29</v>
      </c>
      <c r="J308" t="s">
        <v>86</v>
      </c>
      <c r="K308" t="s">
        <v>223</v>
      </c>
      <c r="L308" t="s">
        <v>1568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  <c r="V308" s="1" t="s">
        <v>162</v>
      </c>
      <c r="W308" s="1" t="s">
        <v>26</v>
      </c>
      <c r="X308" s="1" t="s">
        <v>27</v>
      </c>
      <c r="Y308" s="1" t="s">
        <v>28</v>
      </c>
      <c r="Z308" s="1" t="s">
        <v>29</v>
      </c>
      <c r="AA308" s="1" t="s">
        <v>86</v>
      </c>
      <c r="AB308" s="1" t="s">
        <v>223</v>
      </c>
      <c r="AC308" s="1" t="s">
        <v>33</v>
      </c>
      <c r="AD308" s="1" t="s">
        <v>34</v>
      </c>
      <c r="AE308" s="1" t="s">
        <v>35</v>
      </c>
      <c r="AF308" s="5">
        <f t="shared" si="16"/>
        <v>45708</v>
      </c>
      <c r="AG308" s="5">
        <f t="shared" si="16"/>
        <v>45711</v>
      </c>
      <c r="AH308" s="5" t="b">
        <f t="shared" si="17"/>
        <v>1</v>
      </c>
      <c r="AI308" s="5" t="b">
        <f t="shared" si="17"/>
        <v>1</v>
      </c>
      <c r="AJ308" t="str">
        <f t="shared" si="18"/>
        <v>OK</v>
      </c>
      <c r="AK308">
        <f t="shared" si="19"/>
        <v>3</v>
      </c>
    </row>
    <row r="309" spans="1:37">
      <c r="A309" t="s">
        <v>1569</v>
      </c>
      <c r="B309" t="s">
        <v>1570</v>
      </c>
      <c r="C309" t="s">
        <v>1571</v>
      </c>
      <c r="D309" t="s">
        <v>1572</v>
      </c>
      <c r="E309" t="s">
        <v>72</v>
      </c>
      <c r="F309" t="s">
        <v>108</v>
      </c>
      <c r="G309" t="s">
        <v>27</v>
      </c>
      <c r="H309" t="s">
        <v>174</v>
      </c>
      <c r="I309" t="s">
        <v>175</v>
      </c>
      <c r="J309" t="s">
        <v>45</v>
      </c>
      <c r="K309" t="s">
        <v>46</v>
      </c>
      <c r="L309" t="s">
        <v>1573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1574</v>
      </c>
      <c r="U309" t="s">
        <v>78</v>
      </c>
      <c r="V309" s="1" t="s">
        <v>72</v>
      </c>
      <c r="W309" s="1" t="s">
        <v>108</v>
      </c>
      <c r="X309" s="1" t="s">
        <v>27</v>
      </c>
      <c r="Y309" s="1" t="s">
        <v>174</v>
      </c>
      <c r="Z309" s="1" t="s">
        <v>175</v>
      </c>
      <c r="AA309" s="1" t="s">
        <v>45</v>
      </c>
      <c r="AB309" s="1" t="s">
        <v>46</v>
      </c>
      <c r="AC309" s="1" t="s">
        <v>56</v>
      </c>
      <c r="AD309" s="1" t="s">
        <v>137</v>
      </c>
      <c r="AE309" s="1" t="s">
        <v>78</v>
      </c>
      <c r="AF309" s="5">
        <f t="shared" si="16"/>
        <v>45850</v>
      </c>
      <c r="AG309" s="5">
        <f t="shared" si="16"/>
        <v>45857</v>
      </c>
      <c r="AH309" s="5" t="b">
        <f t="shared" si="17"/>
        <v>1</v>
      </c>
      <c r="AI309" s="5" t="b">
        <f t="shared" si="17"/>
        <v>1</v>
      </c>
      <c r="AJ309" t="str">
        <f t="shared" si="18"/>
        <v>OK</v>
      </c>
      <c r="AK309">
        <f t="shared" si="19"/>
        <v>7</v>
      </c>
    </row>
    <row r="310" spans="1:37">
      <c r="A310" t="s">
        <v>1575</v>
      </c>
      <c r="B310" t="s">
        <v>1576</v>
      </c>
      <c r="C310" t="s">
        <v>1577</v>
      </c>
      <c r="D310" t="s">
        <v>1578</v>
      </c>
      <c r="E310" t="s">
        <v>180</v>
      </c>
      <c r="F310" t="s">
        <v>26</v>
      </c>
      <c r="G310" t="s">
        <v>27</v>
      </c>
      <c r="H310" t="s">
        <v>28</v>
      </c>
      <c r="I310" t="s">
        <v>29</v>
      </c>
      <c r="J310" t="s">
        <v>45</v>
      </c>
      <c r="K310" t="s">
        <v>46</v>
      </c>
      <c r="L310" t="s">
        <v>1579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  <c r="V310" s="1" t="s">
        <v>180</v>
      </c>
      <c r="W310" s="1" t="s">
        <v>26</v>
      </c>
      <c r="X310" s="1" t="s">
        <v>27</v>
      </c>
      <c r="Y310" s="1" t="s">
        <v>28</v>
      </c>
      <c r="Z310" s="1" t="s">
        <v>29</v>
      </c>
      <c r="AA310" s="1" t="s">
        <v>45</v>
      </c>
      <c r="AB310" s="1" t="s">
        <v>46</v>
      </c>
      <c r="AC310" s="1" t="s">
        <v>56</v>
      </c>
      <c r="AD310" s="1" t="s">
        <v>34</v>
      </c>
      <c r="AE310" s="1" t="s">
        <v>35</v>
      </c>
      <c r="AF310" s="5">
        <f t="shared" si="16"/>
        <v>45821</v>
      </c>
      <c r="AG310" s="5">
        <f t="shared" si="16"/>
        <v>45827</v>
      </c>
      <c r="AH310" s="5" t="b">
        <f t="shared" si="17"/>
        <v>1</v>
      </c>
      <c r="AI310" s="5" t="b">
        <f t="shared" si="17"/>
        <v>1</v>
      </c>
      <c r="AJ310" t="str">
        <f t="shared" si="18"/>
        <v>OK</v>
      </c>
      <c r="AK310">
        <f t="shared" si="19"/>
        <v>6</v>
      </c>
    </row>
    <row r="311" spans="1:37">
      <c r="A311" t="s">
        <v>1580</v>
      </c>
      <c r="B311" t="s">
        <v>1581</v>
      </c>
      <c r="C311" t="s">
        <v>127</v>
      </c>
      <c r="D311" t="s">
        <v>1582</v>
      </c>
      <c r="E311" t="s">
        <v>72</v>
      </c>
      <c r="F311" t="s">
        <v>26</v>
      </c>
      <c r="G311" t="s">
        <v>62</v>
      </c>
      <c r="H311" t="s">
        <v>339</v>
      </c>
      <c r="I311" t="s">
        <v>340</v>
      </c>
      <c r="J311" t="s">
        <v>45</v>
      </c>
      <c r="K311" t="s">
        <v>46</v>
      </c>
      <c r="L311" t="s">
        <v>1583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  <c r="V311" s="1" t="s">
        <v>72</v>
      </c>
      <c r="W311" s="1" t="s">
        <v>26</v>
      </c>
      <c r="X311" s="1" t="s">
        <v>62</v>
      </c>
      <c r="Y311" s="1" t="s">
        <v>339</v>
      </c>
      <c r="Z311" s="1" t="s">
        <v>340</v>
      </c>
      <c r="AA311" s="1" t="s">
        <v>45</v>
      </c>
      <c r="AB311" s="1" t="s">
        <v>46</v>
      </c>
      <c r="AC311" s="1" t="s">
        <v>56</v>
      </c>
      <c r="AD311" s="1" t="s">
        <v>34</v>
      </c>
      <c r="AE311" s="1" t="s">
        <v>78</v>
      </c>
      <c r="AF311" s="5">
        <f t="shared" si="16"/>
        <v>45493</v>
      </c>
      <c r="AG311" s="5">
        <f t="shared" si="16"/>
        <v>45495</v>
      </c>
      <c r="AH311" s="5" t="b">
        <f t="shared" si="17"/>
        <v>1</v>
      </c>
      <c r="AI311" s="5" t="b">
        <f t="shared" si="17"/>
        <v>1</v>
      </c>
      <c r="AJ311" t="str">
        <f t="shared" si="18"/>
        <v>OK</v>
      </c>
      <c r="AK311">
        <f t="shared" si="19"/>
        <v>2</v>
      </c>
    </row>
    <row r="312" spans="1:37">
      <c r="A312" t="s">
        <v>1584</v>
      </c>
      <c r="B312" t="s">
        <v>1585</v>
      </c>
      <c r="C312" t="s">
        <v>1586</v>
      </c>
      <c r="D312" t="s">
        <v>1587</v>
      </c>
      <c r="E312" t="s">
        <v>180</v>
      </c>
      <c r="F312" t="s">
        <v>41</v>
      </c>
      <c r="G312" t="s">
        <v>62</v>
      </c>
      <c r="H312" t="s">
        <v>339</v>
      </c>
      <c r="I312" t="s">
        <v>340</v>
      </c>
      <c r="J312" t="s">
        <v>86</v>
      </c>
      <c r="K312" t="s">
        <v>382</v>
      </c>
      <c r="L312" t="s">
        <v>1588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  <c r="V312" s="1" t="s">
        <v>180</v>
      </c>
      <c r="W312" s="1" t="s">
        <v>41</v>
      </c>
      <c r="X312" s="1" t="s">
        <v>62</v>
      </c>
      <c r="Y312" s="1" t="s">
        <v>339</v>
      </c>
      <c r="Z312" s="1" t="s">
        <v>340</v>
      </c>
      <c r="AA312" s="1" t="s">
        <v>86</v>
      </c>
      <c r="AB312" s="1" t="s">
        <v>382</v>
      </c>
      <c r="AC312" s="1" t="s">
        <v>56</v>
      </c>
      <c r="AD312" s="1" t="s">
        <v>34</v>
      </c>
      <c r="AE312" s="1" t="s">
        <v>35</v>
      </c>
      <c r="AF312" s="5">
        <f t="shared" si="16"/>
        <v>45389</v>
      </c>
      <c r="AG312" s="5">
        <f t="shared" si="16"/>
        <v>45511</v>
      </c>
      <c r="AH312" s="5" t="b">
        <f t="shared" si="17"/>
        <v>1</v>
      </c>
      <c r="AI312" s="5" t="b">
        <f t="shared" si="17"/>
        <v>1</v>
      </c>
      <c r="AJ312" t="str">
        <f t="shared" si="18"/>
        <v>OK</v>
      </c>
      <c r="AK312">
        <f t="shared" si="19"/>
        <v>122</v>
      </c>
    </row>
    <row r="313" spans="1:37">
      <c r="A313" t="s">
        <v>1589</v>
      </c>
      <c r="B313" t="s">
        <v>1590</v>
      </c>
      <c r="C313" t="s">
        <v>948</v>
      </c>
      <c r="D313" t="s">
        <v>1591</v>
      </c>
      <c r="E313" t="s">
        <v>40</v>
      </c>
      <c r="F313" t="s">
        <v>108</v>
      </c>
      <c r="G313" t="s">
        <v>62</v>
      </c>
      <c r="H313" t="s">
        <v>229</v>
      </c>
      <c r="I313" t="s">
        <v>230</v>
      </c>
      <c r="J313" t="s">
        <v>30</v>
      </c>
      <c r="K313" t="s">
        <v>198</v>
      </c>
      <c r="L313" t="s">
        <v>1592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  <c r="V313" s="1" t="s">
        <v>40</v>
      </c>
      <c r="W313" s="1" t="s">
        <v>108</v>
      </c>
      <c r="X313" s="1" t="s">
        <v>62</v>
      </c>
      <c r="Y313" s="1" t="s">
        <v>229</v>
      </c>
      <c r="Z313" s="1" t="s">
        <v>230</v>
      </c>
      <c r="AA313" s="1" t="s">
        <v>30</v>
      </c>
      <c r="AB313" s="1" t="s">
        <v>198</v>
      </c>
      <c r="AC313" s="1" t="s">
        <v>33</v>
      </c>
      <c r="AD313" s="1" t="s">
        <v>34</v>
      </c>
      <c r="AE313" s="1" t="s">
        <v>35</v>
      </c>
      <c r="AF313" s="5" t="e">
        <f t="shared" si="16"/>
        <v>#N/A</v>
      </c>
      <c r="AG313" s="5">
        <f t="shared" si="16"/>
        <v>45327</v>
      </c>
      <c r="AH313" s="5" t="b">
        <f t="shared" si="17"/>
        <v>0</v>
      </c>
      <c r="AI313" s="5" t="b">
        <f t="shared" si="17"/>
        <v>1</v>
      </c>
      <c r="AJ313" t="e">
        <f t="shared" si="18"/>
        <v>#N/A</v>
      </c>
      <c r="AK313" t="e">
        <f t="shared" si="19"/>
        <v>#N/A</v>
      </c>
    </row>
    <row r="314" spans="1:37">
      <c r="A314" t="s">
        <v>1593</v>
      </c>
      <c r="B314" t="s">
        <v>1594</v>
      </c>
      <c r="C314" t="s">
        <v>516</v>
      </c>
      <c r="D314" t="s">
        <v>1595</v>
      </c>
      <c r="E314" t="s">
        <v>25</v>
      </c>
      <c r="F314" t="s">
        <v>41</v>
      </c>
      <c r="G314" t="s">
        <v>42</v>
      </c>
      <c r="H314" t="s">
        <v>216</v>
      </c>
      <c r="I314" t="s">
        <v>217</v>
      </c>
      <c r="J314" t="s">
        <v>86</v>
      </c>
      <c r="K314" t="s">
        <v>223</v>
      </c>
      <c r="L314" t="s">
        <v>1596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  <c r="V314" s="1" t="s">
        <v>25</v>
      </c>
      <c r="W314" s="1" t="s">
        <v>41</v>
      </c>
      <c r="X314" s="1" t="s">
        <v>42</v>
      </c>
      <c r="Y314" s="1" t="s">
        <v>216</v>
      </c>
      <c r="Z314" s="1" t="s">
        <v>217</v>
      </c>
      <c r="AA314" s="1" t="s">
        <v>86</v>
      </c>
      <c r="AB314" s="1" t="s">
        <v>223</v>
      </c>
      <c r="AC314" s="1" t="s">
        <v>67</v>
      </c>
      <c r="AD314" s="1" t="s">
        <v>34</v>
      </c>
      <c r="AE314" s="1" t="s">
        <v>78</v>
      </c>
      <c r="AF314" s="5">
        <f t="shared" si="16"/>
        <v>45504</v>
      </c>
      <c r="AG314" s="5">
        <f t="shared" si="16"/>
        <v>45390</v>
      </c>
      <c r="AH314" s="5" t="b">
        <f t="shared" si="17"/>
        <v>1</v>
      </c>
      <c r="AI314" s="5" t="b">
        <f t="shared" si="17"/>
        <v>1</v>
      </c>
      <c r="AJ314" t="str">
        <f t="shared" si="18"/>
        <v>Invalid: Ship before Order</v>
      </c>
      <c r="AK314" t="e">
        <f t="shared" si="19"/>
        <v>#NUM!</v>
      </c>
    </row>
    <row r="315" spans="1:37">
      <c r="A315" t="s">
        <v>1597</v>
      </c>
      <c r="B315" t="s">
        <v>1598</v>
      </c>
      <c r="C315" t="s">
        <v>1599</v>
      </c>
      <c r="D315" t="s">
        <v>1600</v>
      </c>
      <c r="E315" t="s">
        <v>148</v>
      </c>
      <c r="F315" t="s">
        <v>108</v>
      </c>
      <c r="G315" t="s">
        <v>27</v>
      </c>
      <c r="H315" t="s">
        <v>174</v>
      </c>
      <c r="I315" t="s">
        <v>175</v>
      </c>
      <c r="J315" t="s">
        <v>86</v>
      </c>
      <c r="K315" t="s">
        <v>223</v>
      </c>
      <c r="L315" t="s">
        <v>1601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  <c r="V315" s="1" t="s">
        <v>148</v>
      </c>
      <c r="W315" s="1" t="s">
        <v>108</v>
      </c>
      <c r="X315" s="1" t="s">
        <v>27</v>
      </c>
      <c r="Y315" s="1" t="s">
        <v>174</v>
      </c>
      <c r="Z315" s="1" t="s">
        <v>175</v>
      </c>
      <c r="AA315" s="1" t="s">
        <v>86</v>
      </c>
      <c r="AB315" s="1" t="s">
        <v>223</v>
      </c>
      <c r="AC315" s="1" t="s">
        <v>56</v>
      </c>
      <c r="AD315" s="1" t="s">
        <v>124</v>
      </c>
      <c r="AE315" s="1" t="s">
        <v>78</v>
      </c>
      <c r="AF315" s="5">
        <f t="shared" si="16"/>
        <v>45807</v>
      </c>
      <c r="AG315" s="5" t="e">
        <f t="shared" si="16"/>
        <v>#N/A</v>
      </c>
      <c r="AH315" s="5" t="b">
        <f t="shared" si="17"/>
        <v>1</v>
      </c>
      <c r="AI315" s="5" t="b">
        <f t="shared" si="17"/>
        <v>0</v>
      </c>
      <c r="AJ315" t="e">
        <f t="shared" si="18"/>
        <v>#N/A</v>
      </c>
      <c r="AK315" t="e">
        <f t="shared" si="19"/>
        <v>#N/A</v>
      </c>
    </row>
    <row r="316" spans="1:37">
      <c r="A316" t="s">
        <v>1602</v>
      </c>
      <c r="B316" t="s">
        <v>1104</v>
      </c>
      <c r="C316" t="s">
        <v>118</v>
      </c>
      <c r="D316" t="s">
        <v>1603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1604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200</v>
      </c>
      <c r="U316" t="s">
        <v>125</v>
      </c>
      <c r="V316" s="1" t="s">
        <v>53</v>
      </c>
      <c r="W316" s="1" t="s">
        <v>108</v>
      </c>
      <c r="X316" s="1" t="s">
        <v>73</v>
      </c>
      <c r="Y316" s="1" t="s">
        <v>84</v>
      </c>
      <c r="Z316" s="1" t="s">
        <v>85</v>
      </c>
      <c r="AA316" s="1" t="s">
        <v>30</v>
      </c>
      <c r="AB316" s="1" t="s">
        <v>109</v>
      </c>
      <c r="AC316" s="1" t="s">
        <v>67</v>
      </c>
      <c r="AD316" s="1" t="s">
        <v>200</v>
      </c>
      <c r="AE316" s="1" t="s">
        <v>125</v>
      </c>
      <c r="AF316" s="5">
        <f t="shared" si="16"/>
        <v>45795</v>
      </c>
      <c r="AG316" s="5">
        <f t="shared" si="16"/>
        <v>45797</v>
      </c>
      <c r="AH316" s="5" t="b">
        <f t="shared" si="17"/>
        <v>1</v>
      </c>
      <c r="AI316" s="5" t="b">
        <f t="shared" si="17"/>
        <v>1</v>
      </c>
      <c r="AJ316" t="str">
        <f t="shared" si="18"/>
        <v>OK</v>
      </c>
      <c r="AK316">
        <f t="shared" si="19"/>
        <v>2</v>
      </c>
    </row>
    <row r="317" spans="1:37">
      <c r="A317" t="s">
        <v>1605</v>
      </c>
      <c r="B317" t="s">
        <v>1606</v>
      </c>
      <c r="C317" t="s">
        <v>1607</v>
      </c>
      <c r="D317" t="s">
        <v>1608</v>
      </c>
      <c r="E317" t="s">
        <v>180</v>
      </c>
      <c r="F317" t="s">
        <v>26</v>
      </c>
      <c r="G317" t="s">
        <v>27</v>
      </c>
      <c r="H317" t="s">
        <v>506</v>
      </c>
      <c r="I317" t="s">
        <v>507</v>
      </c>
      <c r="J317" t="s">
        <v>30</v>
      </c>
      <c r="K317" t="s">
        <v>31</v>
      </c>
      <c r="L317" t="s">
        <v>1609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137</v>
      </c>
      <c r="U317" t="s">
        <v>125</v>
      </c>
      <c r="V317" s="1" t="s">
        <v>180</v>
      </c>
      <c r="W317" s="1" t="s">
        <v>26</v>
      </c>
      <c r="X317" s="1" t="s">
        <v>27</v>
      </c>
      <c r="Y317" s="1" t="s">
        <v>506</v>
      </c>
      <c r="Z317" s="1" t="s">
        <v>507</v>
      </c>
      <c r="AA317" s="1" t="s">
        <v>30</v>
      </c>
      <c r="AB317" s="1" t="s">
        <v>31</v>
      </c>
      <c r="AC317" s="1" t="s">
        <v>67</v>
      </c>
      <c r="AD317" s="1" t="s">
        <v>137</v>
      </c>
      <c r="AE317" s="1" t="s">
        <v>125</v>
      </c>
      <c r="AF317" s="5">
        <f t="shared" si="16"/>
        <v>45475</v>
      </c>
      <c r="AG317" s="5">
        <f t="shared" si="16"/>
        <v>45481</v>
      </c>
      <c r="AH317" s="5" t="b">
        <f t="shared" si="17"/>
        <v>1</v>
      </c>
      <c r="AI317" s="5" t="b">
        <f t="shared" si="17"/>
        <v>1</v>
      </c>
      <c r="AJ317" t="str">
        <f t="shared" si="18"/>
        <v>OK</v>
      </c>
      <c r="AK317">
        <f t="shared" si="19"/>
        <v>6</v>
      </c>
    </row>
    <row r="318" spans="1:37">
      <c r="A318" t="s">
        <v>1610</v>
      </c>
      <c r="B318" t="s">
        <v>1611</v>
      </c>
      <c r="C318" t="s">
        <v>1612</v>
      </c>
      <c r="D318" t="s">
        <v>1613</v>
      </c>
      <c r="E318" t="s">
        <v>25</v>
      </c>
      <c r="F318" t="s">
        <v>108</v>
      </c>
      <c r="G318" t="s">
        <v>27</v>
      </c>
      <c r="H318" t="s">
        <v>154</v>
      </c>
      <c r="I318" t="s">
        <v>155</v>
      </c>
      <c r="J318" t="s">
        <v>30</v>
      </c>
      <c r="K318" t="s">
        <v>109</v>
      </c>
      <c r="L318" t="s">
        <v>1614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  <c r="V318" s="1" t="s">
        <v>25</v>
      </c>
      <c r="W318" s="1" t="s">
        <v>108</v>
      </c>
      <c r="X318" s="1" t="s">
        <v>27</v>
      </c>
      <c r="Y318" s="1" t="s">
        <v>154</v>
      </c>
      <c r="Z318" s="1" t="s">
        <v>155</v>
      </c>
      <c r="AA318" s="1" t="s">
        <v>30</v>
      </c>
      <c r="AB318" s="1" t="s">
        <v>109</v>
      </c>
      <c r="AC318" s="1" t="s">
        <v>67</v>
      </c>
      <c r="AD318" s="1" t="s">
        <v>34</v>
      </c>
      <c r="AE318" s="1" t="s">
        <v>78</v>
      </c>
      <c r="AF318" s="5" t="e">
        <f t="shared" si="16"/>
        <v>#N/A</v>
      </c>
      <c r="AG318" s="5">
        <f t="shared" si="16"/>
        <v>45340</v>
      </c>
      <c r="AH318" s="5" t="b">
        <f t="shared" si="17"/>
        <v>0</v>
      </c>
      <c r="AI318" s="5" t="b">
        <f t="shared" si="17"/>
        <v>1</v>
      </c>
      <c r="AJ318" t="e">
        <f t="shared" si="18"/>
        <v>#N/A</v>
      </c>
      <c r="AK318" t="e">
        <f t="shared" si="19"/>
        <v>#N/A</v>
      </c>
    </row>
    <row r="319" spans="1:37">
      <c r="A319" t="s">
        <v>1615</v>
      </c>
      <c r="B319" t="s">
        <v>1616</v>
      </c>
      <c r="C319" t="s">
        <v>1617</v>
      </c>
      <c r="D319" t="s">
        <v>1618</v>
      </c>
      <c r="E319" t="s">
        <v>93</v>
      </c>
      <c r="F319" t="s">
        <v>108</v>
      </c>
      <c r="G319" t="s">
        <v>62</v>
      </c>
      <c r="H319" t="s">
        <v>242</v>
      </c>
      <c r="I319" t="s">
        <v>243</v>
      </c>
      <c r="J319" t="s">
        <v>45</v>
      </c>
      <c r="K319" t="s">
        <v>46</v>
      </c>
      <c r="L319" t="s">
        <v>1619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  <c r="V319" s="1" t="s">
        <v>93</v>
      </c>
      <c r="W319" s="1" t="s">
        <v>108</v>
      </c>
      <c r="X319" s="1" t="s">
        <v>62</v>
      </c>
      <c r="Y319" s="1" t="s">
        <v>242</v>
      </c>
      <c r="Z319" s="1" t="s">
        <v>243</v>
      </c>
      <c r="AA319" s="1" t="s">
        <v>45</v>
      </c>
      <c r="AB319" s="1" t="s">
        <v>46</v>
      </c>
      <c r="AC319" s="1" t="s">
        <v>56</v>
      </c>
      <c r="AD319" s="1" t="s">
        <v>34</v>
      </c>
      <c r="AE319" s="1" t="s">
        <v>35</v>
      </c>
      <c r="AF319" s="5" t="e">
        <f t="shared" si="16"/>
        <v>#N/A</v>
      </c>
      <c r="AG319" s="5">
        <f t="shared" si="16"/>
        <v>45904</v>
      </c>
      <c r="AH319" s="5" t="b">
        <f t="shared" si="17"/>
        <v>0</v>
      </c>
      <c r="AI319" s="5" t="b">
        <f t="shared" si="17"/>
        <v>1</v>
      </c>
      <c r="AJ319" t="e">
        <f t="shared" si="18"/>
        <v>#N/A</v>
      </c>
      <c r="AK319" t="e">
        <f t="shared" si="19"/>
        <v>#N/A</v>
      </c>
    </row>
    <row r="320" spans="1:37">
      <c r="A320" t="s">
        <v>1620</v>
      </c>
      <c r="B320" t="s">
        <v>1621</v>
      </c>
      <c r="C320" t="s">
        <v>1622</v>
      </c>
      <c r="D320" t="s">
        <v>1623</v>
      </c>
      <c r="E320" t="s">
        <v>40</v>
      </c>
      <c r="F320" t="s">
        <v>41</v>
      </c>
      <c r="G320" t="s">
        <v>62</v>
      </c>
      <c r="H320" t="s">
        <v>229</v>
      </c>
      <c r="I320" t="s">
        <v>230</v>
      </c>
      <c r="J320" t="s">
        <v>86</v>
      </c>
      <c r="K320" t="s">
        <v>223</v>
      </c>
      <c r="L320" t="s">
        <v>1624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  <c r="V320" s="1" t="s">
        <v>40</v>
      </c>
      <c r="W320" s="1" t="s">
        <v>41</v>
      </c>
      <c r="X320" s="1" t="s">
        <v>62</v>
      </c>
      <c r="Y320" s="1" t="s">
        <v>229</v>
      </c>
      <c r="Z320" s="1" t="s">
        <v>230</v>
      </c>
      <c r="AA320" s="1" t="s">
        <v>86</v>
      </c>
      <c r="AB320" s="1" t="s">
        <v>223</v>
      </c>
      <c r="AC320" s="1" t="s">
        <v>67</v>
      </c>
      <c r="AD320" s="1" t="s">
        <v>34</v>
      </c>
      <c r="AE320" s="1" t="s">
        <v>35</v>
      </c>
      <c r="AF320" s="5">
        <f t="shared" si="16"/>
        <v>45407</v>
      </c>
      <c r="AG320" s="5" t="e">
        <f t="shared" si="16"/>
        <v>#N/A</v>
      </c>
      <c r="AH320" s="5" t="b">
        <f t="shared" si="17"/>
        <v>1</v>
      </c>
      <c r="AI320" s="5" t="b">
        <f t="shared" si="17"/>
        <v>0</v>
      </c>
      <c r="AJ320" t="e">
        <f t="shared" si="18"/>
        <v>#N/A</v>
      </c>
      <c r="AK320" t="e">
        <f t="shared" si="19"/>
        <v>#N/A</v>
      </c>
    </row>
    <row r="321" spans="1:37">
      <c r="A321" t="s">
        <v>1625</v>
      </c>
      <c r="B321" t="s">
        <v>1626</v>
      </c>
      <c r="C321" t="s">
        <v>1627</v>
      </c>
      <c r="D321" t="s">
        <v>1628</v>
      </c>
      <c r="E321" t="s">
        <v>210</v>
      </c>
      <c r="F321" t="s">
        <v>26</v>
      </c>
      <c r="G321" t="s">
        <v>73</v>
      </c>
      <c r="H321" t="s">
        <v>235</v>
      </c>
      <c r="I321" t="s">
        <v>236</v>
      </c>
      <c r="J321" t="s">
        <v>30</v>
      </c>
      <c r="K321" t="s">
        <v>198</v>
      </c>
      <c r="L321" t="s">
        <v>1629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  <c r="V321" s="1" t="s">
        <v>210</v>
      </c>
      <c r="W321" s="1" t="s">
        <v>26</v>
      </c>
      <c r="X321" s="1" t="s">
        <v>73</v>
      </c>
      <c r="Y321" s="1" t="s">
        <v>235</v>
      </c>
      <c r="Z321" s="1" t="s">
        <v>236</v>
      </c>
      <c r="AA321" s="1" t="s">
        <v>30</v>
      </c>
      <c r="AB321" s="1" t="s">
        <v>198</v>
      </c>
      <c r="AC321" s="1" t="s">
        <v>56</v>
      </c>
      <c r="AD321" s="1" t="s">
        <v>34</v>
      </c>
      <c r="AE321" s="1" t="s">
        <v>35</v>
      </c>
      <c r="AF321" s="5">
        <f t="shared" si="16"/>
        <v>45525</v>
      </c>
      <c r="AG321" s="5">
        <f t="shared" si="16"/>
        <v>45529</v>
      </c>
      <c r="AH321" s="5" t="b">
        <f t="shared" si="17"/>
        <v>1</v>
      </c>
      <c r="AI321" s="5" t="b">
        <f t="shared" si="17"/>
        <v>1</v>
      </c>
      <c r="AJ321" t="str">
        <f t="shared" si="18"/>
        <v>OK</v>
      </c>
      <c r="AK321">
        <f t="shared" si="19"/>
        <v>4</v>
      </c>
    </row>
    <row r="322" spans="1:37">
      <c r="A322" t="s">
        <v>1630</v>
      </c>
      <c r="B322" t="s">
        <v>1631</v>
      </c>
      <c r="C322" t="s">
        <v>1632</v>
      </c>
      <c r="D322" t="s">
        <v>1633</v>
      </c>
      <c r="E322" t="s">
        <v>162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1634</v>
      </c>
      <c r="M322" t="s">
        <v>33</v>
      </c>
      <c r="N322">
        <v>3</v>
      </c>
      <c r="O322">
        <v>876.14</v>
      </c>
      <c r="P322" t="s">
        <v>681</v>
      </c>
      <c r="Q322">
        <v>2628.42</v>
      </c>
      <c r="R322">
        <v>1541.54</v>
      </c>
      <c r="S322">
        <v>1086.8800000000001</v>
      </c>
      <c r="T322" t="s">
        <v>137</v>
      </c>
      <c r="U322" t="s">
        <v>125</v>
      </c>
      <c r="V322" s="1" t="s">
        <v>162</v>
      </c>
      <c r="W322" s="1" t="s">
        <v>115</v>
      </c>
      <c r="X322" s="1" t="s">
        <v>42</v>
      </c>
      <c r="Y322" s="1" t="s">
        <v>121</v>
      </c>
      <c r="Z322" s="1" t="s">
        <v>122</v>
      </c>
      <c r="AA322" s="1" t="s">
        <v>30</v>
      </c>
      <c r="AB322" s="1" t="s">
        <v>54</v>
      </c>
      <c r="AC322" s="1" t="s">
        <v>33</v>
      </c>
      <c r="AD322" s="1" t="s">
        <v>137</v>
      </c>
      <c r="AE322" s="1" t="s">
        <v>125</v>
      </c>
      <c r="AF322" s="5">
        <f t="shared" si="16"/>
        <v>45630</v>
      </c>
      <c r="AG322" s="5">
        <f t="shared" si="16"/>
        <v>45632</v>
      </c>
      <c r="AH322" s="5" t="b">
        <f t="shared" si="17"/>
        <v>1</v>
      </c>
      <c r="AI322" s="5" t="b">
        <f t="shared" si="17"/>
        <v>1</v>
      </c>
      <c r="AJ322" t="str">
        <f t="shared" si="18"/>
        <v>OK</v>
      </c>
      <c r="AK322">
        <f t="shared" si="19"/>
        <v>2</v>
      </c>
    </row>
    <row r="323" spans="1:37">
      <c r="A323" t="s">
        <v>1635</v>
      </c>
      <c r="B323" t="s">
        <v>1636</v>
      </c>
      <c r="C323" t="s">
        <v>1637</v>
      </c>
      <c r="D323" t="s">
        <v>1638</v>
      </c>
      <c r="E323" t="s">
        <v>93</v>
      </c>
      <c r="F323" t="s">
        <v>41</v>
      </c>
      <c r="G323" t="s">
        <v>73</v>
      </c>
      <c r="H323" t="s">
        <v>249</v>
      </c>
      <c r="I323" t="s">
        <v>250</v>
      </c>
      <c r="J323" t="s">
        <v>86</v>
      </c>
      <c r="K323" t="s">
        <v>87</v>
      </c>
      <c r="L323" t="s">
        <v>1639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200</v>
      </c>
      <c r="U323" t="s">
        <v>78</v>
      </c>
      <c r="V323" s="1" t="s">
        <v>93</v>
      </c>
      <c r="W323" s="1" t="s">
        <v>41</v>
      </c>
      <c r="X323" s="1" t="s">
        <v>73</v>
      </c>
      <c r="Y323" s="1" t="s">
        <v>249</v>
      </c>
      <c r="Z323" s="1" t="s">
        <v>250</v>
      </c>
      <c r="AA323" s="1" t="s">
        <v>86</v>
      </c>
      <c r="AB323" s="1" t="s">
        <v>87</v>
      </c>
      <c r="AC323" s="1" t="s">
        <v>48</v>
      </c>
      <c r="AD323" s="1" t="s">
        <v>200</v>
      </c>
      <c r="AE323" s="1" t="s">
        <v>78</v>
      </c>
      <c r="AF323" s="5">
        <f t="shared" ref="AF323:AG386" si="20">IFERROR(DATEVALUE(B323),IFERROR(DATE(VALUE(RIGHT(B323,4)),VALUE(MID(SUBSTITUTE(B323,"-","/"),6,2)),VALUE(LEFT(B323,2))),NA()))</f>
        <v>45466</v>
      </c>
      <c r="AG323" s="5">
        <f t="shared" si="20"/>
        <v>45473</v>
      </c>
      <c r="AH323" s="5" t="b">
        <f t="shared" ref="AH323:AI386" si="21">ISNUMBER(AF323)</f>
        <v>1</v>
      </c>
      <c r="AI323" s="5" t="b">
        <f t="shared" si="21"/>
        <v>1</v>
      </c>
      <c r="AJ323" t="str">
        <f t="shared" ref="AJ323:AJ386" si="22">IF(AG323&lt;AF323,"Invalid: Ship before Order","OK")</f>
        <v>OK</v>
      </c>
      <c r="AK323">
        <f t="shared" ref="AK323:AK386" si="23">DATEDIF(AF323, AG323, "D")</f>
        <v>7</v>
      </c>
    </row>
    <row r="324" spans="1:37">
      <c r="A324" t="s">
        <v>1640</v>
      </c>
      <c r="B324" t="s">
        <v>1536</v>
      </c>
      <c r="C324" t="s">
        <v>1641</v>
      </c>
      <c r="D324" t="s">
        <v>1642</v>
      </c>
      <c r="E324" t="s">
        <v>53</v>
      </c>
      <c r="F324" t="s">
        <v>26</v>
      </c>
      <c r="G324" t="s">
        <v>27</v>
      </c>
      <c r="H324" t="s">
        <v>174</v>
      </c>
      <c r="I324" t="s">
        <v>175</v>
      </c>
      <c r="J324" t="s">
        <v>86</v>
      </c>
      <c r="K324" t="s">
        <v>223</v>
      </c>
      <c r="L324" t="s">
        <v>1643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  <c r="V324" s="1" t="s">
        <v>53</v>
      </c>
      <c r="W324" s="1" t="s">
        <v>26</v>
      </c>
      <c r="X324" s="1" t="s">
        <v>27</v>
      </c>
      <c r="Y324" s="1" t="s">
        <v>174</v>
      </c>
      <c r="Z324" s="1" t="s">
        <v>175</v>
      </c>
      <c r="AA324" s="1" t="s">
        <v>86</v>
      </c>
      <c r="AB324" s="1" t="s">
        <v>223</v>
      </c>
      <c r="AC324" s="1" t="s">
        <v>33</v>
      </c>
      <c r="AD324" s="1" t="s">
        <v>34</v>
      </c>
      <c r="AE324" s="1" t="s">
        <v>35</v>
      </c>
      <c r="AF324" s="5">
        <f t="shared" si="20"/>
        <v>45608</v>
      </c>
      <c r="AG324" s="5">
        <f t="shared" si="20"/>
        <v>45637</v>
      </c>
      <c r="AH324" s="5" t="b">
        <f t="shared" si="21"/>
        <v>1</v>
      </c>
      <c r="AI324" s="5" t="b">
        <f t="shared" si="21"/>
        <v>1</v>
      </c>
      <c r="AJ324" t="str">
        <f t="shared" si="22"/>
        <v>OK</v>
      </c>
      <c r="AK324">
        <f t="shared" si="23"/>
        <v>29</v>
      </c>
    </row>
    <row r="325" spans="1:37">
      <c r="A325" t="s">
        <v>1644</v>
      </c>
      <c r="B325" t="s">
        <v>1645</v>
      </c>
      <c r="C325" t="s">
        <v>1646</v>
      </c>
      <c r="D325" t="s">
        <v>1647</v>
      </c>
      <c r="E325" t="s">
        <v>53</v>
      </c>
      <c r="F325" t="s">
        <v>41</v>
      </c>
      <c r="G325" t="s">
        <v>73</v>
      </c>
      <c r="H325" t="s">
        <v>249</v>
      </c>
      <c r="I325" t="s">
        <v>250</v>
      </c>
      <c r="J325" t="s">
        <v>45</v>
      </c>
      <c r="K325" t="s">
        <v>65</v>
      </c>
      <c r="L325" t="s">
        <v>193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  <c r="V325" s="1" t="s">
        <v>53</v>
      </c>
      <c r="W325" s="1" t="s">
        <v>41</v>
      </c>
      <c r="X325" s="1" t="s">
        <v>73</v>
      </c>
      <c r="Y325" s="1" t="s">
        <v>249</v>
      </c>
      <c r="Z325" s="1" t="s">
        <v>250</v>
      </c>
      <c r="AA325" s="1" t="s">
        <v>45</v>
      </c>
      <c r="AB325" s="1" t="s">
        <v>65</v>
      </c>
      <c r="AC325" s="1" t="s">
        <v>67</v>
      </c>
      <c r="AD325" s="1" t="s">
        <v>34</v>
      </c>
      <c r="AE325" s="1" t="s">
        <v>35</v>
      </c>
      <c r="AF325" s="5" t="e">
        <f t="shared" si="20"/>
        <v>#N/A</v>
      </c>
      <c r="AG325" s="5">
        <f t="shared" si="20"/>
        <v>45351</v>
      </c>
      <c r="AH325" s="5" t="b">
        <f t="shared" si="21"/>
        <v>0</v>
      </c>
      <c r="AI325" s="5" t="b">
        <f t="shared" si="21"/>
        <v>1</v>
      </c>
      <c r="AJ325" t="e">
        <f t="shared" si="22"/>
        <v>#N/A</v>
      </c>
      <c r="AK325" t="e">
        <f t="shared" si="23"/>
        <v>#N/A</v>
      </c>
    </row>
    <row r="326" spans="1:37">
      <c r="A326" t="s">
        <v>1648</v>
      </c>
      <c r="B326" t="s">
        <v>1649</v>
      </c>
      <c r="C326" t="s">
        <v>943</v>
      </c>
      <c r="D326" t="s">
        <v>1650</v>
      </c>
      <c r="E326" t="s">
        <v>180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1651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  <c r="V326" s="1" t="s">
        <v>180</v>
      </c>
      <c r="W326" s="1" t="s">
        <v>115</v>
      </c>
      <c r="X326" s="1" t="s">
        <v>62</v>
      </c>
      <c r="Y326" s="1" t="s">
        <v>100</v>
      </c>
      <c r="Z326" s="1" t="s">
        <v>101</v>
      </c>
      <c r="AA326" s="1" t="s">
        <v>30</v>
      </c>
      <c r="AB326" s="1" t="s">
        <v>109</v>
      </c>
      <c r="AC326" s="1" t="s">
        <v>48</v>
      </c>
      <c r="AD326" s="1" t="s">
        <v>34</v>
      </c>
      <c r="AE326" s="1" t="s">
        <v>125</v>
      </c>
      <c r="AF326" s="5">
        <f t="shared" si="20"/>
        <v>45869</v>
      </c>
      <c r="AG326" s="5">
        <f t="shared" si="20"/>
        <v>45696</v>
      </c>
      <c r="AH326" s="5" t="b">
        <f t="shared" si="21"/>
        <v>1</v>
      </c>
      <c r="AI326" s="5" t="b">
        <f t="shared" si="21"/>
        <v>1</v>
      </c>
      <c r="AJ326" t="str">
        <f t="shared" si="22"/>
        <v>Invalid: Ship before Order</v>
      </c>
      <c r="AK326" t="e">
        <f t="shared" si="23"/>
        <v>#NUM!</v>
      </c>
    </row>
    <row r="327" spans="1:37">
      <c r="A327" t="s">
        <v>1652</v>
      </c>
      <c r="B327" t="s">
        <v>1653</v>
      </c>
      <c r="C327" t="s">
        <v>1654</v>
      </c>
      <c r="D327" t="s">
        <v>1655</v>
      </c>
      <c r="E327" t="s">
        <v>168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1656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  <c r="V327" s="1" t="s">
        <v>168</v>
      </c>
      <c r="W327" s="1" t="s">
        <v>115</v>
      </c>
      <c r="X327" s="1" t="s">
        <v>42</v>
      </c>
      <c r="Y327" s="1" t="s">
        <v>121</v>
      </c>
      <c r="Z327" s="1" t="s">
        <v>122</v>
      </c>
      <c r="AA327" s="1" t="s">
        <v>86</v>
      </c>
      <c r="AB327" s="1" t="s">
        <v>94</v>
      </c>
      <c r="AC327" s="1" t="s">
        <v>33</v>
      </c>
      <c r="AD327" s="1" t="s">
        <v>34</v>
      </c>
      <c r="AE327" s="1" t="s">
        <v>35</v>
      </c>
      <c r="AF327" s="5">
        <f t="shared" si="20"/>
        <v>45916</v>
      </c>
      <c r="AG327" s="5">
        <f t="shared" si="20"/>
        <v>45922</v>
      </c>
      <c r="AH327" s="5" t="b">
        <f t="shared" si="21"/>
        <v>1</v>
      </c>
      <c r="AI327" s="5" t="b">
        <f t="shared" si="21"/>
        <v>1</v>
      </c>
      <c r="AJ327" t="str">
        <f t="shared" si="22"/>
        <v>OK</v>
      </c>
      <c r="AK327">
        <f t="shared" si="23"/>
        <v>6</v>
      </c>
    </row>
    <row r="328" spans="1:37">
      <c r="A328" t="s">
        <v>1657</v>
      </c>
      <c r="B328" t="s">
        <v>1658</v>
      </c>
      <c r="C328" t="s">
        <v>1512</v>
      </c>
      <c r="D328" t="s">
        <v>1659</v>
      </c>
      <c r="E328" t="s">
        <v>168</v>
      </c>
      <c r="F328" t="s">
        <v>108</v>
      </c>
      <c r="G328" t="s">
        <v>42</v>
      </c>
      <c r="H328" t="s">
        <v>311</v>
      </c>
      <c r="I328" t="s">
        <v>312</v>
      </c>
      <c r="J328" t="s">
        <v>45</v>
      </c>
      <c r="K328" t="s">
        <v>65</v>
      </c>
      <c r="L328" t="s">
        <v>1660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  <c r="V328" s="1" t="s">
        <v>168</v>
      </c>
      <c r="W328" s="1" t="s">
        <v>108</v>
      </c>
      <c r="X328" s="1" t="s">
        <v>42</v>
      </c>
      <c r="Y328" s="1" t="s">
        <v>311</v>
      </c>
      <c r="Z328" s="1" t="s">
        <v>312</v>
      </c>
      <c r="AA328" s="1" t="s">
        <v>45</v>
      </c>
      <c r="AB328" s="1" t="s">
        <v>65</v>
      </c>
      <c r="AC328" s="1" t="s">
        <v>48</v>
      </c>
      <c r="AD328" s="1" t="s">
        <v>34</v>
      </c>
      <c r="AE328" s="1" t="s">
        <v>35</v>
      </c>
      <c r="AF328" s="5">
        <f t="shared" si="20"/>
        <v>45860</v>
      </c>
      <c r="AG328" s="5">
        <f t="shared" si="20"/>
        <v>45860</v>
      </c>
      <c r="AH328" s="5" t="b">
        <f t="shared" si="21"/>
        <v>1</v>
      </c>
      <c r="AI328" s="5" t="b">
        <f t="shared" si="21"/>
        <v>1</v>
      </c>
      <c r="AJ328" t="str">
        <f t="shared" si="22"/>
        <v>OK</v>
      </c>
      <c r="AK328">
        <f t="shared" si="23"/>
        <v>0</v>
      </c>
    </row>
    <row r="329" spans="1:37">
      <c r="A329" t="s">
        <v>1661</v>
      </c>
      <c r="B329" t="s">
        <v>1662</v>
      </c>
      <c r="C329" t="s">
        <v>264</v>
      </c>
      <c r="D329" t="s">
        <v>1663</v>
      </c>
      <c r="E329" t="s">
        <v>53</v>
      </c>
      <c r="F329" t="s">
        <v>26</v>
      </c>
      <c r="G329" t="s">
        <v>73</v>
      </c>
      <c r="H329" t="s">
        <v>28</v>
      </c>
      <c r="I329" t="s">
        <v>135</v>
      </c>
      <c r="J329" t="s">
        <v>86</v>
      </c>
      <c r="K329" t="s">
        <v>87</v>
      </c>
      <c r="L329" t="s">
        <v>1664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137</v>
      </c>
      <c r="U329" t="s">
        <v>78</v>
      </c>
      <c r="V329" s="1" t="s">
        <v>53</v>
      </c>
      <c r="W329" s="1" t="s">
        <v>26</v>
      </c>
      <c r="X329" s="1" t="s">
        <v>73</v>
      </c>
      <c r="Y329" s="1" t="s">
        <v>28</v>
      </c>
      <c r="Z329" s="1" t="s">
        <v>135</v>
      </c>
      <c r="AA329" s="1" t="s">
        <v>86</v>
      </c>
      <c r="AB329" s="1" t="s">
        <v>87</v>
      </c>
      <c r="AC329" s="1" t="s">
        <v>33</v>
      </c>
      <c r="AD329" s="1" t="s">
        <v>137</v>
      </c>
      <c r="AE329" s="1" t="s">
        <v>78</v>
      </c>
      <c r="AF329" s="5">
        <f t="shared" si="20"/>
        <v>45497</v>
      </c>
      <c r="AG329" s="5" t="e">
        <f t="shared" si="20"/>
        <v>#N/A</v>
      </c>
      <c r="AH329" s="5" t="b">
        <f t="shared" si="21"/>
        <v>1</v>
      </c>
      <c r="AI329" s="5" t="b">
        <f t="shared" si="21"/>
        <v>0</v>
      </c>
      <c r="AJ329" t="e">
        <f t="shared" si="22"/>
        <v>#N/A</v>
      </c>
      <c r="AK329" t="e">
        <f t="shared" si="23"/>
        <v>#N/A</v>
      </c>
    </row>
    <row r="330" spans="1:37">
      <c r="A330" t="s">
        <v>1665</v>
      </c>
      <c r="B330" t="s">
        <v>1666</v>
      </c>
      <c r="C330" t="s">
        <v>1432</v>
      </c>
      <c r="D330" t="s">
        <v>1667</v>
      </c>
      <c r="E330" t="s">
        <v>210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156</v>
      </c>
      <c r="L330" t="s">
        <v>1668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  <c r="V330" s="1" t="s">
        <v>210</v>
      </c>
      <c r="W330" s="1" t="s">
        <v>26</v>
      </c>
      <c r="X330" s="1" t="s">
        <v>73</v>
      </c>
      <c r="Y330" s="1" t="s">
        <v>74</v>
      </c>
      <c r="Z330" s="1" t="s">
        <v>75</v>
      </c>
      <c r="AA330" s="1" t="s">
        <v>30</v>
      </c>
      <c r="AB330" s="1" t="s">
        <v>156</v>
      </c>
      <c r="AC330" s="1" t="s">
        <v>56</v>
      </c>
      <c r="AD330" s="1" t="s">
        <v>34</v>
      </c>
      <c r="AE330" s="1" t="s">
        <v>35</v>
      </c>
      <c r="AF330" s="5">
        <f t="shared" si="20"/>
        <v>45806</v>
      </c>
      <c r="AG330" s="5">
        <f t="shared" si="20"/>
        <v>45812</v>
      </c>
      <c r="AH330" s="5" t="b">
        <f t="shared" si="21"/>
        <v>1</v>
      </c>
      <c r="AI330" s="5" t="b">
        <f t="shared" si="21"/>
        <v>1</v>
      </c>
      <c r="AJ330" t="str">
        <f t="shared" si="22"/>
        <v>OK</v>
      </c>
      <c r="AK330">
        <f t="shared" si="23"/>
        <v>6</v>
      </c>
    </row>
    <row r="331" spans="1:37">
      <c r="A331" t="s">
        <v>1669</v>
      </c>
      <c r="B331" t="s">
        <v>1670</v>
      </c>
      <c r="C331" t="s">
        <v>1671</v>
      </c>
      <c r="D331" t="s">
        <v>1672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156</v>
      </c>
      <c r="L331" t="s">
        <v>1673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  <c r="V331" s="1" t="s">
        <v>93</v>
      </c>
      <c r="W331" s="1" t="s">
        <v>41</v>
      </c>
      <c r="X331" s="1" t="s">
        <v>73</v>
      </c>
      <c r="Y331" s="1" t="s">
        <v>74</v>
      </c>
      <c r="Z331" s="1" t="s">
        <v>75</v>
      </c>
      <c r="AA331" s="1" t="s">
        <v>30</v>
      </c>
      <c r="AB331" s="1" t="s">
        <v>156</v>
      </c>
      <c r="AC331" s="1" t="s">
        <v>67</v>
      </c>
      <c r="AD331" s="1" t="s">
        <v>34</v>
      </c>
      <c r="AE331" s="1" t="s">
        <v>35</v>
      </c>
      <c r="AF331" s="5">
        <f t="shared" si="20"/>
        <v>45789</v>
      </c>
      <c r="AG331" s="5">
        <f t="shared" si="20"/>
        <v>45795</v>
      </c>
      <c r="AH331" s="5" t="b">
        <f t="shared" si="21"/>
        <v>1</v>
      </c>
      <c r="AI331" s="5" t="b">
        <f t="shared" si="21"/>
        <v>1</v>
      </c>
      <c r="AJ331" t="str">
        <f t="shared" si="22"/>
        <v>OK</v>
      </c>
      <c r="AK331">
        <f t="shared" si="23"/>
        <v>6</v>
      </c>
    </row>
    <row r="332" spans="1:37">
      <c r="A332" t="s">
        <v>1674</v>
      </c>
      <c r="B332" t="s">
        <v>1128</v>
      </c>
      <c r="C332" t="s">
        <v>709</v>
      </c>
      <c r="D332" t="s">
        <v>1675</v>
      </c>
      <c r="E332" t="s">
        <v>61</v>
      </c>
      <c r="F332" t="s">
        <v>115</v>
      </c>
      <c r="G332" t="s">
        <v>27</v>
      </c>
      <c r="H332" t="s">
        <v>154</v>
      </c>
      <c r="I332" t="s">
        <v>155</v>
      </c>
      <c r="J332" t="s">
        <v>86</v>
      </c>
      <c r="K332" t="s">
        <v>87</v>
      </c>
      <c r="L332" t="s">
        <v>1676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200</v>
      </c>
      <c r="U332" t="s">
        <v>78</v>
      </c>
      <c r="V332" s="1" t="s">
        <v>61</v>
      </c>
      <c r="W332" s="1" t="s">
        <v>115</v>
      </c>
      <c r="X332" s="1" t="s">
        <v>27</v>
      </c>
      <c r="Y332" s="1" t="s">
        <v>154</v>
      </c>
      <c r="Z332" s="1" t="s">
        <v>155</v>
      </c>
      <c r="AA332" s="1" t="s">
        <v>86</v>
      </c>
      <c r="AB332" s="1" t="s">
        <v>87</v>
      </c>
      <c r="AC332" s="1" t="s">
        <v>48</v>
      </c>
      <c r="AD332" s="1" t="s">
        <v>200</v>
      </c>
      <c r="AE332" s="1" t="s">
        <v>78</v>
      </c>
      <c r="AF332" s="5">
        <f t="shared" si="20"/>
        <v>45428</v>
      </c>
      <c r="AG332" s="5">
        <f t="shared" si="20"/>
        <v>45436</v>
      </c>
      <c r="AH332" s="5" t="b">
        <f t="shared" si="21"/>
        <v>1</v>
      </c>
      <c r="AI332" s="5" t="b">
        <f t="shared" si="21"/>
        <v>1</v>
      </c>
      <c r="AJ332" t="str">
        <f t="shared" si="22"/>
        <v>OK</v>
      </c>
      <c r="AK332">
        <f t="shared" si="23"/>
        <v>8</v>
      </c>
    </row>
    <row r="333" spans="1:37">
      <c r="A333" t="s">
        <v>1677</v>
      </c>
      <c r="B333" t="s">
        <v>705</v>
      </c>
      <c r="C333" t="s">
        <v>1678</v>
      </c>
      <c r="D333" t="s">
        <v>1679</v>
      </c>
      <c r="E333" t="s">
        <v>168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198</v>
      </c>
      <c r="L333" t="s">
        <v>1680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  <c r="V333" s="1" t="s">
        <v>168</v>
      </c>
      <c r="W333" s="1" t="s">
        <v>115</v>
      </c>
      <c r="X333" s="1" t="s">
        <v>42</v>
      </c>
      <c r="Y333" s="1" t="s">
        <v>43</v>
      </c>
      <c r="Z333" s="1" t="s">
        <v>44</v>
      </c>
      <c r="AA333" s="1" t="s">
        <v>30</v>
      </c>
      <c r="AB333" s="1" t="s">
        <v>198</v>
      </c>
      <c r="AC333" s="1" t="s">
        <v>33</v>
      </c>
      <c r="AD333" s="1" t="s">
        <v>34</v>
      </c>
      <c r="AE333" s="1" t="s">
        <v>125</v>
      </c>
      <c r="AF333" s="5">
        <f t="shared" si="20"/>
        <v>45394</v>
      </c>
      <c r="AG333" s="5">
        <f t="shared" si="20"/>
        <v>45632</v>
      </c>
      <c r="AH333" s="5" t="b">
        <f t="shared" si="21"/>
        <v>1</v>
      </c>
      <c r="AI333" s="5" t="b">
        <f t="shared" si="21"/>
        <v>1</v>
      </c>
      <c r="AJ333" t="str">
        <f t="shared" si="22"/>
        <v>OK</v>
      </c>
      <c r="AK333">
        <f t="shared" si="23"/>
        <v>238</v>
      </c>
    </row>
    <row r="334" spans="1:37">
      <c r="A334" t="s">
        <v>1681</v>
      </c>
      <c r="B334" t="s">
        <v>1682</v>
      </c>
      <c r="C334" t="s">
        <v>1683</v>
      </c>
      <c r="D334" t="s">
        <v>1684</v>
      </c>
      <c r="E334" t="s">
        <v>162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1685</v>
      </c>
      <c r="L334" t="s">
        <v>1686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  <c r="V334" s="1" t="s">
        <v>162</v>
      </c>
      <c r="W334" s="1" t="s">
        <v>26</v>
      </c>
      <c r="X334" s="1" t="s">
        <v>62</v>
      </c>
      <c r="Y334" s="1" t="s">
        <v>100</v>
      </c>
      <c r="Z334" s="1" t="s">
        <v>101</v>
      </c>
      <c r="AA334" s="1" t="s">
        <v>86</v>
      </c>
      <c r="AB334" s="1" t="s">
        <v>382</v>
      </c>
      <c r="AC334" s="1" t="s">
        <v>33</v>
      </c>
      <c r="AD334" s="1" t="s">
        <v>34</v>
      </c>
      <c r="AE334" s="1" t="s">
        <v>35</v>
      </c>
      <c r="AF334" s="5">
        <f t="shared" si="20"/>
        <v>45804</v>
      </c>
      <c r="AG334" s="5">
        <f t="shared" si="20"/>
        <v>45805</v>
      </c>
      <c r="AH334" s="5" t="b">
        <f t="shared" si="21"/>
        <v>1</v>
      </c>
      <c r="AI334" s="5" t="b">
        <f t="shared" si="21"/>
        <v>1</v>
      </c>
      <c r="AJ334" t="str">
        <f t="shared" si="22"/>
        <v>OK</v>
      </c>
      <c r="AK334">
        <f t="shared" si="23"/>
        <v>1</v>
      </c>
    </row>
    <row r="335" spans="1:37">
      <c r="A335" t="s">
        <v>1687</v>
      </c>
      <c r="B335" t="s">
        <v>1688</v>
      </c>
      <c r="C335" t="s">
        <v>1689</v>
      </c>
      <c r="D335" t="s">
        <v>1690</v>
      </c>
      <c r="E335" t="s">
        <v>180</v>
      </c>
      <c r="F335" t="s">
        <v>115</v>
      </c>
      <c r="H335" t="s">
        <v>506</v>
      </c>
      <c r="I335" t="s">
        <v>507</v>
      </c>
      <c r="J335" t="s">
        <v>86</v>
      </c>
      <c r="K335" t="s">
        <v>223</v>
      </c>
      <c r="L335" t="s">
        <v>1691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  <c r="V335" s="1" t="s">
        <v>180</v>
      </c>
      <c r="W335" s="1" t="s">
        <v>115</v>
      </c>
      <c r="X335" s="1" t="s">
        <v>4119</v>
      </c>
      <c r="Y335" s="1" t="s">
        <v>506</v>
      </c>
      <c r="Z335" s="1" t="s">
        <v>507</v>
      </c>
      <c r="AA335" s="1" t="s">
        <v>86</v>
      </c>
      <c r="AB335" s="1" t="s">
        <v>223</v>
      </c>
      <c r="AC335" s="1" t="s">
        <v>56</v>
      </c>
      <c r="AD335" s="1" t="s">
        <v>34</v>
      </c>
      <c r="AE335" s="1" t="s">
        <v>35</v>
      </c>
      <c r="AF335" s="5">
        <f t="shared" si="20"/>
        <v>45830</v>
      </c>
      <c r="AG335" s="5">
        <f t="shared" si="20"/>
        <v>45835</v>
      </c>
      <c r="AH335" s="5" t="b">
        <f t="shared" si="21"/>
        <v>1</v>
      </c>
      <c r="AI335" s="5" t="b">
        <f t="shared" si="21"/>
        <v>1</v>
      </c>
      <c r="AJ335" t="str">
        <f t="shared" si="22"/>
        <v>OK</v>
      </c>
      <c r="AK335">
        <f t="shared" si="23"/>
        <v>5</v>
      </c>
    </row>
    <row r="336" spans="1:37">
      <c r="A336" t="s">
        <v>1692</v>
      </c>
      <c r="B336" t="s">
        <v>1693</v>
      </c>
      <c r="C336" t="s">
        <v>1694</v>
      </c>
      <c r="D336" t="s">
        <v>1695</v>
      </c>
      <c r="E336" t="s">
        <v>72</v>
      </c>
      <c r="F336" t="s">
        <v>26</v>
      </c>
      <c r="G336" t="s">
        <v>42</v>
      </c>
      <c r="H336" t="s">
        <v>311</v>
      </c>
      <c r="I336" t="s">
        <v>312</v>
      </c>
      <c r="J336" t="s">
        <v>30</v>
      </c>
      <c r="K336" t="s">
        <v>156</v>
      </c>
      <c r="L336" t="s">
        <v>1696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  <c r="V336" s="1" t="s">
        <v>72</v>
      </c>
      <c r="W336" s="1" t="s">
        <v>26</v>
      </c>
      <c r="X336" s="1" t="s">
        <v>42</v>
      </c>
      <c r="Y336" s="1" t="s">
        <v>311</v>
      </c>
      <c r="Z336" s="1" t="s">
        <v>312</v>
      </c>
      <c r="AA336" s="1" t="s">
        <v>30</v>
      </c>
      <c r="AB336" s="1" t="s">
        <v>156</v>
      </c>
      <c r="AC336" s="1" t="s">
        <v>56</v>
      </c>
      <c r="AD336" s="1" t="s">
        <v>34</v>
      </c>
      <c r="AE336" s="1" t="s">
        <v>35</v>
      </c>
      <c r="AF336" s="5">
        <f t="shared" si="20"/>
        <v>45547</v>
      </c>
      <c r="AG336" s="5" t="e">
        <f t="shared" si="20"/>
        <v>#N/A</v>
      </c>
      <c r="AH336" s="5" t="b">
        <f t="shared" si="21"/>
        <v>1</v>
      </c>
      <c r="AI336" s="5" t="b">
        <f t="shared" si="21"/>
        <v>0</v>
      </c>
      <c r="AJ336" t="e">
        <f t="shared" si="22"/>
        <v>#N/A</v>
      </c>
      <c r="AK336" t="e">
        <f t="shared" si="23"/>
        <v>#N/A</v>
      </c>
    </row>
    <row r="337" spans="1:37">
      <c r="A337" t="s">
        <v>1697</v>
      </c>
      <c r="B337" t="s">
        <v>1698</v>
      </c>
      <c r="C337" t="s">
        <v>1699</v>
      </c>
      <c r="D337" t="s">
        <v>1700</v>
      </c>
      <c r="E337" t="s">
        <v>148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1701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  <c r="V337" s="1" t="s">
        <v>148</v>
      </c>
      <c r="W337" s="1" t="s">
        <v>115</v>
      </c>
      <c r="X337" s="1" t="s">
        <v>73</v>
      </c>
      <c r="Y337" s="1" t="s">
        <v>84</v>
      </c>
      <c r="Z337" s="1" t="s">
        <v>85</v>
      </c>
      <c r="AA337" s="1" t="s">
        <v>30</v>
      </c>
      <c r="AB337" s="1" t="s">
        <v>31</v>
      </c>
      <c r="AC337" s="1" t="s">
        <v>56</v>
      </c>
      <c r="AD337" s="1" t="s">
        <v>34</v>
      </c>
      <c r="AE337" s="1" t="s">
        <v>35</v>
      </c>
      <c r="AF337" s="5">
        <f t="shared" si="20"/>
        <v>45824</v>
      </c>
      <c r="AG337" s="5">
        <f t="shared" si="20"/>
        <v>45826</v>
      </c>
      <c r="AH337" s="5" t="b">
        <f t="shared" si="21"/>
        <v>1</v>
      </c>
      <c r="AI337" s="5" t="b">
        <f t="shared" si="21"/>
        <v>1</v>
      </c>
      <c r="AJ337" t="str">
        <f t="shared" si="22"/>
        <v>OK</v>
      </c>
      <c r="AK337">
        <f t="shared" si="23"/>
        <v>2</v>
      </c>
    </row>
    <row r="338" spans="1:37">
      <c r="A338" t="s">
        <v>1702</v>
      </c>
      <c r="B338" t="s">
        <v>304</v>
      </c>
      <c r="C338" t="s">
        <v>1703</v>
      </c>
      <c r="D338" t="s">
        <v>1321</v>
      </c>
      <c r="E338" t="s">
        <v>162</v>
      </c>
      <c r="F338" t="s">
        <v>26</v>
      </c>
      <c r="G338" t="s">
        <v>27</v>
      </c>
      <c r="H338" t="s">
        <v>28</v>
      </c>
      <c r="I338" t="s">
        <v>29</v>
      </c>
      <c r="J338" t="s">
        <v>86</v>
      </c>
      <c r="K338" t="s">
        <v>94</v>
      </c>
      <c r="L338" t="s">
        <v>1704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  <c r="V338" s="1" t="s">
        <v>162</v>
      </c>
      <c r="W338" s="1" t="s">
        <v>26</v>
      </c>
      <c r="X338" s="1" t="s">
        <v>27</v>
      </c>
      <c r="Y338" s="1" t="s">
        <v>28</v>
      </c>
      <c r="Z338" s="1" t="s">
        <v>29</v>
      </c>
      <c r="AA338" s="1" t="s">
        <v>86</v>
      </c>
      <c r="AB338" s="1" t="s">
        <v>94</v>
      </c>
      <c r="AC338" s="1" t="s">
        <v>56</v>
      </c>
      <c r="AD338" s="1" t="s">
        <v>34</v>
      </c>
      <c r="AE338" s="1" t="s">
        <v>35</v>
      </c>
      <c r="AF338" s="5" t="e">
        <f t="shared" si="20"/>
        <v>#N/A</v>
      </c>
      <c r="AG338" s="5">
        <f t="shared" si="20"/>
        <v>45372</v>
      </c>
      <c r="AH338" s="5" t="b">
        <f t="shared" si="21"/>
        <v>0</v>
      </c>
      <c r="AI338" s="5" t="b">
        <f t="shared" si="21"/>
        <v>1</v>
      </c>
      <c r="AJ338" t="e">
        <f t="shared" si="22"/>
        <v>#N/A</v>
      </c>
      <c r="AK338" t="e">
        <f t="shared" si="23"/>
        <v>#N/A</v>
      </c>
    </row>
    <row r="339" spans="1:37">
      <c r="A339" t="s">
        <v>1705</v>
      </c>
      <c r="B339" t="s">
        <v>1706</v>
      </c>
      <c r="C339" t="s">
        <v>1707</v>
      </c>
      <c r="D339" t="s">
        <v>1708</v>
      </c>
      <c r="E339" t="s">
        <v>72</v>
      </c>
      <c r="F339" t="s">
        <v>26</v>
      </c>
      <c r="G339" t="s">
        <v>42</v>
      </c>
      <c r="H339" t="s">
        <v>216</v>
      </c>
      <c r="I339" t="s">
        <v>217</v>
      </c>
      <c r="J339" t="s">
        <v>30</v>
      </c>
      <c r="K339" t="s">
        <v>109</v>
      </c>
      <c r="L339" t="s">
        <v>1709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  <c r="V339" s="1" t="s">
        <v>72</v>
      </c>
      <c r="W339" s="1" t="s">
        <v>26</v>
      </c>
      <c r="X339" s="1" t="s">
        <v>42</v>
      </c>
      <c r="Y339" s="1" t="s">
        <v>216</v>
      </c>
      <c r="Z339" s="1" t="s">
        <v>217</v>
      </c>
      <c r="AA339" s="1" t="s">
        <v>30</v>
      </c>
      <c r="AB339" s="1" t="s">
        <v>109</v>
      </c>
      <c r="AC339" s="1" t="s">
        <v>48</v>
      </c>
      <c r="AD339" s="1" t="s">
        <v>34</v>
      </c>
      <c r="AE339" s="1" t="s">
        <v>35</v>
      </c>
      <c r="AF339" s="5">
        <f t="shared" si="20"/>
        <v>45516</v>
      </c>
      <c r="AG339" s="5">
        <f t="shared" si="20"/>
        <v>45522</v>
      </c>
      <c r="AH339" s="5" t="b">
        <f t="shared" si="21"/>
        <v>1</v>
      </c>
      <c r="AI339" s="5" t="b">
        <f t="shared" si="21"/>
        <v>1</v>
      </c>
      <c r="AJ339" t="str">
        <f t="shared" si="22"/>
        <v>OK</v>
      </c>
      <c r="AK339">
        <f t="shared" si="23"/>
        <v>6</v>
      </c>
    </row>
    <row r="340" spans="1:37">
      <c r="A340" t="s">
        <v>1710</v>
      </c>
      <c r="B340" t="s">
        <v>1711</v>
      </c>
      <c r="C340" t="s">
        <v>1464</v>
      </c>
      <c r="D340" t="s">
        <v>1712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1713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  <c r="V340" s="1" t="s">
        <v>61</v>
      </c>
      <c r="W340" s="1" t="s">
        <v>41</v>
      </c>
      <c r="X340" s="1" t="s">
        <v>62</v>
      </c>
      <c r="Y340" s="1" t="s">
        <v>100</v>
      </c>
      <c r="Z340" s="1" t="s">
        <v>101</v>
      </c>
      <c r="AA340" s="1" t="s">
        <v>86</v>
      </c>
      <c r="AB340" s="1" t="s">
        <v>87</v>
      </c>
      <c r="AC340" s="1" t="s">
        <v>56</v>
      </c>
      <c r="AD340" s="1" t="s">
        <v>34</v>
      </c>
      <c r="AE340" s="1" t="s">
        <v>35</v>
      </c>
      <c r="AF340" s="5">
        <f t="shared" si="20"/>
        <v>45516</v>
      </c>
      <c r="AG340" s="5">
        <f t="shared" si="20"/>
        <v>45634</v>
      </c>
      <c r="AH340" s="5" t="b">
        <f t="shared" si="21"/>
        <v>1</v>
      </c>
      <c r="AI340" s="5" t="b">
        <f t="shared" si="21"/>
        <v>1</v>
      </c>
      <c r="AJ340" t="str">
        <f t="shared" si="22"/>
        <v>OK</v>
      </c>
      <c r="AK340">
        <f t="shared" si="23"/>
        <v>118</v>
      </c>
    </row>
    <row r="341" spans="1:37">
      <c r="A341" t="s">
        <v>1714</v>
      </c>
      <c r="B341" t="s">
        <v>916</v>
      </c>
      <c r="C341" t="s">
        <v>1715</v>
      </c>
      <c r="D341" t="s">
        <v>1716</v>
      </c>
      <c r="E341" t="s">
        <v>93</v>
      </c>
      <c r="F341" t="s">
        <v>108</v>
      </c>
      <c r="G341" t="s">
        <v>42</v>
      </c>
      <c r="H341" t="s">
        <v>311</v>
      </c>
      <c r="I341" t="s">
        <v>312</v>
      </c>
      <c r="J341" t="s">
        <v>45</v>
      </c>
      <c r="K341" t="s">
        <v>204</v>
      </c>
      <c r="L341" t="s">
        <v>1717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  <c r="V341" s="1" t="s">
        <v>93</v>
      </c>
      <c r="W341" s="1" t="s">
        <v>108</v>
      </c>
      <c r="X341" s="1" t="s">
        <v>42</v>
      </c>
      <c r="Y341" s="1" t="s">
        <v>311</v>
      </c>
      <c r="Z341" s="1" t="s">
        <v>312</v>
      </c>
      <c r="AA341" s="1" t="s">
        <v>45</v>
      </c>
      <c r="AB341" s="1" t="s">
        <v>204</v>
      </c>
      <c r="AC341" s="1" t="s">
        <v>67</v>
      </c>
      <c r="AD341" s="1" t="s">
        <v>34</v>
      </c>
      <c r="AE341" s="1" t="s">
        <v>35</v>
      </c>
      <c r="AF341" s="5" t="e">
        <f t="shared" si="20"/>
        <v>#N/A</v>
      </c>
      <c r="AG341" s="5" t="e">
        <f t="shared" si="20"/>
        <v>#N/A</v>
      </c>
      <c r="AH341" s="5" t="b">
        <f t="shared" si="21"/>
        <v>0</v>
      </c>
      <c r="AI341" s="5" t="b">
        <f t="shared" si="21"/>
        <v>0</v>
      </c>
      <c r="AJ341" t="e">
        <f t="shared" si="22"/>
        <v>#N/A</v>
      </c>
      <c r="AK341" t="e">
        <f t="shared" si="23"/>
        <v>#N/A</v>
      </c>
    </row>
    <row r="342" spans="1:37">
      <c r="A342" t="s">
        <v>1718</v>
      </c>
      <c r="B342" t="s">
        <v>1719</v>
      </c>
      <c r="C342" t="s">
        <v>1720</v>
      </c>
      <c r="D342" t="s">
        <v>1721</v>
      </c>
      <c r="E342" t="s">
        <v>93</v>
      </c>
      <c r="F342" t="s">
        <v>26</v>
      </c>
      <c r="G342" t="s">
        <v>62</v>
      </c>
      <c r="H342" t="s">
        <v>229</v>
      </c>
      <c r="I342" t="s">
        <v>230</v>
      </c>
      <c r="J342" t="s">
        <v>30</v>
      </c>
      <c r="K342" t="s">
        <v>198</v>
      </c>
      <c r="L342" t="s">
        <v>1722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  <c r="V342" s="1" t="s">
        <v>93</v>
      </c>
      <c r="W342" s="1" t="s">
        <v>26</v>
      </c>
      <c r="X342" s="1" t="s">
        <v>62</v>
      </c>
      <c r="Y342" s="1" t="s">
        <v>229</v>
      </c>
      <c r="Z342" s="1" t="s">
        <v>230</v>
      </c>
      <c r="AA342" s="1" t="s">
        <v>30</v>
      </c>
      <c r="AB342" s="1" t="s">
        <v>198</v>
      </c>
      <c r="AC342" s="1" t="s">
        <v>67</v>
      </c>
      <c r="AD342" s="1" t="s">
        <v>34</v>
      </c>
      <c r="AE342" s="1" t="s">
        <v>35</v>
      </c>
      <c r="AF342" s="5">
        <f t="shared" si="20"/>
        <v>45312</v>
      </c>
      <c r="AG342" s="5">
        <f t="shared" si="20"/>
        <v>45320</v>
      </c>
      <c r="AH342" s="5" t="b">
        <f t="shared" si="21"/>
        <v>1</v>
      </c>
      <c r="AI342" s="5" t="b">
        <f t="shared" si="21"/>
        <v>1</v>
      </c>
      <c r="AJ342" t="str">
        <f t="shared" si="22"/>
        <v>OK</v>
      </c>
      <c r="AK342">
        <f t="shared" si="23"/>
        <v>8</v>
      </c>
    </row>
    <row r="343" spans="1:37">
      <c r="A343" t="s">
        <v>1723</v>
      </c>
      <c r="B343" t="s">
        <v>1724</v>
      </c>
      <c r="C343" t="s">
        <v>1725</v>
      </c>
      <c r="D343" t="s">
        <v>1726</v>
      </c>
      <c r="E343" t="s">
        <v>180</v>
      </c>
      <c r="F343" t="s">
        <v>115</v>
      </c>
      <c r="G343" t="s">
        <v>73</v>
      </c>
      <c r="H343" t="s">
        <v>235</v>
      </c>
      <c r="I343" t="s">
        <v>236</v>
      </c>
      <c r="J343" t="s">
        <v>45</v>
      </c>
      <c r="K343" t="s">
        <v>76</v>
      </c>
      <c r="L343" t="s">
        <v>1727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  <c r="V343" s="1" t="s">
        <v>180</v>
      </c>
      <c r="W343" s="1" t="s">
        <v>115</v>
      </c>
      <c r="X343" s="1" t="s">
        <v>73</v>
      </c>
      <c r="Y343" s="1" t="s">
        <v>235</v>
      </c>
      <c r="Z343" s="1" t="s">
        <v>236</v>
      </c>
      <c r="AA343" s="1" t="s">
        <v>45</v>
      </c>
      <c r="AB343" s="1" t="s">
        <v>76</v>
      </c>
      <c r="AC343" s="1" t="s">
        <v>33</v>
      </c>
      <c r="AD343" s="1" t="s">
        <v>34</v>
      </c>
      <c r="AE343" s="1" t="s">
        <v>35</v>
      </c>
      <c r="AF343" s="5">
        <f t="shared" si="20"/>
        <v>45908</v>
      </c>
      <c r="AG343" s="5">
        <f t="shared" si="20"/>
        <v>45909</v>
      </c>
      <c r="AH343" s="5" t="b">
        <f t="shared" si="21"/>
        <v>1</v>
      </c>
      <c r="AI343" s="5" t="b">
        <f t="shared" si="21"/>
        <v>1</v>
      </c>
      <c r="AJ343" t="str">
        <f t="shared" si="22"/>
        <v>OK</v>
      </c>
      <c r="AK343">
        <f t="shared" si="23"/>
        <v>1</v>
      </c>
    </row>
    <row r="344" spans="1:37">
      <c r="A344" t="s">
        <v>1728</v>
      </c>
      <c r="B344" t="s">
        <v>1729</v>
      </c>
      <c r="C344" t="s">
        <v>1730</v>
      </c>
      <c r="D344" t="s">
        <v>1731</v>
      </c>
      <c r="E344" t="s">
        <v>366</v>
      </c>
      <c r="F344" t="s">
        <v>41</v>
      </c>
      <c r="G344" t="s">
        <v>42</v>
      </c>
      <c r="H344" t="s">
        <v>311</v>
      </c>
      <c r="I344" t="s">
        <v>312</v>
      </c>
      <c r="J344" t="s">
        <v>30</v>
      </c>
      <c r="K344" t="s">
        <v>198</v>
      </c>
      <c r="L344" t="s">
        <v>1732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  <c r="V344" s="1" t="s">
        <v>366</v>
      </c>
      <c r="W344" s="1" t="s">
        <v>41</v>
      </c>
      <c r="X344" s="1" t="s">
        <v>42</v>
      </c>
      <c r="Y344" s="1" t="s">
        <v>311</v>
      </c>
      <c r="Z344" s="1" t="s">
        <v>312</v>
      </c>
      <c r="AA344" s="1" t="s">
        <v>30</v>
      </c>
      <c r="AB344" s="1" t="s">
        <v>198</v>
      </c>
      <c r="AC344" s="1" t="s">
        <v>56</v>
      </c>
      <c r="AD344" s="1" t="s">
        <v>34</v>
      </c>
      <c r="AE344" s="1" t="s">
        <v>35</v>
      </c>
      <c r="AF344" s="5" t="e">
        <f t="shared" si="20"/>
        <v>#N/A</v>
      </c>
      <c r="AG344" s="5">
        <f t="shared" si="20"/>
        <v>45665</v>
      </c>
      <c r="AH344" s="5" t="b">
        <f t="shared" si="21"/>
        <v>0</v>
      </c>
      <c r="AI344" s="5" t="b">
        <f t="shared" si="21"/>
        <v>1</v>
      </c>
      <c r="AJ344" t="e">
        <f t="shared" si="22"/>
        <v>#N/A</v>
      </c>
      <c r="AK344" t="e">
        <f t="shared" si="23"/>
        <v>#N/A</v>
      </c>
    </row>
    <row r="345" spans="1:37">
      <c r="A345" t="s">
        <v>1733</v>
      </c>
      <c r="B345" t="s">
        <v>1734</v>
      </c>
      <c r="C345" t="s">
        <v>1191</v>
      </c>
      <c r="D345" t="s">
        <v>1735</v>
      </c>
      <c r="E345" t="s">
        <v>162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382</v>
      </c>
      <c r="L345" t="s">
        <v>1736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  <c r="V345" s="1" t="s">
        <v>162</v>
      </c>
      <c r="W345" s="1" t="s">
        <v>108</v>
      </c>
      <c r="X345" s="1" t="s">
        <v>73</v>
      </c>
      <c r="Y345" s="1" t="s">
        <v>84</v>
      </c>
      <c r="Z345" s="1" t="s">
        <v>85</v>
      </c>
      <c r="AA345" s="1" t="s">
        <v>86</v>
      </c>
      <c r="AB345" s="1" t="s">
        <v>382</v>
      </c>
      <c r="AC345" s="1" t="s">
        <v>48</v>
      </c>
      <c r="AD345" s="1" t="s">
        <v>34</v>
      </c>
      <c r="AE345" s="1" t="s">
        <v>35</v>
      </c>
      <c r="AF345" s="5">
        <f t="shared" si="20"/>
        <v>45933</v>
      </c>
      <c r="AG345" s="5">
        <f t="shared" si="20"/>
        <v>45938</v>
      </c>
      <c r="AH345" s="5" t="b">
        <f t="shared" si="21"/>
        <v>1</v>
      </c>
      <c r="AI345" s="5" t="b">
        <f t="shared" si="21"/>
        <v>1</v>
      </c>
      <c r="AJ345" t="str">
        <f t="shared" si="22"/>
        <v>OK</v>
      </c>
      <c r="AK345">
        <f t="shared" si="23"/>
        <v>5</v>
      </c>
    </row>
    <row r="346" spans="1:37">
      <c r="A346" t="s">
        <v>1737</v>
      </c>
      <c r="B346" t="s">
        <v>1507</v>
      </c>
      <c r="C346" t="s">
        <v>1507</v>
      </c>
      <c r="D346" t="s">
        <v>1738</v>
      </c>
      <c r="E346" t="s">
        <v>142</v>
      </c>
      <c r="F346" t="s">
        <v>26</v>
      </c>
      <c r="G346" t="s">
        <v>27</v>
      </c>
      <c r="H346" t="s">
        <v>154</v>
      </c>
      <c r="I346" t="s">
        <v>155</v>
      </c>
      <c r="J346" t="s">
        <v>45</v>
      </c>
      <c r="K346" t="s">
        <v>204</v>
      </c>
      <c r="L346" t="s">
        <v>1739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137</v>
      </c>
      <c r="U346" t="s">
        <v>125</v>
      </c>
      <c r="V346" s="1" t="s">
        <v>142</v>
      </c>
      <c r="W346" s="1" t="s">
        <v>26</v>
      </c>
      <c r="X346" s="1" t="s">
        <v>27</v>
      </c>
      <c r="Y346" s="1" t="s">
        <v>154</v>
      </c>
      <c r="Z346" s="1" t="s">
        <v>155</v>
      </c>
      <c r="AA346" s="1" t="s">
        <v>45</v>
      </c>
      <c r="AB346" s="1" t="s">
        <v>204</v>
      </c>
      <c r="AC346" s="1" t="s">
        <v>48</v>
      </c>
      <c r="AD346" s="1" t="s">
        <v>137</v>
      </c>
      <c r="AE346" s="1" t="s">
        <v>125</v>
      </c>
      <c r="AF346" s="5">
        <f t="shared" si="20"/>
        <v>45599</v>
      </c>
      <c r="AG346" s="5">
        <f t="shared" si="20"/>
        <v>45599</v>
      </c>
      <c r="AH346" s="5" t="b">
        <f t="shared" si="21"/>
        <v>1</v>
      </c>
      <c r="AI346" s="5" t="b">
        <f t="shared" si="21"/>
        <v>1</v>
      </c>
      <c r="AJ346" t="str">
        <f t="shared" si="22"/>
        <v>OK</v>
      </c>
      <c r="AK346">
        <f t="shared" si="23"/>
        <v>0</v>
      </c>
    </row>
    <row r="347" spans="1:37">
      <c r="A347" t="s">
        <v>1740</v>
      </c>
      <c r="B347" t="s">
        <v>1741</v>
      </c>
      <c r="C347" t="s">
        <v>1742</v>
      </c>
      <c r="D347" t="s">
        <v>1743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1744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  <c r="V347" s="1" t="s">
        <v>25</v>
      </c>
      <c r="W347" s="1" t="s">
        <v>26</v>
      </c>
      <c r="X347" s="1" t="s">
        <v>73</v>
      </c>
      <c r="Y347" s="1" t="s">
        <v>84</v>
      </c>
      <c r="Z347" s="1" t="s">
        <v>85</v>
      </c>
      <c r="AA347" s="1" t="s">
        <v>45</v>
      </c>
      <c r="AB347" s="1" t="s">
        <v>65</v>
      </c>
      <c r="AC347" s="1" t="s">
        <v>33</v>
      </c>
      <c r="AD347" s="1" t="s">
        <v>34</v>
      </c>
      <c r="AE347" s="1" t="s">
        <v>35</v>
      </c>
      <c r="AF347" s="5">
        <f t="shared" si="20"/>
        <v>45549</v>
      </c>
      <c r="AG347" s="5">
        <f t="shared" si="20"/>
        <v>45557</v>
      </c>
      <c r="AH347" s="5" t="b">
        <f t="shared" si="21"/>
        <v>1</v>
      </c>
      <c r="AI347" s="5" t="b">
        <f t="shared" si="21"/>
        <v>1</v>
      </c>
      <c r="AJ347" t="str">
        <f t="shared" si="22"/>
        <v>OK</v>
      </c>
      <c r="AK347">
        <f t="shared" si="23"/>
        <v>8</v>
      </c>
    </row>
    <row r="348" spans="1:37">
      <c r="A348" t="s">
        <v>1745</v>
      </c>
      <c r="B348" t="s">
        <v>1658</v>
      </c>
      <c r="C348" t="s">
        <v>1746</v>
      </c>
      <c r="D348" t="s">
        <v>1747</v>
      </c>
      <c r="E348" t="s">
        <v>148</v>
      </c>
      <c r="F348" t="s">
        <v>108</v>
      </c>
      <c r="G348" t="s">
        <v>62</v>
      </c>
      <c r="H348" t="s">
        <v>242</v>
      </c>
      <c r="I348" t="s">
        <v>243</v>
      </c>
      <c r="J348" t="s">
        <v>45</v>
      </c>
      <c r="K348" t="s">
        <v>76</v>
      </c>
      <c r="L348" t="s">
        <v>1748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  <c r="V348" s="1" t="s">
        <v>148</v>
      </c>
      <c r="W348" s="1" t="s">
        <v>108</v>
      </c>
      <c r="X348" s="1" t="s">
        <v>62</v>
      </c>
      <c r="Y348" s="1" t="s">
        <v>242</v>
      </c>
      <c r="Z348" s="1" t="s">
        <v>243</v>
      </c>
      <c r="AA348" s="1" t="s">
        <v>45</v>
      </c>
      <c r="AB348" s="1" t="s">
        <v>76</v>
      </c>
      <c r="AC348" s="1" t="s">
        <v>33</v>
      </c>
      <c r="AD348" s="1" t="s">
        <v>34</v>
      </c>
      <c r="AE348" s="1" t="s">
        <v>35</v>
      </c>
      <c r="AF348" s="5">
        <f t="shared" si="20"/>
        <v>45860</v>
      </c>
      <c r="AG348" s="5" t="e">
        <f t="shared" si="20"/>
        <v>#N/A</v>
      </c>
      <c r="AH348" s="5" t="b">
        <f t="shared" si="21"/>
        <v>1</v>
      </c>
      <c r="AI348" s="5" t="b">
        <f t="shared" si="21"/>
        <v>0</v>
      </c>
      <c r="AJ348" t="e">
        <f t="shared" si="22"/>
        <v>#N/A</v>
      </c>
      <c r="AK348" t="e">
        <f t="shared" si="23"/>
        <v>#N/A</v>
      </c>
    </row>
    <row r="349" spans="1:37">
      <c r="A349" t="s">
        <v>1749</v>
      </c>
      <c r="B349" t="s">
        <v>1750</v>
      </c>
      <c r="C349" t="s">
        <v>1464</v>
      </c>
      <c r="D349" t="s">
        <v>1751</v>
      </c>
      <c r="E349" t="s">
        <v>162</v>
      </c>
      <c r="F349" t="s">
        <v>41</v>
      </c>
      <c r="G349" t="s">
        <v>73</v>
      </c>
      <c r="H349" t="s">
        <v>249</v>
      </c>
      <c r="I349" t="s">
        <v>250</v>
      </c>
      <c r="J349" t="s">
        <v>45</v>
      </c>
      <c r="K349" t="s">
        <v>76</v>
      </c>
      <c r="L349" t="s">
        <v>1752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  <c r="V349" s="1" t="s">
        <v>162</v>
      </c>
      <c r="W349" s="1" t="s">
        <v>41</v>
      </c>
      <c r="X349" s="1" t="s">
        <v>73</v>
      </c>
      <c r="Y349" s="1" t="s">
        <v>249</v>
      </c>
      <c r="Z349" s="1" t="s">
        <v>250</v>
      </c>
      <c r="AA349" s="1" t="s">
        <v>45</v>
      </c>
      <c r="AB349" s="1" t="s">
        <v>76</v>
      </c>
      <c r="AC349" s="1" t="s">
        <v>33</v>
      </c>
      <c r="AD349" s="1" t="s">
        <v>124</v>
      </c>
      <c r="AE349" s="1" t="s">
        <v>125</v>
      </c>
      <c r="AF349" s="5">
        <f t="shared" si="20"/>
        <v>45303</v>
      </c>
      <c r="AG349" s="5">
        <f t="shared" si="20"/>
        <v>45634</v>
      </c>
      <c r="AH349" s="5" t="b">
        <f t="shared" si="21"/>
        <v>1</v>
      </c>
      <c r="AI349" s="5" t="b">
        <f t="shared" si="21"/>
        <v>1</v>
      </c>
      <c r="AJ349" t="str">
        <f t="shared" si="22"/>
        <v>OK</v>
      </c>
      <c r="AK349">
        <f t="shared" si="23"/>
        <v>331</v>
      </c>
    </row>
    <row r="350" spans="1:37">
      <c r="A350" t="s">
        <v>1753</v>
      </c>
      <c r="B350" t="s">
        <v>1303</v>
      </c>
      <c r="C350" t="s">
        <v>1754</v>
      </c>
      <c r="D350" t="s">
        <v>1755</v>
      </c>
      <c r="E350" t="s">
        <v>162</v>
      </c>
      <c r="F350" t="s">
        <v>108</v>
      </c>
      <c r="G350" t="s">
        <v>62</v>
      </c>
      <c r="H350" t="s">
        <v>229</v>
      </c>
      <c r="I350" t="s">
        <v>230</v>
      </c>
      <c r="J350" t="s">
        <v>86</v>
      </c>
      <c r="K350" t="s">
        <v>223</v>
      </c>
      <c r="L350" t="s">
        <v>1756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  <c r="V350" s="1" t="s">
        <v>162</v>
      </c>
      <c r="W350" s="1" t="s">
        <v>108</v>
      </c>
      <c r="X350" s="1" t="s">
        <v>62</v>
      </c>
      <c r="Y350" s="1" t="s">
        <v>229</v>
      </c>
      <c r="Z350" s="1" t="s">
        <v>230</v>
      </c>
      <c r="AA350" s="1" t="s">
        <v>86</v>
      </c>
      <c r="AB350" s="1" t="s">
        <v>223</v>
      </c>
      <c r="AC350" s="1" t="s">
        <v>48</v>
      </c>
      <c r="AD350" s="1" t="s">
        <v>34</v>
      </c>
      <c r="AE350" s="1" t="s">
        <v>35</v>
      </c>
      <c r="AF350" s="5">
        <f t="shared" si="20"/>
        <v>45445</v>
      </c>
      <c r="AG350" s="5">
        <f t="shared" si="20"/>
        <v>45450</v>
      </c>
      <c r="AH350" s="5" t="b">
        <f t="shared" si="21"/>
        <v>1</v>
      </c>
      <c r="AI350" s="5" t="b">
        <f t="shared" si="21"/>
        <v>1</v>
      </c>
      <c r="AJ350" t="str">
        <f t="shared" si="22"/>
        <v>OK</v>
      </c>
      <c r="AK350">
        <f t="shared" si="23"/>
        <v>5</v>
      </c>
    </row>
    <row r="351" spans="1:37">
      <c r="A351" t="s">
        <v>1757</v>
      </c>
      <c r="B351" t="s">
        <v>1758</v>
      </c>
      <c r="C351" t="s">
        <v>747</v>
      </c>
      <c r="D351" t="s">
        <v>1759</v>
      </c>
      <c r="E351" t="s">
        <v>366</v>
      </c>
      <c r="F351" t="s">
        <v>115</v>
      </c>
      <c r="G351" t="s">
        <v>42</v>
      </c>
      <c r="H351" t="s">
        <v>311</v>
      </c>
      <c r="I351" t="s">
        <v>312</v>
      </c>
      <c r="J351" t="s">
        <v>45</v>
      </c>
      <c r="K351" t="s">
        <v>65</v>
      </c>
      <c r="L351" t="s">
        <v>1760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  <c r="V351" s="1" t="s">
        <v>366</v>
      </c>
      <c r="W351" s="1" t="s">
        <v>115</v>
      </c>
      <c r="X351" s="1" t="s">
        <v>42</v>
      </c>
      <c r="Y351" s="1" t="s">
        <v>311</v>
      </c>
      <c r="Z351" s="1" t="s">
        <v>312</v>
      </c>
      <c r="AA351" s="1" t="s">
        <v>45</v>
      </c>
      <c r="AB351" s="1" t="s">
        <v>65</v>
      </c>
      <c r="AC351" s="1" t="s">
        <v>33</v>
      </c>
      <c r="AD351" s="1" t="s">
        <v>34</v>
      </c>
      <c r="AE351" s="1" t="s">
        <v>35</v>
      </c>
      <c r="AF351" s="5" t="e">
        <f t="shared" si="20"/>
        <v>#N/A</v>
      </c>
      <c r="AG351" s="5">
        <f t="shared" si="20"/>
        <v>45929</v>
      </c>
      <c r="AH351" s="5" t="b">
        <f t="shared" si="21"/>
        <v>0</v>
      </c>
      <c r="AI351" s="5" t="b">
        <f t="shared" si="21"/>
        <v>1</v>
      </c>
      <c r="AJ351" t="e">
        <f t="shared" si="22"/>
        <v>#N/A</v>
      </c>
      <c r="AK351" t="e">
        <f t="shared" si="23"/>
        <v>#N/A</v>
      </c>
    </row>
    <row r="352" spans="1:37">
      <c r="A352" t="s">
        <v>1761</v>
      </c>
      <c r="B352" t="s">
        <v>1762</v>
      </c>
      <c r="C352" t="s">
        <v>1763</v>
      </c>
      <c r="D352" t="s">
        <v>1764</v>
      </c>
      <c r="E352" t="s">
        <v>168</v>
      </c>
      <c r="F352" t="s">
        <v>41</v>
      </c>
      <c r="G352" t="s">
        <v>42</v>
      </c>
      <c r="H352" t="s">
        <v>311</v>
      </c>
      <c r="I352" t="s">
        <v>312</v>
      </c>
      <c r="J352" t="s">
        <v>45</v>
      </c>
      <c r="K352" t="s">
        <v>65</v>
      </c>
      <c r="L352" t="s">
        <v>1765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  <c r="V352" s="1" t="s">
        <v>168</v>
      </c>
      <c r="W352" s="1" t="s">
        <v>41</v>
      </c>
      <c r="X352" s="1" t="s">
        <v>42</v>
      </c>
      <c r="Y352" s="1" t="s">
        <v>311</v>
      </c>
      <c r="Z352" s="1" t="s">
        <v>312</v>
      </c>
      <c r="AA352" s="1" t="s">
        <v>45</v>
      </c>
      <c r="AB352" s="1" t="s">
        <v>65</v>
      </c>
      <c r="AC352" s="1" t="s">
        <v>33</v>
      </c>
      <c r="AD352" s="1" t="s">
        <v>124</v>
      </c>
      <c r="AE352" s="1" t="s">
        <v>125</v>
      </c>
      <c r="AF352" s="5">
        <f t="shared" si="20"/>
        <v>45474</v>
      </c>
      <c r="AG352" s="5">
        <f t="shared" si="20"/>
        <v>45305</v>
      </c>
      <c r="AH352" s="5" t="b">
        <f t="shared" si="21"/>
        <v>1</v>
      </c>
      <c r="AI352" s="5" t="b">
        <f t="shared" si="21"/>
        <v>1</v>
      </c>
      <c r="AJ352" t="str">
        <f t="shared" si="22"/>
        <v>Invalid: Ship before Order</v>
      </c>
      <c r="AK352" t="e">
        <f t="shared" si="23"/>
        <v>#NUM!</v>
      </c>
    </row>
    <row r="353" spans="1:37">
      <c r="A353" t="s">
        <v>1766</v>
      </c>
      <c r="B353" t="s">
        <v>1767</v>
      </c>
      <c r="C353" t="s">
        <v>1682</v>
      </c>
      <c r="D353" t="s">
        <v>1768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156</v>
      </c>
      <c r="L353" t="s">
        <v>1769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137</v>
      </c>
      <c r="U353" t="s">
        <v>78</v>
      </c>
      <c r="V353" s="1" t="s">
        <v>83</v>
      </c>
      <c r="W353" s="1" t="s">
        <v>41</v>
      </c>
      <c r="X353" s="1" t="s">
        <v>62</v>
      </c>
      <c r="Y353" s="1" t="s">
        <v>63</v>
      </c>
      <c r="Z353" s="1" t="s">
        <v>64</v>
      </c>
      <c r="AA353" s="1" t="s">
        <v>30</v>
      </c>
      <c r="AB353" s="1" t="s">
        <v>156</v>
      </c>
      <c r="AC353" s="1" t="s">
        <v>56</v>
      </c>
      <c r="AD353" s="1" t="s">
        <v>137</v>
      </c>
      <c r="AE353" s="1" t="s">
        <v>78</v>
      </c>
      <c r="AF353" s="5" t="e">
        <f t="shared" si="20"/>
        <v>#N/A</v>
      </c>
      <c r="AG353" s="5">
        <f t="shared" si="20"/>
        <v>45804</v>
      </c>
      <c r="AH353" s="5" t="b">
        <f t="shared" si="21"/>
        <v>0</v>
      </c>
      <c r="AI353" s="5" t="b">
        <f t="shared" si="21"/>
        <v>1</v>
      </c>
      <c r="AJ353" t="e">
        <f t="shared" si="22"/>
        <v>#N/A</v>
      </c>
      <c r="AK353" t="e">
        <f t="shared" si="23"/>
        <v>#N/A</v>
      </c>
    </row>
    <row r="354" spans="1:37">
      <c r="A354" t="s">
        <v>1770</v>
      </c>
      <c r="B354" t="s">
        <v>1771</v>
      </c>
      <c r="C354" t="s">
        <v>1393</v>
      </c>
      <c r="D354" t="s">
        <v>1772</v>
      </c>
      <c r="E354" t="s">
        <v>210</v>
      </c>
      <c r="F354" t="s">
        <v>41</v>
      </c>
      <c r="G354" t="s">
        <v>42</v>
      </c>
      <c r="H354" t="s">
        <v>216</v>
      </c>
      <c r="I354" t="s">
        <v>217</v>
      </c>
      <c r="J354" t="s">
        <v>86</v>
      </c>
      <c r="K354" t="s">
        <v>94</v>
      </c>
      <c r="L354" t="s">
        <v>1773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  <c r="V354" s="1" t="s">
        <v>210</v>
      </c>
      <c r="W354" s="1" t="s">
        <v>41</v>
      </c>
      <c r="X354" s="1" t="s">
        <v>42</v>
      </c>
      <c r="Y354" s="1" t="s">
        <v>216</v>
      </c>
      <c r="Z354" s="1" t="s">
        <v>217</v>
      </c>
      <c r="AA354" s="1" t="s">
        <v>86</v>
      </c>
      <c r="AB354" s="1" t="s">
        <v>94</v>
      </c>
      <c r="AC354" s="1" t="s">
        <v>56</v>
      </c>
      <c r="AD354" s="1" t="s">
        <v>34</v>
      </c>
      <c r="AE354" s="1" t="s">
        <v>35</v>
      </c>
      <c r="AF354" s="5">
        <f t="shared" si="20"/>
        <v>45884</v>
      </c>
      <c r="AG354" s="5">
        <f t="shared" si="20"/>
        <v>45886</v>
      </c>
      <c r="AH354" s="5" t="b">
        <f t="shared" si="21"/>
        <v>1</v>
      </c>
      <c r="AI354" s="5" t="b">
        <f t="shared" si="21"/>
        <v>1</v>
      </c>
      <c r="AJ354" t="str">
        <f t="shared" si="22"/>
        <v>OK</v>
      </c>
      <c r="AK354">
        <f t="shared" si="23"/>
        <v>2</v>
      </c>
    </row>
    <row r="355" spans="1:37">
      <c r="A355" t="s">
        <v>1774</v>
      </c>
      <c r="B355" t="s">
        <v>1775</v>
      </c>
      <c r="C355" t="s">
        <v>1163</v>
      </c>
      <c r="D355" t="s">
        <v>1776</v>
      </c>
      <c r="E355" t="s">
        <v>72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  <c r="K355" t="s">
        <v>54</v>
      </c>
      <c r="L355" t="s">
        <v>1777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  <c r="V355" s="1" t="s">
        <v>72</v>
      </c>
      <c r="W355" s="1" t="s">
        <v>26</v>
      </c>
      <c r="X355" s="1" t="s">
        <v>27</v>
      </c>
      <c r="Y355" s="1" t="s">
        <v>28</v>
      </c>
      <c r="Z355" s="1" t="s">
        <v>29</v>
      </c>
      <c r="AA355" s="1" t="s">
        <v>30</v>
      </c>
      <c r="AB355" s="1" t="s">
        <v>54</v>
      </c>
      <c r="AC355" s="1" t="s">
        <v>48</v>
      </c>
      <c r="AD355" s="1" t="s">
        <v>34</v>
      </c>
      <c r="AE355" s="1" t="s">
        <v>35</v>
      </c>
      <c r="AF355" s="5" t="e">
        <f t="shared" si="20"/>
        <v>#N/A</v>
      </c>
      <c r="AG355" s="5" t="e">
        <f t="shared" si="20"/>
        <v>#N/A</v>
      </c>
      <c r="AH355" s="5" t="b">
        <f t="shared" si="21"/>
        <v>0</v>
      </c>
      <c r="AI355" s="5" t="b">
        <f t="shared" si="21"/>
        <v>0</v>
      </c>
      <c r="AJ355" t="e">
        <f t="shared" si="22"/>
        <v>#N/A</v>
      </c>
      <c r="AK355" t="e">
        <f t="shared" si="23"/>
        <v>#N/A</v>
      </c>
    </row>
    <row r="356" spans="1:37">
      <c r="A356" t="s">
        <v>1778</v>
      </c>
      <c r="B356" t="s">
        <v>145</v>
      </c>
      <c r="C356" t="s">
        <v>1779</v>
      </c>
      <c r="D356" t="s">
        <v>1780</v>
      </c>
      <c r="E356" t="s">
        <v>366</v>
      </c>
      <c r="F356" t="s">
        <v>1781</v>
      </c>
      <c r="G356" t="s">
        <v>27</v>
      </c>
      <c r="H356" t="s">
        <v>154</v>
      </c>
      <c r="I356" t="s">
        <v>155</v>
      </c>
      <c r="J356" t="s">
        <v>45</v>
      </c>
      <c r="K356" t="s">
        <v>65</v>
      </c>
      <c r="L356" t="s">
        <v>1782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137</v>
      </c>
      <c r="U356" t="s">
        <v>78</v>
      </c>
      <c r="V356" s="1" t="s">
        <v>366</v>
      </c>
      <c r="W356" s="1" t="s">
        <v>108</v>
      </c>
      <c r="X356" s="1" t="s">
        <v>27</v>
      </c>
      <c r="Y356" s="1" t="s">
        <v>154</v>
      </c>
      <c r="Z356" s="1" t="s">
        <v>155</v>
      </c>
      <c r="AA356" s="1" t="s">
        <v>45</v>
      </c>
      <c r="AB356" s="1" t="s">
        <v>65</v>
      </c>
      <c r="AC356" s="1" t="s">
        <v>67</v>
      </c>
      <c r="AD356" s="1" t="s">
        <v>137</v>
      </c>
      <c r="AE356" s="1" t="s">
        <v>78</v>
      </c>
      <c r="AF356" s="5">
        <f t="shared" si="20"/>
        <v>45653</v>
      </c>
      <c r="AG356" s="5">
        <f t="shared" si="20"/>
        <v>45657</v>
      </c>
      <c r="AH356" s="5" t="b">
        <f t="shared" si="21"/>
        <v>1</v>
      </c>
      <c r="AI356" s="5" t="b">
        <f t="shared" si="21"/>
        <v>1</v>
      </c>
      <c r="AJ356" t="str">
        <f t="shared" si="22"/>
        <v>OK</v>
      </c>
      <c r="AK356">
        <f t="shared" si="23"/>
        <v>4</v>
      </c>
    </row>
    <row r="357" spans="1:37">
      <c r="A357" t="s">
        <v>1783</v>
      </c>
      <c r="B357" t="s">
        <v>1784</v>
      </c>
      <c r="C357" t="s">
        <v>1785</v>
      </c>
      <c r="D357" t="s">
        <v>1786</v>
      </c>
      <c r="E357" t="s">
        <v>142</v>
      </c>
      <c r="F357" t="s">
        <v>108</v>
      </c>
      <c r="G357" t="s">
        <v>73</v>
      </c>
      <c r="H357" t="s">
        <v>28</v>
      </c>
      <c r="I357" t="s">
        <v>135</v>
      </c>
      <c r="J357" t="s">
        <v>45</v>
      </c>
      <c r="K357" t="s">
        <v>46</v>
      </c>
      <c r="L357" t="s">
        <v>1787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137</v>
      </c>
      <c r="U357" t="s">
        <v>78</v>
      </c>
      <c r="V357" s="1" t="s">
        <v>142</v>
      </c>
      <c r="W357" s="1" t="s">
        <v>108</v>
      </c>
      <c r="X357" s="1" t="s">
        <v>73</v>
      </c>
      <c r="Y357" s="1" t="s">
        <v>28</v>
      </c>
      <c r="Z357" s="1" t="s">
        <v>135</v>
      </c>
      <c r="AA357" s="1" t="s">
        <v>45</v>
      </c>
      <c r="AB357" s="1" t="s">
        <v>46</v>
      </c>
      <c r="AC357" s="1" t="s">
        <v>67</v>
      </c>
      <c r="AD357" s="1" t="s">
        <v>137</v>
      </c>
      <c r="AE357" s="1" t="s">
        <v>78</v>
      </c>
      <c r="AF357" s="5">
        <f t="shared" si="20"/>
        <v>45631</v>
      </c>
      <c r="AG357" s="5">
        <f t="shared" si="20"/>
        <v>45421</v>
      </c>
      <c r="AH357" s="5" t="b">
        <f t="shared" si="21"/>
        <v>1</v>
      </c>
      <c r="AI357" s="5" t="b">
        <f t="shared" si="21"/>
        <v>1</v>
      </c>
      <c r="AJ357" t="str">
        <f t="shared" si="22"/>
        <v>Invalid: Ship before Order</v>
      </c>
      <c r="AK357" t="e">
        <f t="shared" si="23"/>
        <v>#NUM!</v>
      </c>
    </row>
    <row r="358" spans="1:37">
      <c r="A358" t="s">
        <v>1788</v>
      </c>
      <c r="B358" t="s">
        <v>1789</v>
      </c>
      <c r="C358" t="s">
        <v>1790</v>
      </c>
      <c r="D358" t="s">
        <v>1791</v>
      </c>
      <c r="E358" t="s">
        <v>180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1792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137</v>
      </c>
      <c r="U358" t="s">
        <v>125</v>
      </c>
      <c r="V358" s="1" t="s">
        <v>180</v>
      </c>
      <c r="W358" s="1" t="s">
        <v>115</v>
      </c>
      <c r="X358" s="1" t="s">
        <v>62</v>
      </c>
      <c r="Y358" s="1" t="s">
        <v>63</v>
      </c>
      <c r="Z358" s="1" t="s">
        <v>64</v>
      </c>
      <c r="AA358" s="1" t="s">
        <v>45</v>
      </c>
      <c r="AB358" s="1" t="s">
        <v>76</v>
      </c>
      <c r="AC358" s="1" t="s">
        <v>56</v>
      </c>
      <c r="AD358" s="1" t="s">
        <v>137</v>
      </c>
      <c r="AE358" s="1" t="s">
        <v>125</v>
      </c>
      <c r="AF358" s="5">
        <f t="shared" si="20"/>
        <v>45835</v>
      </c>
      <c r="AG358" s="5">
        <f t="shared" si="20"/>
        <v>45837</v>
      </c>
      <c r="AH358" s="5" t="b">
        <f t="shared" si="21"/>
        <v>1</v>
      </c>
      <c r="AI358" s="5" t="b">
        <f t="shared" si="21"/>
        <v>1</v>
      </c>
      <c r="AJ358" t="str">
        <f t="shared" si="22"/>
        <v>OK</v>
      </c>
      <c r="AK358">
        <f t="shared" si="23"/>
        <v>2</v>
      </c>
    </row>
    <row r="359" spans="1:37">
      <c r="A359" t="s">
        <v>1793</v>
      </c>
      <c r="B359" t="s">
        <v>196</v>
      </c>
      <c r="C359" t="s">
        <v>1794</v>
      </c>
      <c r="D359" t="s">
        <v>1795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382</v>
      </c>
      <c r="L359" t="s">
        <v>1796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  <c r="V359" s="1" t="s">
        <v>40</v>
      </c>
      <c r="W359" s="1" t="s">
        <v>115</v>
      </c>
      <c r="X359" s="1" t="s">
        <v>62</v>
      </c>
      <c r="Y359" s="1" t="s">
        <v>100</v>
      </c>
      <c r="Z359" s="1" t="s">
        <v>101</v>
      </c>
      <c r="AA359" s="1" t="s">
        <v>86</v>
      </c>
      <c r="AB359" s="1" t="s">
        <v>382</v>
      </c>
      <c r="AC359" s="1" t="s">
        <v>33</v>
      </c>
      <c r="AD359" s="1" t="s">
        <v>34</v>
      </c>
      <c r="AE359" s="1" t="s">
        <v>78</v>
      </c>
      <c r="AF359" s="5">
        <f t="shared" si="20"/>
        <v>45678</v>
      </c>
      <c r="AG359" s="5">
        <f t="shared" si="20"/>
        <v>45686</v>
      </c>
      <c r="AH359" s="5" t="b">
        <f t="shared" si="21"/>
        <v>1</v>
      </c>
      <c r="AI359" s="5" t="b">
        <f t="shared" si="21"/>
        <v>1</v>
      </c>
      <c r="AJ359" t="str">
        <f t="shared" si="22"/>
        <v>OK</v>
      </c>
      <c r="AK359">
        <f t="shared" si="23"/>
        <v>8</v>
      </c>
    </row>
    <row r="360" spans="1:37">
      <c r="A360" t="s">
        <v>1797</v>
      </c>
      <c r="B360" t="s">
        <v>1798</v>
      </c>
      <c r="C360" t="s">
        <v>1799</v>
      </c>
      <c r="D360" t="s">
        <v>1800</v>
      </c>
      <c r="E360" t="s">
        <v>83</v>
      </c>
      <c r="F360" t="s">
        <v>115</v>
      </c>
      <c r="G360" t="s">
        <v>73</v>
      </c>
      <c r="H360" t="s">
        <v>235</v>
      </c>
      <c r="I360" t="s">
        <v>236</v>
      </c>
      <c r="J360" t="s">
        <v>45</v>
      </c>
      <c r="K360" t="s">
        <v>204</v>
      </c>
      <c r="L360" t="s">
        <v>1801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137</v>
      </c>
      <c r="U360" t="s">
        <v>125</v>
      </c>
      <c r="V360" s="1" t="s">
        <v>83</v>
      </c>
      <c r="W360" s="1" t="s">
        <v>115</v>
      </c>
      <c r="X360" s="1" t="s">
        <v>73</v>
      </c>
      <c r="Y360" s="1" t="s">
        <v>235</v>
      </c>
      <c r="Z360" s="1" t="s">
        <v>236</v>
      </c>
      <c r="AA360" s="1" t="s">
        <v>45</v>
      </c>
      <c r="AB360" s="1" t="s">
        <v>204</v>
      </c>
      <c r="AC360" s="1" t="s">
        <v>33</v>
      </c>
      <c r="AD360" s="1" t="s">
        <v>137</v>
      </c>
      <c r="AE360" s="1" t="s">
        <v>125</v>
      </c>
      <c r="AF360" s="5">
        <f t="shared" si="20"/>
        <v>45878</v>
      </c>
      <c r="AG360" s="5">
        <f t="shared" si="20"/>
        <v>45876</v>
      </c>
      <c r="AH360" s="5" t="b">
        <f t="shared" si="21"/>
        <v>1</v>
      </c>
      <c r="AI360" s="5" t="b">
        <f t="shared" si="21"/>
        <v>1</v>
      </c>
      <c r="AJ360" t="str">
        <f t="shared" si="22"/>
        <v>Invalid: Ship before Order</v>
      </c>
      <c r="AK360" t="e">
        <f t="shared" si="23"/>
        <v>#NUM!</v>
      </c>
    </row>
    <row r="361" spans="1:37">
      <c r="A361" t="s">
        <v>1802</v>
      </c>
      <c r="B361" t="s">
        <v>1626</v>
      </c>
      <c r="C361" t="s">
        <v>1803</v>
      </c>
      <c r="D361" t="s">
        <v>1804</v>
      </c>
      <c r="E361" t="s">
        <v>53</v>
      </c>
      <c r="F361" t="s">
        <v>26</v>
      </c>
      <c r="G361" t="s">
        <v>62</v>
      </c>
      <c r="H361" t="s">
        <v>339</v>
      </c>
      <c r="I361" t="s">
        <v>340</v>
      </c>
      <c r="J361" t="s">
        <v>86</v>
      </c>
      <c r="K361" t="s">
        <v>223</v>
      </c>
      <c r="L361" t="s">
        <v>1805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  <c r="V361" s="1" t="s">
        <v>53</v>
      </c>
      <c r="W361" s="1" t="s">
        <v>26</v>
      </c>
      <c r="X361" s="1" t="s">
        <v>62</v>
      </c>
      <c r="Y361" s="1" t="s">
        <v>339</v>
      </c>
      <c r="Z361" s="1" t="s">
        <v>340</v>
      </c>
      <c r="AA361" s="1" t="s">
        <v>86</v>
      </c>
      <c r="AB361" s="1" t="s">
        <v>223</v>
      </c>
      <c r="AC361" s="1" t="s">
        <v>48</v>
      </c>
      <c r="AD361" s="1" t="s">
        <v>34</v>
      </c>
      <c r="AE361" s="1" t="s">
        <v>35</v>
      </c>
      <c r="AF361" s="5">
        <f t="shared" si="20"/>
        <v>45525</v>
      </c>
      <c r="AG361" s="5" t="e">
        <f t="shared" si="20"/>
        <v>#N/A</v>
      </c>
      <c r="AH361" s="5" t="b">
        <f t="shared" si="21"/>
        <v>1</v>
      </c>
      <c r="AI361" s="5" t="b">
        <f t="shared" si="21"/>
        <v>0</v>
      </c>
      <c r="AJ361" t="e">
        <f t="shared" si="22"/>
        <v>#N/A</v>
      </c>
      <c r="AK361" t="e">
        <f t="shared" si="23"/>
        <v>#N/A</v>
      </c>
    </row>
    <row r="362" spans="1:37">
      <c r="A362" t="s">
        <v>1806</v>
      </c>
      <c r="B362" t="s">
        <v>1807</v>
      </c>
      <c r="C362" t="s">
        <v>1808</v>
      </c>
      <c r="D362" t="s">
        <v>1809</v>
      </c>
      <c r="E362" t="s">
        <v>168</v>
      </c>
      <c r="F362" t="s">
        <v>41</v>
      </c>
      <c r="G362" t="s">
        <v>73</v>
      </c>
      <c r="H362" t="s">
        <v>235</v>
      </c>
      <c r="I362" t="s">
        <v>236</v>
      </c>
      <c r="J362" t="s">
        <v>45</v>
      </c>
      <c r="K362" t="s">
        <v>65</v>
      </c>
      <c r="L362" t="s">
        <v>1810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  <c r="V362" s="1" t="s">
        <v>168</v>
      </c>
      <c r="W362" s="1" t="s">
        <v>41</v>
      </c>
      <c r="X362" s="1" t="s">
        <v>73</v>
      </c>
      <c r="Y362" s="1" t="s">
        <v>235</v>
      </c>
      <c r="Z362" s="1" t="s">
        <v>236</v>
      </c>
      <c r="AA362" s="1" t="s">
        <v>45</v>
      </c>
      <c r="AB362" s="1" t="s">
        <v>65</v>
      </c>
      <c r="AC362" s="1" t="s">
        <v>67</v>
      </c>
      <c r="AD362" s="1" t="s">
        <v>124</v>
      </c>
      <c r="AE362" s="1" t="s">
        <v>78</v>
      </c>
      <c r="AF362" s="5">
        <f t="shared" si="20"/>
        <v>45460</v>
      </c>
      <c r="AG362" s="5">
        <f t="shared" si="20"/>
        <v>45463</v>
      </c>
      <c r="AH362" s="5" t="b">
        <f t="shared" si="21"/>
        <v>1</v>
      </c>
      <c r="AI362" s="5" t="b">
        <f t="shared" si="21"/>
        <v>1</v>
      </c>
      <c r="AJ362" t="str">
        <f t="shared" si="22"/>
        <v>OK</v>
      </c>
      <c r="AK362">
        <f t="shared" si="23"/>
        <v>3</v>
      </c>
    </row>
    <row r="363" spans="1:37">
      <c r="A363" t="s">
        <v>1811</v>
      </c>
      <c r="B363" t="s">
        <v>1157</v>
      </c>
      <c r="C363" t="s">
        <v>1812</v>
      </c>
      <c r="D363" t="s">
        <v>1813</v>
      </c>
      <c r="E363" t="s">
        <v>180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1814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137</v>
      </c>
      <c r="U363" t="s">
        <v>125</v>
      </c>
      <c r="V363" s="1" t="s">
        <v>180</v>
      </c>
      <c r="W363" s="1" t="s">
        <v>108</v>
      </c>
      <c r="X363" s="1" t="s">
        <v>42</v>
      </c>
      <c r="Y363" s="1" t="s">
        <v>43</v>
      </c>
      <c r="Z363" s="1" t="s">
        <v>44</v>
      </c>
      <c r="AA363" s="1" t="s">
        <v>45</v>
      </c>
      <c r="AB363" s="1" t="s">
        <v>76</v>
      </c>
      <c r="AC363" s="1" t="s">
        <v>33</v>
      </c>
      <c r="AD363" s="1" t="s">
        <v>137</v>
      </c>
      <c r="AE363" s="1" t="s">
        <v>125</v>
      </c>
      <c r="AF363" s="5">
        <f t="shared" si="20"/>
        <v>45661</v>
      </c>
      <c r="AG363" s="5">
        <f t="shared" si="20"/>
        <v>45749</v>
      </c>
      <c r="AH363" s="5" t="b">
        <f t="shared" si="21"/>
        <v>1</v>
      </c>
      <c r="AI363" s="5" t="b">
        <f t="shared" si="21"/>
        <v>1</v>
      </c>
      <c r="AJ363" t="str">
        <f t="shared" si="22"/>
        <v>OK</v>
      </c>
      <c r="AK363">
        <f t="shared" si="23"/>
        <v>88</v>
      </c>
    </row>
    <row r="364" spans="1:37">
      <c r="A364" t="s">
        <v>1815</v>
      </c>
      <c r="B364" t="s">
        <v>1816</v>
      </c>
      <c r="C364" t="s">
        <v>1817</v>
      </c>
      <c r="D364" t="s">
        <v>1818</v>
      </c>
      <c r="E364" t="s">
        <v>83</v>
      </c>
      <c r="F364" t="s">
        <v>26</v>
      </c>
      <c r="G364" t="s">
        <v>73</v>
      </c>
      <c r="H364" t="s">
        <v>249</v>
      </c>
      <c r="I364" t="s">
        <v>250</v>
      </c>
      <c r="J364" t="s">
        <v>86</v>
      </c>
      <c r="K364" t="s">
        <v>382</v>
      </c>
      <c r="L364" t="s">
        <v>1819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  <c r="V364" s="1" t="s">
        <v>83</v>
      </c>
      <c r="W364" s="1" t="s">
        <v>26</v>
      </c>
      <c r="X364" s="1" t="s">
        <v>73</v>
      </c>
      <c r="Y364" s="1" t="s">
        <v>249</v>
      </c>
      <c r="Z364" s="1" t="s">
        <v>250</v>
      </c>
      <c r="AA364" s="1" t="s">
        <v>86</v>
      </c>
      <c r="AB364" s="1" t="s">
        <v>382</v>
      </c>
      <c r="AC364" s="1" t="s">
        <v>48</v>
      </c>
      <c r="AD364" s="1" t="s">
        <v>34</v>
      </c>
      <c r="AE364" s="1" t="s">
        <v>35</v>
      </c>
      <c r="AF364" s="5">
        <f t="shared" si="20"/>
        <v>45527</v>
      </c>
      <c r="AG364" s="5" t="e">
        <f t="shared" si="20"/>
        <v>#N/A</v>
      </c>
      <c r="AH364" s="5" t="b">
        <f t="shared" si="21"/>
        <v>1</v>
      </c>
      <c r="AI364" s="5" t="b">
        <f t="shared" si="21"/>
        <v>0</v>
      </c>
      <c r="AJ364" t="e">
        <f t="shared" si="22"/>
        <v>#N/A</v>
      </c>
      <c r="AK364" t="e">
        <f t="shared" si="23"/>
        <v>#N/A</v>
      </c>
    </row>
    <row r="365" spans="1:37">
      <c r="A365" t="s">
        <v>1820</v>
      </c>
      <c r="B365" t="s">
        <v>1821</v>
      </c>
      <c r="C365" t="s">
        <v>1822</v>
      </c>
      <c r="D365" t="s">
        <v>1823</v>
      </c>
      <c r="E365" t="s">
        <v>210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1824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  <c r="V365" s="1" t="s">
        <v>210</v>
      </c>
      <c r="W365" s="1" t="s">
        <v>108</v>
      </c>
      <c r="X365" s="1" t="s">
        <v>42</v>
      </c>
      <c r="Y365" s="1" t="s">
        <v>121</v>
      </c>
      <c r="Z365" s="1" t="s">
        <v>122</v>
      </c>
      <c r="AA365" s="1" t="s">
        <v>45</v>
      </c>
      <c r="AB365" s="1" t="s">
        <v>46</v>
      </c>
      <c r="AC365" s="1" t="s">
        <v>33</v>
      </c>
      <c r="AD365" s="1" t="s">
        <v>34</v>
      </c>
      <c r="AE365" s="1" t="s">
        <v>35</v>
      </c>
      <c r="AF365" s="5">
        <f t="shared" si="20"/>
        <v>45845</v>
      </c>
      <c r="AG365" s="5">
        <f t="shared" si="20"/>
        <v>45850</v>
      </c>
      <c r="AH365" s="5" t="b">
        <f t="shared" si="21"/>
        <v>1</v>
      </c>
      <c r="AI365" s="5" t="b">
        <f t="shared" si="21"/>
        <v>1</v>
      </c>
      <c r="AJ365" t="str">
        <f t="shared" si="22"/>
        <v>OK</v>
      </c>
      <c r="AK365">
        <f t="shared" si="23"/>
        <v>5</v>
      </c>
    </row>
    <row r="366" spans="1:37">
      <c r="A366" t="s">
        <v>1825</v>
      </c>
      <c r="B366" t="s">
        <v>1826</v>
      </c>
      <c r="C366" t="s">
        <v>1827</v>
      </c>
      <c r="D366" t="s">
        <v>1828</v>
      </c>
      <c r="E366" t="s">
        <v>162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1829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  <c r="V366" s="1" t="s">
        <v>162</v>
      </c>
      <c r="W366" s="1" t="s">
        <v>41</v>
      </c>
      <c r="X366" s="1" t="s">
        <v>62</v>
      </c>
      <c r="Y366" s="1" t="s">
        <v>100</v>
      </c>
      <c r="Z366" s="1" t="s">
        <v>101</v>
      </c>
      <c r="AA366" s="1" t="s">
        <v>45</v>
      </c>
      <c r="AB366" s="1" t="s">
        <v>76</v>
      </c>
      <c r="AC366" s="1" t="s">
        <v>33</v>
      </c>
      <c r="AD366" s="1" t="s">
        <v>34</v>
      </c>
      <c r="AE366" s="1" t="s">
        <v>35</v>
      </c>
      <c r="AF366" s="5">
        <f t="shared" si="20"/>
        <v>45737</v>
      </c>
      <c r="AG366" s="5">
        <f t="shared" si="20"/>
        <v>45740</v>
      </c>
      <c r="AH366" s="5" t="b">
        <f t="shared" si="21"/>
        <v>1</v>
      </c>
      <c r="AI366" s="5" t="b">
        <f t="shared" si="21"/>
        <v>1</v>
      </c>
      <c r="AJ366" t="str">
        <f t="shared" si="22"/>
        <v>OK</v>
      </c>
      <c r="AK366">
        <f t="shared" si="23"/>
        <v>3</v>
      </c>
    </row>
    <row r="367" spans="1:37">
      <c r="A367" t="s">
        <v>1830</v>
      </c>
      <c r="B367" t="s">
        <v>1831</v>
      </c>
      <c r="C367" t="s">
        <v>1832</v>
      </c>
      <c r="D367" t="s">
        <v>1833</v>
      </c>
      <c r="E367" t="s">
        <v>107</v>
      </c>
      <c r="F367" t="s">
        <v>108</v>
      </c>
      <c r="G367" t="s">
        <v>73</v>
      </c>
      <c r="H367" t="s">
        <v>249</v>
      </c>
      <c r="I367" t="s">
        <v>250</v>
      </c>
      <c r="J367" t="s">
        <v>86</v>
      </c>
      <c r="K367" t="s">
        <v>87</v>
      </c>
      <c r="L367" t="s">
        <v>1834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  <c r="V367" s="1" t="s">
        <v>107</v>
      </c>
      <c r="W367" s="1" t="s">
        <v>108</v>
      </c>
      <c r="X367" s="1" t="s">
        <v>73</v>
      </c>
      <c r="Y367" s="1" t="s">
        <v>249</v>
      </c>
      <c r="Z367" s="1" t="s">
        <v>250</v>
      </c>
      <c r="AA367" s="1" t="s">
        <v>86</v>
      </c>
      <c r="AB367" s="1" t="s">
        <v>87</v>
      </c>
      <c r="AC367" s="1" t="s">
        <v>56</v>
      </c>
      <c r="AD367" s="1" t="s">
        <v>34</v>
      </c>
      <c r="AE367" s="1" t="s">
        <v>35</v>
      </c>
      <c r="AF367" s="5" t="e">
        <f t="shared" si="20"/>
        <v>#N/A</v>
      </c>
      <c r="AG367" s="5" t="e">
        <f t="shared" si="20"/>
        <v>#N/A</v>
      </c>
      <c r="AH367" s="5" t="b">
        <f t="shared" si="21"/>
        <v>0</v>
      </c>
      <c r="AI367" s="5" t="b">
        <f t="shared" si="21"/>
        <v>0</v>
      </c>
      <c r="AJ367" t="e">
        <f t="shared" si="22"/>
        <v>#N/A</v>
      </c>
      <c r="AK367" t="e">
        <f t="shared" si="23"/>
        <v>#N/A</v>
      </c>
    </row>
    <row r="368" spans="1:37">
      <c r="A368" t="s">
        <v>1835</v>
      </c>
      <c r="B368" t="s">
        <v>1836</v>
      </c>
      <c r="C368" t="s">
        <v>1837</v>
      </c>
      <c r="D368" t="s">
        <v>1838</v>
      </c>
      <c r="E368" t="s">
        <v>168</v>
      </c>
      <c r="F368" t="s">
        <v>108</v>
      </c>
      <c r="G368" t="s">
        <v>27</v>
      </c>
      <c r="H368" t="s">
        <v>28</v>
      </c>
      <c r="I368" t="s">
        <v>29</v>
      </c>
      <c r="J368" t="s">
        <v>45</v>
      </c>
      <c r="K368" t="s">
        <v>46</v>
      </c>
      <c r="L368" t="s">
        <v>1839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  <c r="V368" s="1" t="s">
        <v>168</v>
      </c>
      <c r="W368" s="1" t="s">
        <v>108</v>
      </c>
      <c r="X368" s="1" t="s">
        <v>27</v>
      </c>
      <c r="Y368" s="1" t="s">
        <v>28</v>
      </c>
      <c r="Z368" s="1" t="s">
        <v>29</v>
      </c>
      <c r="AA368" s="1" t="s">
        <v>45</v>
      </c>
      <c r="AB368" s="1" t="s">
        <v>46</v>
      </c>
      <c r="AC368" s="1" t="s">
        <v>48</v>
      </c>
      <c r="AD368" s="1" t="s">
        <v>34</v>
      </c>
      <c r="AE368" s="1" t="s">
        <v>35</v>
      </c>
      <c r="AF368" s="5">
        <f t="shared" si="20"/>
        <v>45673</v>
      </c>
      <c r="AG368" s="5">
        <f t="shared" si="20"/>
        <v>45679</v>
      </c>
      <c r="AH368" s="5" t="b">
        <f t="shared" si="21"/>
        <v>1</v>
      </c>
      <c r="AI368" s="5" t="b">
        <f t="shared" si="21"/>
        <v>1</v>
      </c>
      <c r="AJ368" t="str">
        <f t="shared" si="22"/>
        <v>OK</v>
      </c>
      <c r="AK368">
        <f t="shared" si="23"/>
        <v>6</v>
      </c>
    </row>
    <row r="369" spans="1:37">
      <c r="A369" t="s">
        <v>1840</v>
      </c>
      <c r="B369" t="s">
        <v>978</v>
      </c>
      <c r="C369" t="s">
        <v>1841</v>
      </c>
      <c r="D369" t="s">
        <v>1842</v>
      </c>
      <c r="E369" t="s">
        <v>180</v>
      </c>
      <c r="F369" t="s">
        <v>26</v>
      </c>
      <c r="G369" t="s">
        <v>27</v>
      </c>
      <c r="H369" t="s">
        <v>506</v>
      </c>
      <c r="I369" t="s">
        <v>507</v>
      </c>
      <c r="J369" t="s">
        <v>30</v>
      </c>
      <c r="K369" t="s">
        <v>54</v>
      </c>
      <c r="L369" t="s">
        <v>1843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200</v>
      </c>
      <c r="U369" t="s">
        <v>78</v>
      </c>
      <c r="V369" s="1" t="s">
        <v>180</v>
      </c>
      <c r="W369" s="1" t="s">
        <v>26</v>
      </c>
      <c r="X369" s="1" t="s">
        <v>27</v>
      </c>
      <c r="Y369" s="1" t="s">
        <v>506</v>
      </c>
      <c r="Z369" s="1" t="s">
        <v>507</v>
      </c>
      <c r="AA369" s="1" t="s">
        <v>30</v>
      </c>
      <c r="AB369" s="1" t="s">
        <v>54</v>
      </c>
      <c r="AC369" s="1" t="s">
        <v>67</v>
      </c>
      <c r="AD369" s="1" t="s">
        <v>200</v>
      </c>
      <c r="AE369" s="1" t="s">
        <v>78</v>
      </c>
      <c r="AF369" s="5">
        <f t="shared" si="20"/>
        <v>45366</v>
      </c>
      <c r="AG369" s="5">
        <f t="shared" si="20"/>
        <v>45367</v>
      </c>
      <c r="AH369" s="5" t="b">
        <f t="shared" si="21"/>
        <v>1</v>
      </c>
      <c r="AI369" s="5" t="b">
        <f t="shared" si="21"/>
        <v>1</v>
      </c>
      <c r="AJ369" t="str">
        <f t="shared" si="22"/>
        <v>OK</v>
      </c>
      <c r="AK369">
        <f t="shared" si="23"/>
        <v>1</v>
      </c>
    </row>
    <row r="370" spans="1:37">
      <c r="A370" t="s">
        <v>1844</v>
      </c>
      <c r="B370" t="s">
        <v>1272</v>
      </c>
      <c r="C370" t="s">
        <v>1272</v>
      </c>
      <c r="D370" t="s">
        <v>1845</v>
      </c>
      <c r="E370" t="s">
        <v>162</v>
      </c>
      <c r="F370" t="s">
        <v>115</v>
      </c>
      <c r="G370" t="s">
        <v>27</v>
      </c>
      <c r="H370" t="s">
        <v>28</v>
      </c>
      <c r="I370" t="s">
        <v>29</v>
      </c>
      <c r="J370" t="s">
        <v>86</v>
      </c>
      <c r="K370" t="s">
        <v>87</v>
      </c>
      <c r="L370" t="s">
        <v>1846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  <c r="V370" s="1" t="s">
        <v>162</v>
      </c>
      <c r="W370" s="1" t="s">
        <v>115</v>
      </c>
      <c r="X370" s="1" t="s">
        <v>27</v>
      </c>
      <c r="Y370" s="1" t="s">
        <v>28</v>
      </c>
      <c r="Z370" s="1" t="s">
        <v>29</v>
      </c>
      <c r="AA370" s="1" t="s">
        <v>86</v>
      </c>
      <c r="AB370" s="1" t="s">
        <v>87</v>
      </c>
      <c r="AC370" s="1" t="s">
        <v>48</v>
      </c>
      <c r="AD370" s="1" t="s">
        <v>124</v>
      </c>
      <c r="AE370" s="1" t="s">
        <v>125</v>
      </c>
      <c r="AF370" s="5">
        <f t="shared" si="20"/>
        <v>45815</v>
      </c>
      <c r="AG370" s="5">
        <f t="shared" si="20"/>
        <v>45815</v>
      </c>
      <c r="AH370" s="5" t="b">
        <f t="shared" si="21"/>
        <v>1</v>
      </c>
      <c r="AI370" s="5" t="b">
        <f t="shared" si="21"/>
        <v>1</v>
      </c>
      <c r="AJ370" t="str">
        <f t="shared" si="22"/>
        <v>OK</v>
      </c>
      <c r="AK370">
        <f t="shared" si="23"/>
        <v>0</v>
      </c>
    </row>
    <row r="371" spans="1:37">
      <c r="A371" t="s">
        <v>1847</v>
      </c>
      <c r="B371" t="s">
        <v>1531</v>
      </c>
      <c r="C371" t="s">
        <v>191</v>
      </c>
      <c r="D371" t="s">
        <v>1848</v>
      </c>
      <c r="E371" t="s">
        <v>142</v>
      </c>
      <c r="F371" t="s">
        <v>26</v>
      </c>
      <c r="G371" t="s">
        <v>27</v>
      </c>
      <c r="H371" t="s">
        <v>506</v>
      </c>
      <c r="I371" t="s">
        <v>507</v>
      </c>
      <c r="J371" t="s">
        <v>30</v>
      </c>
      <c r="K371" t="s">
        <v>109</v>
      </c>
      <c r="L371" t="s">
        <v>1849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  <c r="V371" s="1" t="s">
        <v>142</v>
      </c>
      <c r="W371" s="1" t="s">
        <v>26</v>
      </c>
      <c r="X371" s="1" t="s">
        <v>27</v>
      </c>
      <c r="Y371" s="1" t="s">
        <v>506</v>
      </c>
      <c r="Z371" s="1" t="s">
        <v>507</v>
      </c>
      <c r="AA371" s="1" t="s">
        <v>30</v>
      </c>
      <c r="AB371" s="1" t="s">
        <v>109</v>
      </c>
      <c r="AC371" s="1" t="s">
        <v>67</v>
      </c>
      <c r="AD371" s="1" t="s">
        <v>34</v>
      </c>
      <c r="AE371" s="1" t="s">
        <v>35</v>
      </c>
      <c r="AF371" s="5" t="e">
        <f t="shared" si="20"/>
        <v>#N/A</v>
      </c>
      <c r="AG371" s="5">
        <f t="shared" si="20"/>
        <v>45687</v>
      </c>
      <c r="AH371" s="5" t="b">
        <f t="shared" si="21"/>
        <v>0</v>
      </c>
      <c r="AI371" s="5" t="b">
        <f t="shared" si="21"/>
        <v>1</v>
      </c>
      <c r="AJ371" t="e">
        <f t="shared" si="22"/>
        <v>#N/A</v>
      </c>
      <c r="AK371" t="e">
        <f t="shared" si="23"/>
        <v>#N/A</v>
      </c>
    </row>
    <row r="372" spans="1:37">
      <c r="A372" t="s">
        <v>1850</v>
      </c>
      <c r="B372" t="s">
        <v>1851</v>
      </c>
      <c r="C372" t="s">
        <v>1626</v>
      </c>
      <c r="D372" t="s">
        <v>1852</v>
      </c>
      <c r="E372" t="s">
        <v>72</v>
      </c>
      <c r="F372" t="s">
        <v>41</v>
      </c>
      <c r="G372" t="s">
        <v>73</v>
      </c>
      <c r="H372" t="s">
        <v>28</v>
      </c>
      <c r="I372" t="s">
        <v>135</v>
      </c>
      <c r="J372" t="s">
        <v>86</v>
      </c>
      <c r="K372" t="s">
        <v>94</v>
      </c>
      <c r="L372" t="s">
        <v>1853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  <c r="V372" s="1" t="s">
        <v>72</v>
      </c>
      <c r="W372" s="1" t="s">
        <v>41</v>
      </c>
      <c r="X372" s="1" t="s">
        <v>73</v>
      </c>
      <c r="Y372" s="1" t="s">
        <v>28</v>
      </c>
      <c r="Z372" s="1" t="s">
        <v>135</v>
      </c>
      <c r="AA372" s="1" t="s">
        <v>86</v>
      </c>
      <c r="AB372" s="1" t="s">
        <v>94</v>
      </c>
      <c r="AC372" s="1" t="s">
        <v>56</v>
      </c>
      <c r="AD372" s="1" t="s">
        <v>34</v>
      </c>
      <c r="AE372" s="1" t="s">
        <v>35</v>
      </c>
      <c r="AF372" s="5">
        <f t="shared" si="20"/>
        <v>45519</v>
      </c>
      <c r="AG372" s="5">
        <f t="shared" si="20"/>
        <v>45525</v>
      </c>
      <c r="AH372" s="5" t="b">
        <f t="shared" si="21"/>
        <v>1</v>
      </c>
      <c r="AI372" s="5" t="b">
        <f t="shared" si="21"/>
        <v>1</v>
      </c>
      <c r="AJ372" t="str">
        <f t="shared" si="22"/>
        <v>OK</v>
      </c>
      <c r="AK372">
        <f t="shared" si="23"/>
        <v>6</v>
      </c>
    </row>
    <row r="373" spans="1:37">
      <c r="A373" t="s">
        <v>1854</v>
      </c>
      <c r="B373" t="s">
        <v>1058</v>
      </c>
      <c r="C373" t="s">
        <v>1855</v>
      </c>
      <c r="D373" t="s">
        <v>1856</v>
      </c>
      <c r="E373" t="s">
        <v>210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1857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  <c r="V373" s="1" t="s">
        <v>210</v>
      </c>
      <c r="W373" s="1" t="s">
        <v>115</v>
      </c>
      <c r="X373" s="1" t="s">
        <v>73</v>
      </c>
      <c r="Y373" s="1" t="s">
        <v>74</v>
      </c>
      <c r="Z373" s="1" t="s">
        <v>75</v>
      </c>
      <c r="AA373" s="1" t="s">
        <v>30</v>
      </c>
      <c r="AB373" s="1" t="s">
        <v>54</v>
      </c>
      <c r="AC373" s="1" t="s">
        <v>67</v>
      </c>
      <c r="AD373" s="1" t="s">
        <v>124</v>
      </c>
      <c r="AE373" s="1" t="s">
        <v>78</v>
      </c>
      <c r="AF373" s="5" t="e">
        <f t="shared" si="20"/>
        <v>#N/A</v>
      </c>
      <c r="AG373" s="5">
        <f t="shared" si="20"/>
        <v>45315</v>
      </c>
      <c r="AH373" s="5" t="b">
        <f t="shared" si="21"/>
        <v>0</v>
      </c>
      <c r="AI373" s="5" t="b">
        <f t="shared" si="21"/>
        <v>1</v>
      </c>
      <c r="AJ373" t="e">
        <f t="shared" si="22"/>
        <v>#N/A</v>
      </c>
      <c r="AK373" t="e">
        <f t="shared" si="23"/>
        <v>#N/A</v>
      </c>
    </row>
    <row r="374" spans="1:37">
      <c r="A374" t="s">
        <v>1858</v>
      </c>
      <c r="B374" t="s">
        <v>1859</v>
      </c>
      <c r="C374" t="s">
        <v>921</v>
      </c>
      <c r="D374" t="s">
        <v>970</v>
      </c>
      <c r="E374" t="s">
        <v>366</v>
      </c>
      <c r="F374" t="s">
        <v>26</v>
      </c>
      <c r="G374" t="s">
        <v>42</v>
      </c>
      <c r="H374" t="s">
        <v>311</v>
      </c>
      <c r="I374" t="s">
        <v>312</v>
      </c>
      <c r="J374" t="s">
        <v>45</v>
      </c>
      <c r="K374" t="s">
        <v>76</v>
      </c>
      <c r="L374" t="s">
        <v>1860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  <c r="V374" s="1" t="s">
        <v>366</v>
      </c>
      <c r="W374" s="1" t="s">
        <v>26</v>
      </c>
      <c r="X374" s="1" t="s">
        <v>42</v>
      </c>
      <c r="Y374" s="1" t="s">
        <v>311</v>
      </c>
      <c r="Z374" s="1" t="s">
        <v>312</v>
      </c>
      <c r="AA374" s="1" t="s">
        <v>45</v>
      </c>
      <c r="AB374" s="1" t="s">
        <v>76</v>
      </c>
      <c r="AC374" s="1" t="s">
        <v>48</v>
      </c>
      <c r="AD374" s="1" t="s">
        <v>34</v>
      </c>
      <c r="AE374" s="1" t="s">
        <v>35</v>
      </c>
      <c r="AF374" s="5">
        <f t="shared" si="20"/>
        <v>45885</v>
      </c>
      <c r="AG374" s="5">
        <f t="shared" si="20"/>
        <v>45887</v>
      </c>
      <c r="AH374" s="5" t="b">
        <f t="shared" si="21"/>
        <v>1</v>
      </c>
      <c r="AI374" s="5" t="b">
        <f t="shared" si="21"/>
        <v>1</v>
      </c>
      <c r="AJ374" t="str">
        <f t="shared" si="22"/>
        <v>OK</v>
      </c>
      <c r="AK374">
        <f t="shared" si="23"/>
        <v>2</v>
      </c>
    </row>
    <row r="375" spans="1:37">
      <c r="A375" t="s">
        <v>1861</v>
      </c>
      <c r="B375" t="s">
        <v>1862</v>
      </c>
      <c r="C375" t="s">
        <v>1862</v>
      </c>
      <c r="D375" t="s">
        <v>1863</v>
      </c>
      <c r="E375" t="s">
        <v>168</v>
      </c>
      <c r="F375" t="s">
        <v>41</v>
      </c>
      <c r="G375" t="s">
        <v>27</v>
      </c>
      <c r="H375" t="s">
        <v>174</v>
      </c>
      <c r="I375" t="s">
        <v>175</v>
      </c>
      <c r="J375" t="s">
        <v>30</v>
      </c>
      <c r="K375" t="s">
        <v>156</v>
      </c>
      <c r="L375" t="s">
        <v>1864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  <c r="V375" s="1" t="s">
        <v>168</v>
      </c>
      <c r="W375" s="1" t="s">
        <v>41</v>
      </c>
      <c r="X375" s="1" t="s">
        <v>27</v>
      </c>
      <c r="Y375" s="1" t="s">
        <v>174</v>
      </c>
      <c r="Z375" s="1" t="s">
        <v>175</v>
      </c>
      <c r="AA375" s="1" t="s">
        <v>30</v>
      </c>
      <c r="AB375" s="1" t="s">
        <v>156</v>
      </c>
      <c r="AC375" s="1" t="s">
        <v>33</v>
      </c>
      <c r="AD375" s="1" t="s">
        <v>34</v>
      </c>
      <c r="AE375" s="1" t="s">
        <v>35</v>
      </c>
      <c r="AF375" s="5">
        <f t="shared" si="20"/>
        <v>45760</v>
      </c>
      <c r="AG375" s="5">
        <f t="shared" si="20"/>
        <v>45760</v>
      </c>
      <c r="AH375" s="5" t="b">
        <f t="shared" si="21"/>
        <v>1</v>
      </c>
      <c r="AI375" s="5" t="b">
        <f t="shared" si="21"/>
        <v>1</v>
      </c>
      <c r="AJ375" t="str">
        <f t="shared" si="22"/>
        <v>OK</v>
      </c>
      <c r="AK375">
        <f t="shared" si="23"/>
        <v>0</v>
      </c>
    </row>
    <row r="376" spans="1:37">
      <c r="A376" t="s">
        <v>1865</v>
      </c>
      <c r="B376" t="s">
        <v>1866</v>
      </c>
      <c r="C376" t="s">
        <v>1867</v>
      </c>
      <c r="D376" t="s">
        <v>1868</v>
      </c>
      <c r="E376" t="s">
        <v>107</v>
      </c>
      <c r="F376" t="s">
        <v>41</v>
      </c>
      <c r="G376" t="s">
        <v>27</v>
      </c>
      <c r="H376" t="s">
        <v>174</v>
      </c>
      <c r="I376" t="s">
        <v>175</v>
      </c>
      <c r="J376" t="s">
        <v>30</v>
      </c>
      <c r="K376" t="s">
        <v>109</v>
      </c>
      <c r="L376" t="s">
        <v>1869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  <c r="V376" s="1" t="s">
        <v>107</v>
      </c>
      <c r="W376" s="1" t="s">
        <v>41</v>
      </c>
      <c r="X376" s="1" t="s">
        <v>27</v>
      </c>
      <c r="Y376" s="1" t="s">
        <v>174</v>
      </c>
      <c r="Z376" s="1" t="s">
        <v>175</v>
      </c>
      <c r="AA376" s="1" t="s">
        <v>30</v>
      </c>
      <c r="AB376" s="1" t="s">
        <v>109</v>
      </c>
      <c r="AC376" s="1" t="s">
        <v>67</v>
      </c>
      <c r="AD376" s="1" t="s">
        <v>34</v>
      </c>
      <c r="AE376" s="1" t="s">
        <v>35</v>
      </c>
      <c r="AF376" s="5">
        <f t="shared" si="20"/>
        <v>45715</v>
      </c>
      <c r="AG376" s="5" t="e">
        <f t="shared" si="20"/>
        <v>#N/A</v>
      </c>
      <c r="AH376" s="5" t="b">
        <f t="shared" si="21"/>
        <v>1</v>
      </c>
      <c r="AI376" s="5" t="b">
        <f t="shared" si="21"/>
        <v>0</v>
      </c>
      <c r="AJ376" t="e">
        <f t="shared" si="22"/>
        <v>#N/A</v>
      </c>
      <c r="AK376" t="e">
        <f t="shared" si="23"/>
        <v>#N/A</v>
      </c>
    </row>
    <row r="377" spans="1:37">
      <c r="A377" t="s">
        <v>1870</v>
      </c>
      <c r="B377" t="s">
        <v>1871</v>
      </c>
      <c r="C377" t="s">
        <v>1872</v>
      </c>
      <c r="D377" t="s">
        <v>1873</v>
      </c>
      <c r="E377" t="s">
        <v>83</v>
      </c>
      <c r="F377" t="s">
        <v>26</v>
      </c>
      <c r="G377" t="s">
        <v>27</v>
      </c>
      <c r="H377" t="s">
        <v>506</v>
      </c>
      <c r="I377" t="s">
        <v>507</v>
      </c>
      <c r="J377" t="s">
        <v>45</v>
      </c>
      <c r="K377" t="s">
        <v>76</v>
      </c>
      <c r="L377" t="s">
        <v>1874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  <c r="V377" s="1" t="s">
        <v>83</v>
      </c>
      <c r="W377" s="1" t="s">
        <v>26</v>
      </c>
      <c r="X377" s="1" t="s">
        <v>27</v>
      </c>
      <c r="Y377" s="1" t="s">
        <v>506</v>
      </c>
      <c r="Z377" s="1" t="s">
        <v>507</v>
      </c>
      <c r="AA377" s="1" t="s">
        <v>45</v>
      </c>
      <c r="AB377" s="1" t="s">
        <v>76</v>
      </c>
      <c r="AC377" s="1" t="s">
        <v>48</v>
      </c>
      <c r="AD377" s="1" t="s">
        <v>34</v>
      </c>
      <c r="AE377" s="1" t="s">
        <v>35</v>
      </c>
      <c r="AF377" s="5" t="e">
        <f t="shared" si="20"/>
        <v>#N/A</v>
      </c>
      <c r="AG377" s="5">
        <f t="shared" si="20"/>
        <v>45661</v>
      </c>
      <c r="AH377" s="5" t="b">
        <f t="shared" si="21"/>
        <v>0</v>
      </c>
      <c r="AI377" s="5" t="b">
        <f t="shared" si="21"/>
        <v>1</v>
      </c>
      <c r="AJ377" t="e">
        <f t="shared" si="22"/>
        <v>#N/A</v>
      </c>
      <c r="AK377" t="e">
        <f t="shared" si="23"/>
        <v>#N/A</v>
      </c>
    </row>
    <row r="378" spans="1:37">
      <c r="A378" t="s">
        <v>1875</v>
      </c>
      <c r="B378" t="s">
        <v>1876</v>
      </c>
      <c r="C378" t="s">
        <v>1779</v>
      </c>
      <c r="D378" t="s">
        <v>1877</v>
      </c>
      <c r="E378" t="s">
        <v>53</v>
      </c>
      <c r="F378" t="s">
        <v>41</v>
      </c>
      <c r="G378" t="s">
        <v>42</v>
      </c>
      <c r="H378" t="s">
        <v>186</v>
      </c>
      <c r="I378" t="s">
        <v>187</v>
      </c>
      <c r="J378" t="s">
        <v>45</v>
      </c>
      <c r="K378" t="s">
        <v>76</v>
      </c>
      <c r="L378" t="s">
        <v>1878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  <c r="V378" s="1" t="s">
        <v>53</v>
      </c>
      <c r="W378" s="1" t="s">
        <v>41</v>
      </c>
      <c r="X378" s="1" t="s">
        <v>42</v>
      </c>
      <c r="Y378" s="1" t="s">
        <v>186</v>
      </c>
      <c r="Z378" s="1" t="s">
        <v>187</v>
      </c>
      <c r="AA378" s="1" t="s">
        <v>45</v>
      </c>
      <c r="AB378" s="1" t="s">
        <v>76</v>
      </c>
      <c r="AC378" s="1" t="s">
        <v>56</v>
      </c>
      <c r="AD378" s="1" t="s">
        <v>34</v>
      </c>
      <c r="AE378" s="1" t="s">
        <v>35</v>
      </c>
      <c r="AF378" s="5" t="e">
        <f t="shared" si="20"/>
        <v>#N/A</v>
      </c>
      <c r="AG378" s="5">
        <f t="shared" si="20"/>
        <v>45657</v>
      </c>
      <c r="AH378" s="5" t="b">
        <f t="shared" si="21"/>
        <v>0</v>
      </c>
      <c r="AI378" s="5" t="b">
        <f t="shared" si="21"/>
        <v>1</v>
      </c>
      <c r="AJ378" t="e">
        <f t="shared" si="22"/>
        <v>#N/A</v>
      </c>
      <c r="AK378" t="e">
        <f t="shared" si="23"/>
        <v>#N/A</v>
      </c>
    </row>
    <row r="379" spans="1:37">
      <c r="A379" t="s">
        <v>1879</v>
      </c>
      <c r="B379" t="s">
        <v>1521</v>
      </c>
      <c r="C379" t="s">
        <v>1880</v>
      </c>
      <c r="D379" t="s">
        <v>1881</v>
      </c>
      <c r="E379" t="s">
        <v>366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1882</v>
      </c>
      <c r="L379" t="s">
        <v>1883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  <c r="V379" s="1" t="s">
        <v>366</v>
      </c>
      <c r="W379" s="1" t="s">
        <v>41</v>
      </c>
      <c r="X379" s="1" t="s">
        <v>42</v>
      </c>
      <c r="Y379" s="1" t="s">
        <v>43</v>
      </c>
      <c r="Z379" s="1" t="s">
        <v>44</v>
      </c>
      <c r="AA379" s="1" t="s">
        <v>30</v>
      </c>
      <c r="AB379" s="1" t="s">
        <v>156</v>
      </c>
      <c r="AC379" s="1" t="s">
        <v>48</v>
      </c>
      <c r="AD379" s="1" t="s">
        <v>34</v>
      </c>
      <c r="AE379" s="1" t="s">
        <v>35</v>
      </c>
      <c r="AF379" s="5">
        <f t="shared" si="20"/>
        <v>45801</v>
      </c>
      <c r="AG379" s="5" t="e">
        <f t="shared" si="20"/>
        <v>#N/A</v>
      </c>
      <c r="AH379" s="5" t="b">
        <f t="shared" si="21"/>
        <v>1</v>
      </c>
      <c r="AI379" s="5" t="b">
        <f t="shared" si="21"/>
        <v>0</v>
      </c>
      <c r="AJ379" t="e">
        <f t="shared" si="22"/>
        <v>#N/A</v>
      </c>
      <c r="AK379" t="e">
        <f t="shared" si="23"/>
        <v>#N/A</v>
      </c>
    </row>
    <row r="380" spans="1:37">
      <c r="A380" t="s">
        <v>1884</v>
      </c>
      <c r="B380" t="s">
        <v>1885</v>
      </c>
      <c r="C380" t="s">
        <v>1885</v>
      </c>
      <c r="D380" t="s">
        <v>1886</v>
      </c>
      <c r="E380" t="s">
        <v>40</v>
      </c>
      <c r="F380" t="s">
        <v>26</v>
      </c>
      <c r="G380" t="s">
        <v>73</v>
      </c>
      <c r="H380" t="s">
        <v>249</v>
      </c>
      <c r="I380" t="s">
        <v>250</v>
      </c>
      <c r="J380" t="s">
        <v>86</v>
      </c>
      <c r="K380" t="s">
        <v>87</v>
      </c>
      <c r="L380" t="s">
        <v>1887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  <c r="V380" s="1" t="s">
        <v>40</v>
      </c>
      <c r="W380" s="1" t="s">
        <v>26</v>
      </c>
      <c r="X380" s="1" t="s">
        <v>73</v>
      </c>
      <c r="Y380" s="1" t="s">
        <v>249</v>
      </c>
      <c r="Z380" s="1" t="s">
        <v>250</v>
      </c>
      <c r="AA380" s="1" t="s">
        <v>86</v>
      </c>
      <c r="AB380" s="1" t="s">
        <v>87</v>
      </c>
      <c r="AC380" s="1" t="s">
        <v>67</v>
      </c>
      <c r="AD380" s="1" t="s">
        <v>34</v>
      </c>
      <c r="AE380" s="1" t="s">
        <v>35</v>
      </c>
      <c r="AF380" s="5" t="e">
        <f t="shared" si="20"/>
        <v>#N/A</v>
      </c>
      <c r="AG380" s="5" t="e">
        <f t="shared" si="20"/>
        <v>#N/A</v>
      </c>
      <c r="AH380" s="5" t="b">
        <f t="shared" si="21"/>
        <v>0</v>
      </c>
      <c r="AI380" s="5" t="b">
        <f t="shared" si="21"/>
        <v>0</v>
      </c>
      <c r="AJ380" t="e">
        <f t="shared" si="22"/>
        <v>#N/A</v>
      </c>
      <c r="AK380" t="e">
        <f t="shared" si="23"/>
        <v>#N/A</v>
      </c>
    </row>
    <row r="381" spans="1:37">
      <c r="A381" t="s">
        <v>1888</v>
      </c>
      <c r="B381" t="s">
        <v>1889</v>
      </c>
      <c r="C381" t="s">
        <v>1890</v>
      </c>
      <c r="D381" t="s">
        <v>1891</v>
      </c>
      <c r="E381" t="s">
        <v>40</v>
      </c>
      <c r="F381" t="s">
        <v>41</v>
      </c>
      <c r="G381" t="s">
        <v>62</v>
      </c>
      <c r="H381" t="s">
        <v>242</v>
      </c>
      <c r="I381" t="s">
        <v>243</v>
      </c>
      <c r="J381" t="s">
        <v>30</v>
      </c>
      <c r="K381" t="s">
        <v>31</v>
      </c>
      <c r="L381" t="s">
        <v>1892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  <c r="V381" s="1" t="s">
        <v>40</v>
      </c>
      <c r="W381" s="1" t="s">
        <v>41</v>
      </c>
      <c r="X381" s="1" t="s">
        <v>62</v>
      </c>
      <c r="Y381" s="1" t="s">
        <v>242</v>
      </c>
      <c r="Z381" s="1" t="s">
        <v>243</v>
      </c>
      <c r="AA381" s="1" t="s">
        <v>30</v>
      </c>
      <c r="AB381" s="1" t="s">
        <v>31</v>
      </c>
      <c r="AC381" s="1" t="s">
        <v>67</v>
      </c>
      <c r="AD381" s="1" t="s">
        <v>34</v>
      </c>
      <c r="AE381" s="1" t="s">
        <v>35</v>
      </c>
      <c r="AF381" s="5">
        <f t="shared" si="20"/>
        <v>45554</v>
      </c>
      <c r="AG381" s="5">
        <f t="shared" si="20"/>
        <v>45558</v>
      </c>
      <c r="AH381" s="5" t="b">
        <f t="shared" si="21"/>
        <v>1</v>
      </c>
      <c r="AI381" s="5" t="b">
        <f t="shared" si="21"/>
        <v>1</v>
      </c>
      <c r="AJ381" t="str">
        <f t="shared" si="22"/>
        <v>OK</v>
      </c>
      <c r="AK381">
        <f t="shared" si="23"/>
        <v>4</v>
      </c>
    </row>
    <row r="382" spans="1:37">
      <c r="A382" t="s">
        <v>1893</v>
      </c>
      <c r="B382" t="s">
        <v>1894</v>
      </c>
      <c r="C382" t="s">
        <v>1420</v>
      </c>
      <c r="D382" t="s">
        <v>1895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204</v>
      </c>
      <c r="L382" t="s">
        <v>1896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  <c r="V382" s="1" t="s">
        <v>83</v>
      </c>
      <c r="W382" s="1" t="s">
        <v>26</v>
      </c>
      <c r="X382" s="1" t="s">
        <v>73</v>
      </c>
      <c r="Y382" s="1" t="s">
        <v>74</v>
      </c>
      <c r="Z382" s="1" t="s">
        <v>75</v>
      </c>
      <c r="AA382" s="1" t="s">
        <v>45</v>
      </c>
      <c r="AB382" s="1" t="s">
        <v>204</v>
      </c>
      <c r="AC382" s="1" t="s">
        <v>48</v>
      </c>
      <c r="AD382" s="1" t="s">
        <v>34</v>
      </c>
      <c r="AE382" s="1" t="s">
        <v>125</v>
      </c>
      <c r="AF382" s="5">
        <f t="shared" si="20"/>
        <v>45389</v>
      </c>
      <c r="AG382" s="5" t="e">
        <f t="shared" si="20"/>
        <v>#N/A</v>
      </c>
      <c r="AH382" s="5" t="b">
        <f t="shared" si="21"/>
        <v>1</v>
      </c>
      <c r="AI382" s="5" t="b">
        <f t="shared" si="21"/>
        <v>0</v>
      </c>
      <c r="AJ382" t="e">
        <f t="shared" si="22"/>
        <v>#N/A</v>
      </c>
      <c r="AK382" t="e">
        <f t="shared" si="23"/>
        <v>#N/A</v>
      </c>
    </row>
    <row r="383" spans="1:37">
      <c r="A383" t="s">
        <v>1897</v>
      </c>
      <c r="B383" t="s">
        <v>1898</v>
      </c>
      <c r="C383" t="s">
        <v>1899</v>
      </c>
      <c r="D383" t="s">
        <v>1900</v>
      </c>
      <c r="E383" t="s">
        <v>61</v>
      </c>
      <c r="F383" t="s">
        <v>1901</v>
      </c>
      <c r="G383" t="s">
        <v>27</v>
      </c>
      <c r="H383" t="s">
        <v>506</v>
      </c>
      <c r="I383" t="s">
        <v>507</v>
      </c>
      <c r="J383" t="s">
        <v>30</v>
      </c>
      <c r="K383" t="s">
        <v>198</v>
      </c>
      <c r="L383" t="s">
        <v>1902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200</v>
      </c>
      <c r="U383" t="s">
        <v>78</v>
      </c>
      <c r="V383" s="1" t="s">
        <v>61</v>
      </c>
      <c r="W383" s="1" t="s">
        <v>115</v>
      </c>
      <c r="X383" s="1" t="s">
        <v>27</v>
      </c>
      <c r="Y383" s="1" t="s">
        <v>506</v>
      </c>
      <c r="Z383" s="1" t="s">
        <v>507</v>
      </c>
      <c r="AA383" s="1" t="s">
        <v>30</v>
      </c>
      <c r="AB383" s="1" t="s">
        <v>198</v>
      </c>
      <c r="AC383" s="1" t="s">
        <v>67</v>
      </c>
      <c r="AD383" s="1" t="s">
        <v>200</v>
      </c>
      <c r="AE383" s="1" t="s">
        <v>78</v>
      </c>
      <c r="AF383" s="5">
        <f t="shared" si="20"/>
        <v>45919</v>
      </c>
      <c r="AG383" s="5" t="e">
        <f t="shared" si="20"/>
        <v>#N/A</v>
      </c>
      <c r="AH383" s="5" t="b">
        <f t="shared" si="21"/>
        <v>1</v>
      </c>
      <c r="AI383" s="5" t="b">
        <f t="shared" si="21"/>
        <v>0</v>
      </c>
      <c r="AJ383" t="e">
        <f t="shared" si="22"/>
        <v>#N/A</v>
      </c>
      <c r="AK383" t="e">
        <f t="shared" si="23"/>
        <v>#N/A</v>
      </c>
    </row>
    <row r="384" spans="1:37">
      <c r="A384" t="s">
        <v>1903</v>
      </c>
      <c r="B384" t="s">
        <v>1904</v>
      </c>
      <c r="C384" t="s">
        <v>555</v>
      </c>
      <c r="D384" t="s">
        <v>203</v>
      </c>
      <c r="E384" t="s">
        <v>61</v>
      </c>
      <c r="F384" t="s">
        <v>41</v>
      </c>
      <c r="G384" t="s">
        <v>42</v>
      </c>
      <c r="H384" t="s">
        <v>186</v>
      </c>
      <c r="I384" t="s">
        <v>187</v>
      </c>
      <c r="J384" t="s">
        <v>1905</v>
      </c>
      <c r="K384" t="s">
        <v>223</v>
      </c>
      <c r="L384" t="s">
        <v>1906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  <c r="V384" s="1" t="s">
        <v>61</v>
      </c>
      <c r="W384" s="1" t="s">
        <v>41</v>
      </c>
      <c r="X384" s="1" t="s">
        <v>42</v>
      </c>
      <c r="Y384" s="1" t="s">
        <v>186</v>
      </c>
      <c r="Z384" s="1" t="s">
        <v>187</v>
      </c>
      <c r="AA384" s="1" t="s">
        <v>86</v>
      </c>
      <c r="AB384" s="1" t="s">
        <v>223</v>
      </c>
      <c r="AC384" s="1" t="s">
        <v>56</v>
      </c>
      <c r="AD384" s="1" t="s">
        <v>34</v>
      </c>
      <c r="AE384" s="1" t="s">
        <v>35</v>
      </c>
      <c r="AF384" s="5">
        <f t="shared" si="20"/>
        <v>45720</v>
      </c>
      <c r="AG384" s="5">
        <f t="shared" si="20"/>
        <v>45724</v>
      </c>
      <c r="AH384" s="5" t="b">
        <f t="shared" si="21"/>
        <v>1</v>
      </c>
      <c r="AI384" s="5" t="b">
        <f t="shared" si="21"/>
        <v>1</v>
      </c>
      <c r="AJ384" t="str">
        <f t="shared" si="22"/>
        <v>OK</v>
      </c>
      <c r="AK384">
        <f t="shared" si="23"/>
        <v>4</v>
      </c>
    </row>
    <row r="385" spans="1:37">
      <c r="A385" t="s">
        <v>1907</v>
      </c>
      <c r="B385" t="s">
        <v>1517</v>
      </c>
      <c r="C385" t="s">
        <v>1075</v>
      </c>
      <c r="D385" t="s">
        <v>1908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1909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  <c r="V385" s="1" t="s">
        <v>83</v>
      </c>
      <c r="W385" s="1" t="s">
        <v>108</v>
      </c>
      <c r="X385" s="1" t="s">
        <v>42</v>
      </c>
      <c r="Y385" s="1" t="s">
        <v>121</v>
      </c>
      <c r="Z385" s="1" t="s">
        <v>122</v>
      </c>
      <c r="AA385" s="1" t="s">
        <v>30</v>
      </c>
      <c r="AB385" s="1" t="s">
        <v>54</v>
      </c>
      <c r="AC385" s="1" t="s">
        <v>56</v>
      </c>
      <c r="AD385" s="1" t="s">
        <v>34</v>
      </c>
      <c r="AE385" s="1" t="s">
        <v>78</v>
      </c>
      <c r="AF385" s="5">
        <f t="shared" si="20"/>
        <v>45836</v>
      </c>
      <c r="AG385" s="5">
        <f t="shared" si="20"/>
        <v>45843</v>
      </c>
      <c r="AH385" s="5" t="b">
        <f t="shared" si="21"/>
        <v>1</v>
      </c>
      <c r="AI385" s="5" t="b">
        <f t="shared" si="21"/>
        <v>1</v>
      </c>
      <c r="AJ385" t="str">
        <f t="shared" si="22"/>
        <v>OK</v>
      </c>
      <c r="AK385">
        <f t="shared" si="23"/>
        <v>7</v>
      </c>
    </row>
    <row r="386" spans="1:37">
      <c r="A386" t="s">
        <v>1910</v>
      </c>
      <c r="B386" t="s">
        <v>1911</v>
      </c>
      <c r="C386" t="s">
        <v>1912</v>
      </c>
      <c r="D386" t="s">
        <v>1913</v>
      </c>
      <c r="E386" t="s">
        <v>180</v>
      </c>
      <c r="F386" t="s">
        <v>26</v>
      </c>
      <c r="G386" t="s">
        <v>42</v>
      </c>
      <c r="H386" t="s">
        <v>311</v>
      </c>
      <c r="I386" t="s">
        <v>312</v>
      </c>
      <c r="J386" t="s">
        <v>86</v>
      </c>
      <c r="K386" t="s">
        <v>94</v>
      </c>
      <c r="L386" t="s">
        <v>1914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  <c r="V386" s="1" t="s">
        <v>180</v>
      </c>
      <c r="W386" s="1" t="s">
        <v>26</v>
      </c>
      <c r="X386" s="1" t="s">
        <v>42</v>
      </c>
      <c r="Y386" s="1" t="s">
        <v>311</v>
      </c>
      <c r="Z386" s="1" t="s">
        <v>312</v>
      </c>
      <c r="AA386" s="1" t="s">
        <v>86</v>
      </c>
      <c r="AB386" s="1" t="s">
        <v>94</v>
      </c>
      <c r="AC386" s="1" t="s">
        <v>67</v>
      </c>
      <c r="AD386" s="1" t="s">
        <v>34</v>
      </c>
      <c r="AE386" s="1" t="s">
        <v>125</v>
      </c>
      <c r="AF386" s="5" t="e">
        <f t="shared" si="20"/>
        <v>#N/A</v>
      </c>
      <c r="AG386" s="5">
        <f t="shared" si="20"/>
        <v>45371</v>
      </c>
      <c r="AH386" s="5" t="b">
        <f t="shared" si="21"/>
        <v>0</v>
      </c>
      <c r="AI386" s="5" t="b">
        <f t="shared" si="21"/>
        <v>1</v>
      </c>
      <c r="AJ386" t="e">
        <f t="shared" si="22"/>
        <v>#N/A</v>
      </c>
      <c r="AK386" t="e">
        <f t="shared" si="23"/>
        <v>#N/A</v>
      </c>
    </row>
    <row r="387" spans="1:37">
      <c r="A387" t="s">
        <v>1915</v>
      </c>
      <c r="B387" t="s">
        <v>996</v>
      </c>
      <c r="C387" t="s">
        <v>1916</v>
      </c>
      <c r="D387" t="s">
        <v>1917</v>
      </c>
      <c r="E387" t="s">
        <v>61</v>
      </c>
      <c r="F387" t="s">
        <v>26</v>
      </c>
      <c r="G387" t="s">
        <v>27</v>
      </c>
      <c r="H387" t="s">
        <v>323</v>
      </c>
      <c r="I387" t="s">
        <v>324</v>
      </c>
      <c r="J387" t="s">
        <v>30</v>
      </c>
      <c r="K387" t="s">
        <v>109</v>
      </c>
      <c r="L387" t="s">
        <v>1918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  <c r="V387" s="1" t="s">
        <v>61</v>
      </c>
      <c r="W387" s="1" t="s">
        <v>26</v>
      </c>
      <c r="X387" s="1" t="s">
        <v>27</v>
      </c>
      <c r="Y387" s="1" t="s">
        <v>323</v>
      </c>
      <c r="Z387" s="1" t="s">
        <v>324</v>
      </c>
      <c r="AA387" s="1" t="s">
        <v>30</v>
      </c>
      <c r="AB387" s="1" t="s">
        <v>109</v>
      </c>
      <c r="AC387" s="1" t="s">
        <v>67</v>
      </c>
      <c r="AD387" s="1" t="s">
        <v>34</v>
      </c>
      <c r="AE387" s="1" t="s">
        <v>35</v>
      </c>
      <c r="AF387" s="5">
        <f t="shared" ref="AF387:AG450" si="24">IFERROR(DATEVALUE(B387),IFERROR(DATE(VALUE(RIGHT(B387,4)),VALUE(MID(SUBSTITUTE(B387,"-","/"),6,2)),VALUE(LEFT(B387,2))),NA()))</f>
        <v>45832</v>
      </c>
      <c r="AG387" s="5">
        <f t="shared" si="24"/>
        <v>45838</v>
      </c>
      <c r="AH387" s="5" t="b">
        <f t="shared" ref="AH387:AI450" si="25">ISNUMBER(AF387)</f>
        <v>1</v>
      </c>
      <c r="AI387" s="5" t="b">
        <f t="shared" si="25"/>
        <v>1</v>
      </c>
      <c r="AJ387" t="str">
        <f t="shared" ref="AJ387:AJ450" si="26">IF(AG387&lt;AF387,"Invalid: Ship before Order","OK")</f>
        <v>OK</v>
      </c>
      <c r="AK387">
        <f t="shared" ref="AK387:AK450" si="27">DATEDIF(AF387, AG387, "D")</f>
        <v>6</v>
      </c>
    </row>
    <row r="388" spans="1:37">
      <c r="A388" t="s">
        <v>1919</v>
      </c>
      <c r="B388" t="s">
        <v>1397</v>
      </c>
      <c r="C388" t="s">
        <v>1920</v>
      </c>
      <c r="D388" t="s">
        <v>1921</v>
      </c>
      <c r="E388" t="s">
        <v>168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1922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  <c r="V388" s="1" t="s">
        <v>168</v>
      </c>
      <c r="W388" s="1" t="s">
        <v>26</v>
      </c>
      <c r="X388" s="1" t="s">
        <v>73</v>
      </c>
      <c r="Y388" s="1" t="s">
        <v>74</v>
      </c>
      <c r="Z388" s="1" t="s">
        <v>75</v>
      </c>
      <c r="AA388" s="1" t="s">
        <v>45</v>
      </c>
      <c r="AB388" s="1" t="s">
        <v>65</v>
      </c>
      <c r="AC388" s="1" t="s">
        <v>33</v>
      </c>
      <c r="AD388" s="1" t="s">
        <v>34</v>
      </c>
      <c r="AE388" s="1" t="s">
        <v>35</v>
      </c>
      <c r="AF388" s="5">
        <f t="shared" si="24"/>
        <v>45700</v>
      </c>
      <c r="AG388" s="5" t="e">
        <f t="shared" si="24"/>
        <v>#N/A</v>
      </c>
      <c r="AH388" s="5" t="b">
        <f t="shared" si="25"/>
        <v>1</v>
      </c>
      <c r="AI388" s="5" t="b">
        <f t="shared" si="25"/>
        <v>0</v>
      </c>
      <c r="AJ388" t="e">
        <f t="shared" si="26"/>
        <v>#N/A</v>
      </c>
      <c r="AK388" t="e">
        <f t="shared" si="27"/>
        <v>#N/A</v>
      </c>
    </row>
    <row r="389" spans="1:37">
      <c r="A389" t="s">
        <v>1923</v>
      </c>
      <c r="B389" t="s">
        <v>944</v>
      </c>
      <c r="C389" t="s">
        <v>1118</v>
      </c>
      <c r="D389" t="s">
        <v>1924</v>
      </c>
      <c r="E389" t="s">
        <v>142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1925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137</v>
      </c>
      <c r="U389" t="s">
        <v>78</v>
      </c>
      <c r="V389" s="1" t="s">
        <v>142</v>
      </c>
      <c r="W389" s="1" t="s">
        <v>41</v>
      </c>
      <c r="X389" s="1" t="s">
        <v>73</v>
      </c>
      <c r="Y389" s="1" t="s">
        <v>84</v>
      </c>
      <c r="Z389" s="1" t="s">
        <v>85</v>
      </c>
      <c r="AA389" s="1" t="s">
        <v>45</v>
      </c>
      <c r="AB389" s="1" t="s">
        <v>76</v>
      </c>
      <c r="AC389" s="1" t="s">
        <v>67</v>
      </c>
      <c r="AD389" s="1" t="s">
        <v>137</v>
      </c>
      <c r="AE389" s="1" t="s">
        <v>78</v>
      </c>
      <c r="AF389" s="5">
        <f t="shared" si="24"/>
        <v>45938</v>
      </c>
      <c r="AG389" s="5">
        <f t="shared" si="24"/>
        <v>45882</v>
      </c>
      <c r="AH389" s="5" t="b">
        <f t="shared" si="25"/>
        <v>1</v>
      </c>
      <c r="AI389" s="5" t="b">
        <f t="shared" si="25"/>
        <v>1</v>
      </c>
      <c r="AJ389" t="str">
        <f t="shared" si="26"/>
        <v>Invalid: Ship before Order</v>
      </c>
      <c r="AK389" t="e">
        <f t="shared" si="27"/>
        <v>#NUM!</v>
      </c>
    </row>
    <row r="390" spans="1:37">
      <c r="A390" t="s">
        <v>1926</v>
      </c>
      <c r="B390" t="s">
        <v>1927</v>
      </c>
      <c r="C390" t="s">
        <v>1928</v>
      </c>
      <c r="D390" t="s">
        <v>1929</v>
      </c>
      <c r="E390" t="s">
        <v>53</v>
      </c>
      <c r="F390" t="s">
        <v>41</v>
      </c>
      <c r="G390" t="s">
        <v>73</v>
      </c>
      <c r="H390" t="s">
        <v>235</v>
      </c>
      <c r="I390" t="s">
        <v>236</v>
      </c>
      <c r="J390" t="s">
        <v>45</v>
      </c>
      <c r="K390" t="s">
        <v>76</v>
      </c>
      <c r="L390" t="s">
        <v>1930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  <c r="V390" s="1" t="s">
        <v>53</v>
      </c>
      <c r="W390" s="1" t="s">
        <v>41</v>
      </c>
      <c r="X390" s="1" t="s">
        <v>73</v>
      </c>
      <c r="Y390" s="1" t="s">
        <v>235</v>
      </c>
      <c r="Z390" s="1" t="s">
        <v>236</v>
      </c>
      <c r="AA390" s="1" t="s">
        <v>45</v>
      </c>
      <c r="AB390" s="1" t="s">
        <v>76</v>
      </c>
      <c r="AC390" s="1" t="s">
        <v>67</v>
      </c>
      <c r="AD390" s="1" t="s">
        <v>34</v>
      </c>
      <c r="AE390" s="1" t="s">
        <v>35</v>
      </c>
      <c r="AF390" s="5">
        <f t="shared" si="24"/>
        <v>45425</v>
      </c>
      <c r="AG390" s="5">
        <f t="shared" si="24"/>
        <v>45430</v>
      </c>
      <c r="AH390" s="5" t="b">
        <f t="shared" si="25"/>
        <v>1</v>
      </c>
      <c r="AI390" s="5" t="b">
        <f t="shared" si="25"/>
        <v>1</v>
      </c>
      <c r="AJ390" t="str">
        <f t="shared" si="26"/>
        <v>OK</v>
      </c>
      <c r="AK390">
        <f t="shared" si="27"/>
        <v>5</v>
      </c>
    </row>
    <row r="391" spans="1:37">
      <c r="A391" t="s">
        <v>1931</v>
      </c>
      <c r="B391" t="s">
        <v>1932</v>
      </c>
      <c r="C391" t="s">
        <v>349</v>
      </c>
      <c r="D391" t="s">
        <v>1933</v>
      </c>
      <c r="E391" t="s">
        <v>210</v>
      </c>
      <c r="F391" t="s">
        <v>108</v>
      </c>
      <c r="G391" t="s">
        <v>73</v>
      </c>
      <c r="H391" t="s">
        <v>235</v>
      </c>
      <c r="I391" t="s">
        <v>236</v>
      </c>
      <c r="J391" t="s">
        <v>86</v>
      </c>
      <c r="K391" t="s">
        <v>382</v>
      </c>
      <c r="L391" t="s">
        <v>1934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137</v>
      </c>
      <c r="U391" t="s">
        <v>78</v>
      </c>
      <c r="V391" s="1" t="s">
        <v>210</v>
      </c>
      <c r="W391" s="1" t="s">
        <v>108</v>
      </c>
      <c r="X391" s="1" t="s">
        <v>73</v>
      </c>
      <c r="Y391" s="1" t="s">
        <v>235</v>
      </c>
      <c r="Z391" s="1" t="s">
        <v>236</v>
      </c>
      <c r="AA391" s="1" t="s">
        <v>86</v>
      </c>
      <c r="AB391" s="1" t="s">
        <v>382</v>
      </c>
      <c r="AC391" s="1" t="s">
        <v>33</v>
      </c>
      <c r="AD391" s="1" t="s">
        <v>137</v>
      </c>
      <c r="AE391" s="1" t="s">
        <v>78</v>
      </c>
      <c r="AF391" s="5">
        <f t="shared" si="24"/>
        <v>45387</v>
      </c>
      <c r="AG391" s="5">
        <f t="shared" si="24"/>
        <v>45395</v>
      </c>
      <c r="AH391" s="5" t="b">
        <f t="shared" si="25"/>
        <v>1</v>
      </c>
      <c r="AI391" s="5" t="b">
        <f t="shared" si="25"/>
        <v>1</v>
      </c>
      <c r="AJ391" t="str">
        <f t="shared" si="26"/>
        <v>OK</v>
      </c>
      <c r="AK391">
        <f t="shared" si="27"/>
        <v>8</v>
      </c>
    </row>
    <row r="392" spans="1:37">
      <c r="A392" t="s">
        <v>1935</v>
      </c>
      <c r="B392" t="s">
        <v>1936</v>
      </c>
      <c r="C392" t="s">
        <v>484</v>
      </c>
      <c r="D392" t="s">
        <v>1937</v>
      </c>
      <c r="E392" t="s">
        <v>53</v>
      </c>
      <c r="F392" t="s">
        <v>26</v>
      </c>
      <c r="G392" t="s">
        <v>73</v>
      </c>
      <c r="H392" t="s">
        <v>235</v>
      </c>
      <c r="I392" t="s">
        <v>236</v>
      </c>
      <c r="J392" t="s">
        <v>45</v>
      </c>
      <c r="K392" t="s">
        <v>65</v>
      </c>
      <c r="L392" t="s">
        <v>1938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  <c r="V392" s="1" t="s">
        <v>53</v>
      </c>
      <c r="W392" s="1" t="s">
        <v>26</v>
      </c>
      <c r="X392" s="1" t="s">
        <v>73</v>
      </c>
      <c r="Y392" s="1" t="s">
        <v>235</v>
      </c>
      <c r="Z392" s="1" t="s">
        <v>236</v>
      </c>
      <c r="AA392" s="1" t="s">
        <v>45</v>
      </c>
      <c r="AB392" s="1" t="s">
        <v>65</v>
      </c>
      <c r="AC392" s="1" t="s">
        <v>67</v>
      </c>
      <c r="AD392" s="1" t="s">
        <v>34</v>
      </c>
      <c r="AE392" s="1" t="s">
        <v>35</v>
      </c>
      <c r="AF392" s="5">
        <f t="shared" si="24"/>
        <v>45602</v>
      </c>
      <c r="AG392" s="5">
        <f t="shared" si="24"/>
        <v>45607</v>
      </c>
      <c r="AH392" s="5" t="b">
        <f t="shared" si="25"/>
        <v>1</v>
      </c>
      <c r="AI392" s="5" t="b">
        <f t="shared" si="25"/>
        <v>1</v>
      </c>
      <c r="AJ392" t="str">
        <f t="shared" si="26"/>
        <v>OK</v>
      </c>
      <c r="AK392">
        <f t="shared" si="27"/>
        <v>5</v>
      </c>
    </row>
    <row r="393" spans="1:37">
      <c r="A393" t="s">
        <v>1939</v>
      </c>
      <c r="B393" t="s">
        <v>1920</v>
      </c>
      <c r="C393" t="s">
        <v>1940</v>
      </c>
      <c r="D393" t="s">
        <v>1941</v>
      </c>
      <c r="E393" t="s">
        <v>210</v>
      </c>
      <c r="F393" t="s">
        <v>26</v>
      </c>
      <c r="G393" t="s">
        <v>62</v>
      </c>
      <c r="H393" t="s">
        <v>229</v>
      </c>
      <c r="I393" t="s">
        <v>230</v>
      </c>
      <c r="J393" t="s">
        <v>30</v>
      </c>
      <c r="K393" t="s">
        <v>156</v>
      </c>
      <c r="L393" t="s">
        <v>1942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  <c r="V393" s="1" t="s">
        <v>210</v>
      </c>
      <c r="W393" s="1" t="s">
        <v>26</v>
      </c>
      <c r="X393" s="1" t="s">
        <v>62</v>
      </c>
      <c r="Y393" s="1" t="s">
        <v>229</v>
      </c>
      <c r="Z393" s="1" t="s">
        <v>230</v>
      </c>
      <c r="AA393" s="1" t="s">
        <v>30</v>
      </c>
      <c r="AB393" s="1" t="s">
        <v>156</v>
      </c>
      <c r="AC393" s="1" t="s">
        <v>56</v>
      </c>
      <c r="AD393" s="1" t="s">
        <v>34</v>
      </c>
      <c r="AE393" s="1" t="s">
        <v>35</v>
      </c>
      <c r="AF393" s="5" t="e">
        <f t="shared" si="24"/>
        <v>#N/A</v>
      </c>
      <c r="AG393" s="5">
        <f t="shared" si="24"/>
        <v>45702</v>
      </c>
      <c r="AH393" s="5" t="b">
        <f t="shared" si="25"/>
        <v>0</v>
      </c>
      <c r="AI393" s="5" t="b">
        <f t="shared" si="25"/>
        <v>1</v>
      </c>
      <c r="AJ393" t="e">
        <f t="shared" si="26"/>
        <v>#N/A</v>
      </c>
      <c r="AK393" t="e">
        <f t="shared" si="27"/>
        <v>#N/A</v>
      </c>
    </row>
    <row r="394" spans="1:37">
      <c r="A394" t="s">
        <v>1943</v>
      </c>
      <c r="B394" t="s">
        <v>1944</v>
      </c>
      <c r="C394" t="s">
        <v>1945</v>
      </c>
      <c r="D394" t="s">
        <v>1946</v>
      </c>
      <c r="E394" t="s">
        <v>107</v>
      </c>
      <c r="F394" t="s">
        <v>41</v>
      </c>
      <c r="G394" t="s">
        <v>62</v>
      </c>
      <c r="H394" t="s">
        <v>242</v>
      </c>
      <c r="I394" t="s">
        <v>243</v>
      </c>
      <c r="J394" t="s">
        <v>45</v>
      </c>
      <c r="K394" t="s">
        <v>65</v>
      </c>
      <c r="L394" t="s">
        <v>1947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  <c r="V394" s="1" t="s">
        <v>107</v>
      </c>
      <c r="W394" s="1" t="s">
        <v>41</v>
      </c>
      <c r="X394" s="1" t="s">
        <v>62</v>
      </c>
      <c r="Y394" s="1" t="s">
        <v>242</v>
      </c>
      <c r="Z394" s="1" t="s">
        <v>243</v>
      </c>
      <c r="AA394" s="1" t="s">
        <v>45</v>
      </c>
      <c r="AB394" s="1" t="s">
        <v>65</v>
      </c>
      <c r="AC394" s="1" t="s">
        <v>48</v>
      </c>
      <c r="AD394" s="1" t="s">
        <v>34</v>
      </c>
      <c r="AE394" s="1" t="s">
        <v>35</v>
      </c>
      <c r="AF394" s="5">
        <f t="shared" si="24"/>
        <v>45341</v>
      </c>
      <c r="AG394" s="5">
        <f t="shared" si="24"/>
        <v>45344</v>
      </c>
      <c r="AH394" s="5" t="b">
        <f t="shared" si="25"/>
        <v>1</v>
      </c>
      <c r="AI394" s="5" t="b">
        <f t="shared" si="25"/>
        <v>1</v>
      </c>
      <c r="AJ394" t="str">
        <f t="shared" si="26"/>
        <v>OK</v>
      </c>
      <c r="AK394">
        <f t="shared" si="27"/>
        <v>3</v>
      </c>
    </row>
    <row r="395" spans="1:37">
      <c r="A395" t="s">
        <v>1948</v>
      </c>
      <c r="B395" t="s">
        <v>1949</v>
      </c>
      <c r="C395" t="s">
        <v>1950</v>
      </c>
      <c r="D395" t="s">
        <v>1951</v>
      </c>
      <c r="E395" t="s">
        <v>40</v>
      </c>
      <c r="F395" t="s">
        <v>108</v>
      </c>
      <c r="G395" t="s">
        <v>27</v>
      </c>
      <c r="H395" t="s">
        <v>174</v>
      </c>
      <c r="I395" t="s">
        <v>175</v>
      </c>
      <c r="J395" t="s">
        <v>30</v>
      </c>
      <c r="K395" t="s">
        <v>109</v>
      </c>
      <c r="L395" t="s">
        <v>1952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  <c r="V395" s="1" t="s">
        <v>40</v>
      </c>
      <c r="W395" s="1" t="s">
        <v>108</v>
      </c>
      <c r="X395" s="1" t="s">
        <v>27</v>
      </c>
      <c r="Y395" s="1" t="s">
        <v>174</v>
      </c>
      <c r="Z395" s="1" t="s">
        <v>175</v>
      </c>
      <c r="AA395" s="1" t="s">
        <v>30</v>
      </c>
      <c r="AB395" s="1" t="s">
        <v>109</v>
      </c>
      <c r="AC395" s="1" t="s">
        <v>48</v>
      </c>
      <c r="AD395" s="1" t="s">
        <v>34</v>
      </c>
      <c r="AE395" s="1" t="s">
        <v>35</v>
      </c>
      <c r="AF395" s="5">
        <f t="shared" si="24"/>
        <v>45527</v>
      </c>
      <c r="AG395" s="5">
        <f t="shared" si="24"/>
        <v>45533</v>
      </c>
      <c r="AH395" s="5" t="b">
        <f t="shared" si="25"/>
        <v>1</v>
      </c>
      <c r="AI395" s="5" t="b">
        <f t="shared" si="25"/>
        <v>1</v>
      </c>
      <c r="AJ395" t="str">
        <f t="shared" si="26"/>
        <v>OK</v>
      </c>
      <c r="AK395">
        <f t="shared" si="27"/>
        <v>6</v>
      </c>
    </row>
    <row r="396" spans="1:37">
      <c r="A396" t="s">
        <v>1953</v>
      </c>
      <c r="B396" t="s">
        <v>1954</v>
      </c>
      <c r="C396" t="s">
        <v>1955</v>
      </c>
      <c r="D396" t="s">
        <v>1956</v>
      </c>
      <c r="E396" t="s">
        <v>366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1957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  <c r="V396" s="1" t="s">
        <v>366</v>
      </c>
      <c r="W396" s="1" t="s">
        <v>26</v>
      </c>
      <c r="X396" s="1" t="s">
        <v>73</v>
      </c>
      <c r="Y396" s="1" t="s">
        <v>74</v>
      </c>
      <c r="Z396" s="1" t="s">
        <v>75</v>
      </c>
      <c r="AA396" s="1" t="s">
        <v>45</v>
      </c>
      <c r="AB396" s="1" t="s">
        <v>65</v>
      </c>
      <c r="AC396" s="1" t="s">
        <v>56</v>
      </c>
      <c r="AD396" s="1" t="s">
        <v>34</v>
      </c>
      <c r="AE396" s="1" t="s">
        <v>35</v>
      </c>
      <c r="AF396" s="5">
        <f t="shared" si="24"/>
        <v>45355</v>
      </c>
      <c r="AG396" s="5">
        <f t="shared" si="24"/>
        <v>45386</v>
      </c>
      <c r="AH396" s="5" t="b">
        <f t="shared" si="25"/>
        <v>1</v>
      </c>
      <c r="AI396" s="5" t="b">
        <f t="shared" si="25"/>
        <v>1</v>
      </c>
      <c r="AJ396" t="str">
        <f t="shared" si="26"/>
        <v>OK</v>
      </c>
      <c r="AK396">
        <f t="shared" si="27"/>
        <v>31</v>
      </c>
    </row>
    <row r="397" spans="1:37">
      <c r="A397" t="s">
        <v>1958</v>
      </c>
      <c r="B397" t="s">
        <v>1067</v>
      </c>
      <c r="C397" t="s">
        <v>1754</v>
      </c>
      <c r="D397" t="s">
        <v>1959</v>
      </c>
      <c r="E397" t="s">
        <v>148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46</v>
      </c>
      <c r="L397" t="s">
        <v>1960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  <c r="V397" s="1" t="s">
        <v>148</v>
      </c>
      <c r="W397" s="1" t="s">
        <v>115</v>
      </c>
      <c r="X397" s="1" t="s">
        <v>62</v>
      </c>
      <c r="Y397" s="1" t="s">
        <v>339</v>
      </c>
      <c r="Z397" s="1" t="s">
        <v>340</v>
      </c>
      <c r="AA397" s="1" t="s">
        <v>45</v>
      </c>
      <c r="AB397" s="1" t="s">
        <v>46</v>
      </c>
      <c r="AC397" s="1" t="s">
        <v>48</v>
      </c>
      <c r="AD397" s="1" t="s">
        <v>34</v>
      </c>
      <c r="AE397" s="1" t="s">
        <v>35</v>
      </c>
      <c r="AF397" s="5">
        <f t="shared" si="24"/>
        <v>45449</v>
      </c>
      <c r="AG397" s="5">
        <f t="shared" si="24"/>
        <v>45450</v>
      </c>
      <c r="AH397" s="5" t="b">
        <f t="shared" si="25"/>
        <v>1</v>
      </c>
      <c r="AI397" s="5" t="b">
        <f t="shared" si="25"/>
        <v>1</v>
      </c>
      <c r="AJ397" t="str">
        <f t="shared" si="26"/>
        <v>OK</v>
      </c>
      <c r="AK397">
        <f t="shared" si="27"/>
        <v>1</v>
      </c>
    </row>
    <row r="398" spans="1:37">
      <c r="A398" t="s">
        <v>1961</v>
      </c>
      <c r="B398" t="s">
        <v>1962</v>
      </c>
      <c r="C398" t="s">
        <v>1963</v>
      </c>
      <c r="D398" t="s">
        <v>1964</v>
      </c>
      <c r="E398" t="s">
        <v>107</v>
      </c>
      <c r="F398" t="s">
        <v>41</v>
      </c>
      <c r="G398" t="s">
        <v>62</v>
      </c>
      <c r="H398" t="s">
        <v>229</v>
      </c>
      <c r="I398" t="s">
        <v>230</v>
      </c>
      <c r="J398" t="s">
        <v>86</v>
      </c>
      <c r="K398" t="s">
        <v>382</v>
      </c>
      <c r="L398" t="s">
        <v>1965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  <c r="V398" s="1" t="s">
        <v>107</v>
      </c>
      <c r="W398" s="1" t="s">
        <v>41</v>
      </c>
      <c r="X398" s="1" t="s">
        <v>62</v>
      </c>
      <c r="Y398" s="1" t="s">
        <v>229</v>
      </c>
      <c r="Z398" s="1" t="s">
        <v>230</v>
      </c>
      <c r="AA398" s="1" t="s">
        <v>86</v>
      </c>
      <c r="AB398" s="1" t="s">
        <v>382</v>
      </c>
      <c r="AC398" s="1" t="s">
        <v>67</v>
      </c>
      <c r="AD398" s="1" t="s">
        <v>34</v>
      </c>
      <c r="AE398" s="1" t="s">
        <v>35</v>
      </c>
      <c r="AF398" s="5">
        <f t="shared" si="24"/>
        <v>45761</v>
      </c>
      <c r="AG398" s="5">
        <f t="shared" si="24"/>
        <v>45769</v>
      </c>
      <c r="AH398" s="5" t="b">
        <f t="shared" si="25"/>
        <v>1</v>
      </c>
      <c r="AI398" s="5" t="b">
        <f t="shared" si="25"/>
        <v>1</v>
      </c>
      <c r="AJ398" t="str">
        <f t="shared" si="26"/>
        <v>OK</v>
      </c>
      <c r="AK398">
        <f t="shared" si="27"/>
        <v>8</v>
      </c>
    </row>
    <row r="399" spans="1:37">
      <c r="A399" t="s">
        <v>1966</v>
      </c>
      <c r="B399" t="s">
        <v>1967</v>
      </c>
      <c r="C399" t="s">
        <v>1968</v>
      </c>
      <c r="D399" t="s">
        <v>1969</v>
      </c>
      <c r="E399" t="s">
        <v>168</v>
      </c>
      <c r="F399" t="s">
        <v>41</v>
      </c>
      <c r="G399" t="s">
        <v>27</v>
      </c>
      <c r="H399" t="s">
        <v>174</v>
      </c>
      <c r="I399" t="s">
        <v>175</v>
      </c>
      <c r="J399" t="s">
        <v>45</v>
      </c>
      <c r="K399" t="s">
        <v>46</v>
      </c>
      <c r="L399" t="s">
        <v>1970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  <c r="V399" s="1" t="s">
        <v>168</v>
      </c>
      <c r="W399" s="1" t="s">
        <v>41</v>
      </c>
      <c r="X399" s="1" t="s">
        <v>27</v>
      </c>
      <c r="Y399" s="1" t="s">
        <v>174</v>
      </c>
      <c r="Z399" s="1" t="s">
        <v>175</v>
      </c>
      <c r="AA399" s="1" t="s">
        <v>45</v>
      </c>
      <c r="AB399" s="1" t="s">
        <v>46</v>
      </c>
      <c r="AC399" s="1" t="s">
        <v>33</v>
      </c>
      <c r="AD399" s="1" t="s">
        <v>34</v>
      </c>
      <c r="AE399" s="1" t="s">
        <v>35</v>
      </c>
      <c r="AF399" s="5">
        <f t="shared" si="24"/>
        <v>45817</v>
      </c>
      <c r="AG399" s="5">
        <f t="shared" si="24"/>
        <v>45818</v>
      </c>
      <c r="AH399" s="5" t="b">
        <f t="shared" si="25"/>
        <v>1</v>
      </c>
      <c r="AI399" s="5" t="b">
        <f t="shared" si="25"/>
        <v>1</v>
      </c>
      <c r="AJ399" t="str">
        <f t="shared" si="26"/>
        <v>OK</v>
      </c>
      <c r="AK399">
        <f t="shared" si="27"/>
        <v>1</v>
      </c>
    </row>
    <row r="400" spans="1:37">
      <c r="A400" t="s">
        <v>1971</v>
      </c>
      <c r="B400" t="s">
        <v>1972</v>
      </c>
      <c r="C400" t="s">
        <v>1973</v>
      </c>
      <c r="D400" t="s">
        <v>1974</v>
      </c>
      <c r="E400" t="s">
        <v>83</v>
      </c>
      <c r="F400" t="s">
        <v>108</v>
      </c>
      <c r="G400" t="s">
        <v>27</v>
      </c>
      <c r="H400" t="s">
        <v>154</v>
      </c>
      <c r="I400" t="s">
        <v>155</v>
      </c>
      <c r="J400" t="s">
        <v>86</v>
      </c>
      <c r="K400" t="s">
        <v>382</v>
      </c>
      <c r="L400" t="s">
        <v>1975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  <c r="V400" s="1" t="s">
        <v>83</v>
      </c>
      <c r="W400" s="1" t="s">
        <v>108</v>
      </c>
      <c r="X400" s="1" t="s">
        <v>27</v>
      </c>
      <c r="Y400" s="1" t="s">
        <v>154</v>
      </c>
      <c r="Z400" s="1" t="s">
        <v>155</v>
      </c>
      <c r="AA400" s="1" t="s">
        <v>86</v>
      </c>
      <c r="AB400" s="1" t="s">
        <v>382</v>
      </c>
      <c r="AC400" s="1" t="s">
        <v>48</v>
      </c>
      <c r="AD400" s="1" t="s">
        <v>34</v>
      </c>
      <c r="AE400" s="1" t="s">
        <v>35</v>
      </c>
      <c r="AF400" s="5">
        <f t="shared" si="24"/>
        <v>45492</v>
      </c>
      <c r="AG400" s="5">
        <f t="shared" si="24"/>
        <v>45499</v>
      </c>
      <c r="AH400" s="5" t="b">
        <f t="shared" si="25"/>
        <v>1</v>
      </c>
      <c r="AI400" s="5" t="b">
        <f t="shared" si="25"/>
        <v>1</v>
      </c>
      <c r="AJ400" t="str">
        <f t="shared" si="26"/>
        <v>OK</v>
      </c>
      <c r="AK400">
        <f t="shared" si="27"/>
        <v>7</v>
      </c>
    </row>
    <row r="401" spans="1:37">
      <c r="A401" t="s">
        <v>1976</v>
      </c>
      <c r="B401" t="s">
        <v>1977</v>
      </c>
      <c r="C401" t="s">
        <v>1978</v>
      </c>
      <c r="D401" t="s">
        <v>1979</v>
      </c>
      <c r="E401" t="s">
        <v>210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1980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  <c r="V401" s="1" t="s">
        <v>210</v>
      </c>
      <c r="W401" s="1" t="s">
        <v>41</v>
      </c>
      <c r="X401" s="1" t="s">
        <v>62</v>
      </c>
      <c r="Y401" s="1" t="s">
        <v>100</v>
      </c>
      <c r="Z401" s="1" t="s">
        <v>101</v>
      </c>
      <c r="AA401" s="1" t="s">
        <v>30</v>
      </c>
      <c r="AB401" s="1" t="s">
        <v>31</v>
      </c>
      <c r="AC401" s="1" t="s">
        <v>48</v>
      </c>
      <c r="AD401" s="1" t="s">
        <v>34</v>
      </c>
      <c r="AE401" s="1" t="s">
        <v>35</v>
      </c>
      <c r="AF401" s="5">
        <f t="shared" si="24"/>
        <v>45771</v>
      </c>
      <c r="AG401" s="5">
        <f t="shared" si="24"/>
        <v>45776</v>
      </c>
      <c r="AH401" s="5" t="b">
        <f t="shared" si="25"/>
        <v>1</v>
      </c>
      <c r="AI401" s="5" t="b">
        <f t="shared" si="25"/>
        <v>1</v>
      </c>
      <c r="AJ401" t="str">
        <f t="shared" si="26"/>
        <v>OK</v>
      </c>
      <c r="AK401">
        <f t="shared" si="27"/>
        <v>5</v>
      </c>
    </row>
    <row r="402" spans="1:37">
      <c r="A402" t="s">
        <v>1981</v>
      </c>
      <c r="B402" t="s">
        <v>1982</v>
      </c>
      <c r="C402" t="s">
        <v>1983</v>
      </c>
      <c r="D402" t="s">
        <v>1984</v>
      </c>
      <c r="E402" t="s">
        <v>168</v>
      </c>
      <c r="F402" t="s">
        <v>41</v>
      </c>
      <c r="G402" t="s">
        <v>27</v>
      </c>
      <c r="H402" t="s">
        <v>174</v>
      </c>
      <c r="I402" t="s">
        <v>175</v>
      </c>
      <c r="J402" t="s">
        <v>30</v>
      </c>
      <c r="K402" t="s">
        <v>31</v>
      </c>
      <c r="L402" t="s">
        <v>1985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  <c r="V402" s="1" t="s">
        <v>168</v>
      </c>
      <c r="W402" s="1" t="s">
        <v>41</v>
      </c>
      <c r="X402" s="1" t="s">
        <v>27</v>
      </c>
      <c r="Y402" s="1" t="s">
        <v>174</v>
      </c>
      <c r="Z402" s="1" t="s">
        <v>175</v>
      </c>
      <c r="AA402" s="1" t="s">
        <v>30</v>
      </c>
      <c r="AB402" s="1" t="s">
        <v>31</v>
      </c>
      <c r="AC402" s="1" t="s">
        <v>48</v>
      </c>
      <c r="AD402" s="1" t="s">
        <v>34</v>
      </c>
      <c r="AE402" s="1" t="s">
        <v>35</v>
      </c>
      <c r="AF402" s="5">
        <f t="shared" si="24"/>
        <v>45814</v>
      </c>
      <c r="AG402" s="5">
        <f t="shared" si="24"/>
        <v>45819</v>
      </c>
      <c r="AH402" s="5" t="b">
        <f t="shared" si="25"/>
        <v>1</v>
      </c>
      <c r="AI402" s="5" t="b">
        <f t="shared" si="25"/>
        <v>1</v>
      </c>
      <c r="AJ402" t="str">
        <f t="shared" si="26"/>
        <v>OK</v>
      </c>
      <c r="AK402">
        <f t="shared" si="27"/>
        <v>5</v>
      </c>
    </row>
    <row r="403" spans="1:37">
      <c r="A403" t="s">
        <v>1986</v>
      </c>
      <c r="B403" t="s">
        <v>1987</v>
      </c>
      <c r="C403" t="s">
        <v>1988</v>
      </c>
      <c r="D403" t="s">
        <v>1989</v>
      </c>
      <c r="E403" t="s">
        <v>61</v>
      </c>
      <c r="F403" t="s">
        <v>41</v>
      </c>
      <c r="G403" t="s">
        <v>42</v>
      </c>
      <c r="H403" t="s">
        <v>311</v>
      </c>
      <c r="I403" t="s">
        <v>312</v>
      </c>
      <c r="J403" t="s">
        <v>45</v>
      </c>
      <c r="K403" t="s">
        <v>46</v>
      </c>
      <c r="L403" t="s">
        <v>1990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  <c r="V403" s="1" t="s">
        <v>61</v>
      </c>
      <c r="W403" s="1" t="s">
        <v>41</v>
      </c>
      <c r="X403" s="1" t="s">
        <v>42</v>
      </c>
      <c r="Y403" s="1" t="s">
        <v>311</v>
      </c>
      <c r="Z403" s="1" t="s">
        <v>312</v>
      </c>
      <c r="AA403" s="1" t="s">
        <v>45</v>
      </c>
      <c r="AB403" s="1" t="s">
        <v>46</v>
      </c>
      <c r="AC403" s="1" t="s">
        <v>48</v>
      </c>
      <c r="AD403" s="1" t="s">
        <v>34</v>
      </c>
      <c r="AE403" s="1" t="s">
        <v>35</v>
      </c>
      <c r="AF403" s="5">
        <f t="shared" si="24"/>
        <v>45725</v>
      </c>
      <c r="AG403" s="5" t="e">
        <f t="shared" si="24"/>
        <v>#N/A</v>
      </c>
      <c r="AH403" s="5" t="b">
        <f t="shared" si="25"/>
        <v>1</v>
      </c>
      <c r="AI403" s="5" t="b">
        <f t="shared" si="25"/>
        <v>0</v>
      </c>
      <c r="AJ403" t="e">
        <f t="shared" si="26"/>
        <v>#N/A</v>
      </c>
      <c r="AK403" t="e">
        <f t="shared" si="27"/>
        <v>#N/A</v>
      </c>
    </row>
    <row r="404" spans="1:37">
      <c r="A404" t="s">
        <v>1991</v>
      </c>
      <c r="B404" t="s">
        <v>1992</v>
      </c>
      <c r="C404" t="s">
        <v>1993</v>
      </c>
      <c r="D404" t="s">
        <v>1994</v>
      </c>
      <c r="E404" t="s">
        <v>142</v>
      </c>
      <c r="F404" t="s">
        <v>41</v>
      </c>
      <c r="G404" t="s">
        <v>62</v>
      </c>
      <c r="H404" t="s">
        <v>229</v>
      </c>
      <c r="I404" t="s">
        <v>230</v>
      </c>
      <c r="J404" t="s">
        <v>45</v>
      </c>
      <c r="K404" t="s">
        <v>46</v>
      </c>
      <c r="L404" t="s">
        <v>1995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  <c r="V404" s="1" t="s">
        <v>142</v>
      </c>
      <c r="W404" s="1" t="s">
        <v>41</v>
      </c>
      <c r="X404" s="1" t="s">
        <v>62</v>
      </c>
      <c r="Y404" s="1" t="s">
        <v>229</v>
      </c>
      <c r="Z404" s="1" t="s">
        <v>230</v>
      </c>
      <c r="AA404" s="1" t="s">
        <v>45</v>
      </c>
      <c r="AB404" s="1" t="s">
        <v>46</v>
      </c>
      <c r="AC404" s="1" t="s">
        <v>4119</v>
      </c>
      <c r="AD404" s="1" t="s">
        <v>34</v>
      </c>
      <c r="AE404" s="1" t="s">
        <v>35</v>
      </c>
      <c r="AF404" s="5">
        <f t="shared" si="24"/>
        <v>45373</v>
      </c>
      <c r="AG404" s="5">
        <f t="shared" si="24"/>
        <v>45373</v>
      </c>
      <c r="AH404" s="5" t="b">
        <f t="shared" si="25"/>
        <v>1</v>
      </c>
      <c r="AI404" s="5" t="b">
        <f t="shared" si="25"/>
        <v>1</v>
      </c>
      <c r="AJ404" t="str">
        <f t="shared" si="26"/>
        <v>OK</v>
      </c>
      <c r="AK404">
        <f t="shared" si="27"/>
        <v>0</v>
      </c>
    </row>
    <row r="405" spans="1:37">
      <c r="A405" t="s">
        <v>1996</v>
      </c>
      <c r="B405" t="s">
        <v>1997</v>
      </c>
      <c r="C405" t="s">
        <v>1998</v>
      </c>
      <c r="D405" t="s">
        <v>1999</v>
      </c>
      <c r="E405" t="s">
        <v>61</v>
      </c>
      <c r="F405" t="s">
        <v>41</v>
      </c>
      <c r="G405" t="s">
        <v>62</v>
      </c>
      <c r="H405" t="s">
        <v>242</v>
      </c>
      <c r="I405" t="s">
        <v>243</v>
      </c>
      <c r="J405" t="s">
        <v>30</v>
      </c>
      <c r="K405" t="s">
        <v>2000</v>
      </c>
      <c r="L405" t="s">
        <v>2001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  <c r="V405" s="1" t="s">
        <v>61</v>
      </c>
      <c r="W405" s="1" t="s">
        <v>41</v>
      </c>
      <c r="X405" s="1" t="s">
        <v>62</v>
      </c>
      <c r="Y405" s="1" t="s">
        <v>242</v>
      </c>
      <c r="Z405" s="1" t="s">
        <v>243</v>
      </c>
      <c r="AA405" s="1" t="s">
        <v>30</v>
      </c>
      <c r="AB405" s="1" t="s">
        <v>31</v>
      </c>
      <c r="AC405" s="1" t="s">
        <v>48</v>
      </c>
      <c r="AD405" s="1" t="s">
        <v>34</v>
      </c>
      <c r="AE405" s="1" t="s">
        <v>125</v>
      </c>
      <c r="AF405" s="5">
        <f t="shared" si="24"/>
        <v>45565</v>
      </c>
      <c r="AG405" s="5">
        <f t="shared" si="24"/>
        <v>45392</v>
      </c>
      <c r="AH405" s="5" t="b">
        <f t="shared" si="25"/>
        <v>1</v>
      </c>
      <c r="AI405" s="5" t="b">
        <f t="shared" si="25"/>
        <v>1</v>
      </c>
      <c r="AJ405" t="str">
        <f t="shared" si="26"/>
        <v>Invalid: Ship before Order</v>
      </c>
      <c r="AK405" t="e">
        <f t="shared" si="27"/>
        <v>#NUM!</v>
      </c>
    </row>
    <row r="406" spans="1:37">
      <c r="A406" t="s">
        <v>2002</v>
      </c>
      <c r="B406" t="s">
        <v>2003</v>
      </c>
      <c r="C406" t="s">
        <v>2004</v>
      </c>
      <c r="D406" t="s">
        <v>2005</v>
      </c>
      <c r="E406" t="s">
        <v>107</v>
      </c>
      <c r="F406" t="s">
        <v>108</v>
      </c>
      <c r="G406" t="s">
        <v>73</v>
      </c>
      <c r="H406" t="s">
        <v>28</v>
      </c>
      <c r="I406" t="s">
        <v>135</v>
      </c>
      <c r="J406" t="s">
        <v>45</v>
      </c>
      <c r="K406" t="s">
        <v>76</v>
      </c>
      <c r="L406" t="s">
        <v>2006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35</v>
      </c>
      <c r="V406" s="1" t="s">
        <v>107</v>
      </c>
      <c r="W406" s="1" t="s">
        <v>108</v>
      </c>
      <c r="X406" s="1" t="s">
        <v>73</v>
      </c>
      <c r="Y406" s="1" t="s">
        <v>28</v>
      </c>
      <c r="Z406" s="1" t="s">
        <v>135</v>
      </c>
      <c r="AA406" s="1" t="s">
        <v>45</v>
      </c>
      <c r="AB406" s="1" t="s">
        <v>76</v>
      </c>
      <c r="AC406" s="1" t="s">
        <v>48</v>
      </c>
      <c r="AD406" s="1" t="s">
        <v>34</v>
      </c>
      <c r="AE406" s="1" t="s">
        <v>35</v>
      </c>
      <c r="AF406" s="5">
        <f t="shared" si="24"/>
        <v>45318</v>
      </c>
      <c r="AG406" s="5">
        <f t="shared" si="24"/>
        <v>45325</v>
      </c>
      <c r="AH406" s="5" t="b">
        <f t="shared" si="25"/>
        <v>1</v>
      </c>
      <c r="AI406" s="5" t="b">
        <f t="shared" si="25"/>
        <v>1</v>
      </c>
      <c r="AJ406" t="str">
        <f t="shared" si="26"/>
        <v>OK</v>
      </c>
      <c r="AK406">
        <f t="shared" si="27"/>
        <v>7</v>
      </c>
    </row>
    <row r="407" spans="1:37">
      <c r="A407" t="s">
        <v>2007</v>
      </c>
      <c r="B407" t="s">
        <v>2008</v>
      </c>
      <c r="C407" t="s">
        <v>2009</v>
      </c>
      <c r="D407" t="s">
        <v>2010</v>
      </c>
      <c r="E407" t="s">
        <v>107</v>
      </c>
      <c r="F407" t="s">
        <v>115</v>
      </c>
      <c r="G407" t="s">
        <v>73</v>
      </c>
      <c r="H407" t="s">
        <v>235</v>
      </c>
      <c r="I407" t="s">
        <v>236</v>
      </c>
      <c r="J407" t="s">
        <v>45</v>
      </c>
      <c r="K407" t="s">
        <v>204</v>
      </c>
      <c r="L407" t="s">
        <v>2011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  <c r="V407" s="1" t="s">
        <v>107</v>
      </c>
      <c r="W407" s="1" t="s">
        <v>115</v>
      </c>
      <c r="X407" s="1" t="s">
        <v>73</v>
      </c>
      <c r="Y407" s="1" t="s">
        <v>235</v>
      </c>
      <c r="Z407" s="1" t="s">
        <v>236</v>
      </c>
      <c r="AA407" s="1" t="s">
        <v>45</v>
      </c>
      <c r="AB407" s="1" t="s">
        <v>204</v>
      </c>
      <c r="AC407" s="1" t="s">
        <v>4119</v>
      </c>
      <c r="AD407" s="1" t="s">
        <v>34</v>
      </c>
      <c r="AE407" s="1" t="s">
        <v>35</v>
      </c>
      <c r="AF407" s="5">
        <f t="shared" si="24"/>
        <v>45558</v>
      </c>
      <c r="AG407" s="5">
        <f t="shared" si="24"/>
        <v>45559</v>
      </c>
      <c r="AH407" s="5" t="b">
        <f t="shared" si="25"/>
        <v>1</v>
      </c>
      <c r="AI407" s="5" t="b">
        <f t="shared" si="25"/>
        <v>1</v>
      </c>
      <c r="AJ407" t="str">
        <f t="shared" si="26"/>
        <v>OK</v>
      </c>
      <c r="AK407">
        <f t="shared" si="27"/>
        <v>1</v>
      </c>
    </row>
    <row r="408" spans="1:37">
      <c r="A408" t="s">
        <v>2012</v>
      </c>
      <c r="B408" t="s">
        <v>2013</v>
      </c>
      <c r="C408" t="s">
        <v>2013</v>
      </c>
      <c r="D408" t="s">
        <v>2014</v>
      </c>
      <c r="E408" t="s">
        <v>366</v>
      </c>
      <c r="F408" t="s">
        <v>41</v>
      </c>
      <c r="G408" t="s">
        <v>73</v>
      </c>
      <c r="H408" t="s">
        <v>249</v>
      </c>
      <c r="I408" t="s">
        <v>250</v>
      </c>
      <c r="J408" t="s">
        <v>45</v>
      </c>
      <c r="K408" t="s">
        <v>65</v>
      </c>
      <c r="L408" t="s">
        <v>2015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137</v>
      </c>
      <c r="U408" t="s">
        <v>125</v>
      </c>
      <c r="V408" s="1" t="s">
        <v>366</v>
      </c>
      <c r="W408" s="1" t="s">
        <v>41</v>
      </c>
      <c r="X408" s="1" t="s">
        <v>73</v>
      </c>
      <c r="Y408" s="1" t="s">
        <v>249</v>
      </c>
      <c r="Z408" s="1" t="s">
        <v>250</v>
      </c>
      <c r="AA408" s="1" t="s">
        <v>45</v>
      </c>
      <c r="AB408" s="1" t="s">
        <v>65</v>
      </c>
      <c r="AC408" s="1" t="s">
        <v>67</v>
      </c>
      <c r="AD408" s="1" t="s">
        <v>137</v>
      </c>
      <c r="AE408" s="1" t="s">
        <v>125</v>
      </c>
      <c r="AF408" s="5">
        <f t="shared" si="24"/>
        <v>45713</v>
      </c>
      <c r="AG408" s="5">
        <f t="shared" si="24"/>
        <v>45713</v>
      </c>
      <c r="AH408" s="5" t="b">
        <f t="shared" si="25"/>
        <v>1</v>
      </c>
      <c r="AI408" s="5" t="b">
        <f t="shared" si="25"/>
        <v>1</v>
      </c>
      <c r="AJ408" t="str">
        <f t="shared" si="26"/>
        <v>OK</v>
      </c>
      <c r="AK408">
        <f t="shared" si="27"/>
        <v>0</v>
      </c>
    </row>
    <row r="409" spans="1:37">
      <c r="A409" t="s">
        <v>2016</v>
      </c>
      <c r="B409" t="s">
        <v>2017</v>
      </c>
      <c r="C409" t="s">
        <v>2018</v>
      </c>
      <c r="D409" t="s">
        <v>2019</v>
      </c>
      <c r="E409" t="s">
        <v>148</v>
      </c>
      <c r="F409" t="s">
        <v>108</v>
      </c>
      <c r="G409" t="s">
        <v>73</v>
      </c>
      <c r="H409" t="s">
        <v>249</v>
      </c>
      <c r="I409" t="s">
        <v>250</v>
      </c>
      <c r="J409" t="s">
        <v>30</v>
      </c>
      <c r="K409" t="s">
        <v>109</v>
      </c>
      <c r="L409" t="s">
        <v>2020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  <c r="V409" s="1" t="s">
        <v>148</v>
      </c>
      <c r="W409" s="1" t="s">
        <v>108</v>
      </c>
      <c r="X409" s="1" t="s">
        <v>73</v>
      </c>
      <c r="Y409" s="1" t="s">
        <v>249</v>
      </c>
      <c r="Z409" s="1" t="s">
        <v>250</v>
      </c>
      <c r="AA409" s="1" t="s">
        <v>30</v>
      </c>
      <c r="AB409" s="1" t="s">
        <v>109</v>
      </c>
      <c r="AC409" s="1" t="s">
        <v>33</v>
      </c>
      <c r="AD409" s="1" t="s">
        <v>34</v>
      </c>
      <c r="AE409" s="1" t="s">
        <v>35</v>
      </c>
      <c r="AF409" s="5">
        <f t="shared" si="24"/>
        <v>45424</v>
      </c>
      <c r="AG409" s="5">
        <f t="shared" si="24"/>
        <v>45425</v>
      </c>
      <c r="AH409" s="5" t="b">
        <f t="shared" si="25"/>
        <v>1</v>
      </c>
      <c r="AI409" s="5" t="b">
        <f t="shared" si="25"/>
        <v>1</v>
      </c>
      <c r="AJ409" t="str">
        <f t="shared" si="26"/>
        <v>OK</v>
      </c>
      <c r="AK409">
        <f t="shared" si="27"/>
        <v>1</v>
      </c>
    </row>
    <row r="410" spans="1:37">
      <c r="A410" t="s">
        <v>2021</v>
      </c>
      <c r="B410" t="s">
        <v>820</v>
      </c>
      <c r="C410" t="s">
        <v>1080</v>
      </c>
      <c r="D410" t="s">
        <v>2022</v>
      </c>
      <c r="E410" t="s">
        <v>168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2023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200</v>
      </c>
      <c r="U410" t="s">
        <v>125</v>
      </c>
      <c r="V410" s="1" t="s">
        <v>168</v>
      </c>
      <c r="W410" s="1" t="s">
        <v>26</v>
      </c>
      <c r="X410" s="1" t="s">
        <v>73</v>
      </c>
      <c r="Y410" s="1" t="s">
        <v>74</v>
      </c>
      <c r="Z410" s="1" t="s">
        <v>75</v>
      </c>
      <c r="AA410" s="1" t="s">
        <v>45</v>
      </c>
      <c r="AB410" s="1" t="s">
        <v>76</v>
      </c>
      <c r="AC410" s="1" t="s">
        <v>56</v>
      </c>
      <c r="AD410" s="1" t="s">
        <v>200</v>
      </c>
      <c r="AE410" s="1" t="s">
        <v>125</v>
      </c>
      <c r="AF410" s="5">
        <f t="shared" si="24"/>
        <v>45870</v>
      </c>
      <c r="AG410" s="5">
        <f t="shared" si="24"/>
        <v>45872</v>
      </c>
      <c r="AH410" s="5" t="b">
        <f t="shared" si="25"/>
        <v>1</v>
      </c>
      <c r="AI410" s="5" t="b">
        <f t="shared" si="25"/>
        <v>1</v>
      </c>
      <c r="AJ410" t="str">
        <f t="shared" si="26"/>
        <v>OK</v>
      </c>
      <c r="AK410">
        <f t="shared" si="27"/>
        <v>2</v>
      </c>
    </row>
    <row r="411" spans="1:37">
      <c r="A411" t="s">
        <v>2024</v>
      </c>
      <c r="B411" t="s">
        <v>830</v>
      </c>
      <c r="C411" t="s">
        <v>771</v>
      </c>
      <c r="D411" t="s">
        <v>2025</v>
      </c>
      <c r="E411" t="s">
        <v>25</v>
      </c>
      <c r="F411" t="s">
        <v>26</v>
      </c>
      <c r="G411" t="s">
        <v>42</v>
      </c>
      <c r="H411" t="s">
        <v>216</v>
      </c>
      <c r="I411" t="s">
        <v>217</v>
      </c>
      <c r="J411" t="s">
        <v>86</v>
      </c>
      <c r="K411" t="s">
        <v>87</v>
      </c>
      <c r="L411" t="s">
        <v>2026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  <c r="V411" s="1" t="s">
        <v>25</v>
      </c>
      <c r="W411" s="1" t="s">
        <v>26</v>
      </c>
      <c r="X411" s="1" t="s">
        <v>42</v>
      </c>
      <c r="Y411" s="1" t="s">
        <v>216</v>
      </c>
      <c r="Z411" s="1" t="s">
        <v>217</v>
      </c>
      <c r="AA411" s="1" t="s">
        <v>86</v>
      </c>
      <c r="AB411" s="1" t="s">
        <v>87</v>
      </c>
      <c r="AC411" s="1" t="s">
        <v>48</v>
      </c>
      <c r="AD411" s="1" t="s">
        <v>124</v>
      </c>
      <c r="AE411" s="1" t="s">
        <v>125</v>
      </c>
      <c r="AF411" s="5" t="e">
        <f t="shared" si="24"/>
        <v>#N/A</v>
      </c>
      <c r="AG411" s="5" t="e">
        <f t="shared" si="24"/>
        <v>#N/A</v>
      </c>
      <c r="AH411" s="5" t="b">
        <f t="shared" si="25"/>
        <v>0</v>
      </c>
      <c r="AI411" s="5" t="b">
        <f t="shared" si="25"/>
        <v>0</v>
      </c>
      <c r="AJ411" t="e">
        <f t="shared" si="26"/>
        <v>#N/A</v>
      </c>
      <c r="AK411" t="e">
        <f t="shared" si="27"/>
        <v>#N/A</v>
      </c>
    </row>
    <row r="412" spans="1:37">
      <c r="A412" t="s">
        <v>2027</v>
      </c>
      <c r="B412" t="s">
        <v>2028</v>
      </c>
      <c r="C412" t="s">
        <v>2029</v>
      </c>
      <c r="D412" t="s">
        <v>2030</v>
      </c>
      <c r="E412" t="s">
        <v>210</v>
      </c>
      <c r="F412" t="s">
        <v>26</v>
      </c>
      <c r="G412" t="s">
        <v>73</v>
      </c>
      <c r="H412" t="s">
        <v>249</v>
      </c>
      <c r="I412" t="s">
        <v>250</v>
      </c>
      <c r="J412" t="s">
        <v>45</v>
      </c>
      <c r="K412" t="s">
        <v>46</v>
      </c>
      <c r="L412" t="s">
        <v>2031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  <c r="V412" s="1" t="s">
        <v>210</v>
      </c>
      <c r="W412" s="1" t="s">
        <v>26</v>
      </c>
      <c r="X412" s="1" t="s">
        <v>73</v>
      </c>
      <c r="Y412" s="1" t="s">
        <v>249</v>
      </c>
      <c r="Z412" s="1" t="s">
        <v>250</v>
      </c>
      <c r="AA412" s="1" t="s">
        <v>45</v>
      </c>
      <c r="AB412" s="1" t="s">
        <v>46</v>
      </c>
      <c r="AC412" s="1" t="s">
        <v>56</v>
      </c>
      <c r="AD412" s="1" t="s">
        <v>34</v>
      </c>
      <c r="AE412" s="1" t="s">
        <v>35</v>
      </c>
      <c r="AF412" s="5">
        <f t="shared" si="24"/>
        <v>45394</v>
      </c>
      <c r="AG412" s="5">
        <f t="shared" si="24"/>
        <v>45402</v>
      </c>
      <c r="AH412" s="5" t="b">
        <f t="shared" si="25"/>
        <v>1</v>
      </c>
      <c r="AI412" s="5" t="b">
        <f t="shared" si="25"/>
        <v>1</v>
      </c>
      <c r="AJ412" t="str">
        <f t="shared" si="26"/>
        <v>OK</v>
      </c>
      <c r="AK412">
        <f t="shared" si="27"/>
        <v>8</v>
      </c>
    </row>
    <row r="413" spans="1:37">
      <c r="A413" t="s">
        <v>2032</v>
      </c>
      <c r="B413" t="s">
        <v>2033</v>
      </c>
      <c r="C413" t="s">
        <v>2034</v>
      </c>
      <c r="D413" t="s">
        <v>2035</v>
      </c>
      <c r="E413" t="s">
        <v>61</v>
      </c>
      <c r="F413" t="s">
        <v>115</v>
      </c>
      <c r="G413" t="s">
        <v>73</v>
      </c>
      <c r="H413" t="s">
        <v>28</v>
      </c>
      <c r="I413" t="s">
        <v>135</v>
      </c>
      <c r="J413" t="s">
        <v>45</v>
      </c>
      <c r="K413" t="s">
        <v>46</v>
      </c>
      <c r="L413" t="s">
        <v>2036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200</v>
      </c>
      <c r="U413" t="s">
        <v>125</v>
      </c>
      <c r="V413" s="1" t="s">
        <v>61</v>
      </c>
      <c r="W413" s="1" t="s">
        <v>115</v>
      </c>
      <c r="X413" s="1" t="s">
        <v>73</v>
      </c>
      <c r="Y413" s="1" t="s">
        <v>28</v>
      </c>
      <c r="Z413" s="1" t="s">
        <v>135</v>
      </c>
      <c r="AA413" s="1" t="s">
        <v>45</v>
      </c>
      <c r="AB413" s="1" t="s">
        <v>46</v>
      </c>
      <c r="AC413" s="1" t="s">
        <v>56</v>
      </c>
      <c r="AD413" s="1" t="s">
        <v>200</v>
      </c>
      <c r="AE413" s="1" t="s">
        <v>125</v>
      </c>
      <c r="AF413" s="5">
        <f t="shared" si="24"/>
        <v>45892</v>
      </c>
      <c r="AG413" s="5">
        <f t="shared" si="24"/>
        <v>45897</v>
      </c>
      <c r="AH413" s="5" t="b">
        <f t="shared" si="25"/>
        <v>1</v>
      </c>
      <c r="AI413" s="5" t="b">
        <f t="shared" si="25"/>
        <v>1</v>
      </c>
      <c r="AJ413" t="str">
        <f t="shared" si="26"/>
        <v>OK</v>
      </c>
      <c r="AK413">
        <f t="shared" si="27"/>
        <v>5</v>
      </c>
    </row>
    <row r="414" spans="1:37">
      <c r="A414" t="s">
        <v>2037</v>
      </c>
      <c r="B414" t="s">
        <v>2038</v>
      </c>
      <c r="C414" t="s">
        <v>834</v>
      </c>
      <c r="D414" t="s">
        <v>2039</v>
      </c>
      <c r="E414" t="s">
        <v>53</v>
      </c>
      <c r="F414" t="s">
        <v>108</v>
      </c>
      <c r="G414" t="s">
        <v>62</v>
      </c>
      <c r="H414" t="s">
        <v>229</v>
      </c>
      <c r="I414" t="s">
        <v>230</v>
      </c>
      <c r="J414" t="s">
        <v>45</v>
      </c>
      <c r="K414" t="s">
        <v>76</v>
      </c>
      <c r="L414" t="s">
        <v>2040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  <c r="V414" s="1" t="s">
        <v>53</v>
      </c>
      <c r="W414" s="1" t="s">
        <v>108</v>
      </c>
      <c r="X414" s="1" t="s">
        <v>62</v>
      </c>
      <c r="Y414" s="1" t="s">
        <v>229</v>
      </c>
      <c r="Z414" s="1" t="s">
        <v>230</v>
      </c>
      <c r="AA414" s="1" t="s">
        <v>45</v>
      </c>
      <c r="AB414" s="1" t="s">
        <v>76</v>
      </c>
      <c r="AC414" s="1" t="s">
        <v>48</v>
      </c>
      <c r="AD414" s="1" t="s">
        <v>34</v>
      </c>
      <c r="AE414" s="1" t="s">
        <v>35</v>
      </c>
      <c r="AF414" s="5">
        <f t="shared" si="24"/>
        <v>45313</v>
      </c>
      <c r="AG414" s="5" t="e">
        <f t="shared" si="24"/>
        <v>#N/A</v>
      </c>
      <c r="AH414" s="5" t="b">
        <f t="shared" si="25"/>
        <v>1</v>
      </c>
      <c r="AI414" s="5" t="b">
        <f t="shared" si="25"/>
        <v>0</v>
      </c>
      <c r="AJ414" t="e">
        <f t="shared" si="26"/>
        <v>#N/A</v>
      </c>
      <c r="AK414" t="e">
        <f t="shared" si="27"/>
        <v>#N/A</v>
      </c>
    </row>
    <row r="415" spans="1:37">
      <c r="A415" t="s">
        <v>2041</v>
      </c>
      <c r="B415" t="s">
        <v>240</v>
      </c>
      <c r="C415" t="s">
        <v>2042</v>
      </c>
      <c r="D415" t="s">
        <v>2043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2044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137</v>
      </c>
      <c r="U415" t="s">
        <v>78</v>
      </c>
      <c r="V415" s="1" t="s">
        <v>93</v>
      </c>
      <c r="W415" s="1" t="s">
        <v>115</v>
      </c>
      <c r="X415" s="1" t="s">
        <v>73</v>
      </c>
      <c r="Y415" s="1" t="s">
        <v>84</v>
      </c>
      <c r="Z415" s="1" t="s">
        <v>85</v>
      </c>
      <c r="AA415" s="1" t="s">
        <v>86</v>
      </c>
      <c r="AB415" s="1" t="s">
        <v>87</v>
      </c>
      <c r="AC415" s="1" t="s">
        <v>33</v>
      </c>
      <c r="AD415" s="1" t="s">
        <v>137</v>
      </c>
      <c r="AE415" s="1" t="s">
        <v>78</v>
      </c>
      <c r="AF415" s="5" t="e">
        <f t="shared" si="24"/>
        <v>#N/A</v>
      </c>
      <c r="AG415" s="5" t="e">
        <f t="shared" si="24"/>
        <v>#N/A</v>
      </c>
      <c r="AH415" s="5" t="b">
        <f t="shared" si="25"/>
        <v>0</v>
      </c>
      <c r="AI415" s="5" t="b">
        <f t="shared" si="25"/>
        <v>0</v>
      </c>
      <c r="AJ415" t="e">
        <f t="shared" si="26"/>
        <v>#N/A</v>
      </c>
      <c r="AK415" t="e">
        <f t="shared" si="27"/>
        <v>#N/A</v>
      </c>
    </row>
    <row r="416" spans="1:37">
      <c r="A416" t="s">
        <v>2045</v>
      </c>
      <c r="B416" t="s">
        <v>2046</v>
      </c>
      <c r="C416" t="s">
        <v>2047</v>
      </c>
      <c r="D416" t="s">
        <v>2048</v>
      </c>
      <c r="E416" t="s">
        <v>61</v>
      </c>
      <c r="F416" t="s">
        <v>115</v>
      </c>
      <c r="G416" t="s">
        <v>42</v>
      </c>
      <c r="H416" t="s">
        <v>216</v>
      </c>
      <c r="I416" t="s">
        <v>217</v>
      </c>
      <c r="J416" t="s">
        <v>30</v>
      </c>
      <c r="K416" t="s">
        <v>156</v>
      </c>
      <c r="L416" t="s">
        <v>2049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  <c r="V416" s="1" t="s">
        <v>61</v>
      </c>
      <c r="W416" s="1" t="s">
        <v>115</v>
      </c>
      <c r="X416" s="1" t="s">
        <v>42</v>
      </c>
      <c r="Y416" s="1" t="s">
        <v>216</v>
      </c>
      <c r="Z416" s="1" t="s">
        <v>217</v>
      </c>
      <c r="AA416" s="1" t="s">
        <v>30</v>
      </c>
      <c r="AB416" s="1" t="s">
        <v>156</v>
      </c>
      <c r="AC416" s="1" t="s">
        <v>56</v>
      </c>
      <c r="AD416" s="1" t="s">
        <v>34</v>
      </c>
      <c r="AE416" s="1" t="s">
        <v>35</v>
      </c>
      <c r="AF416" s="5">
        <f t="shared" si="24"/>
        <v>45533</v>
      </c>
      <c r="AG416" s="5">
        <f t="shared" si="24"/>
        <v>45534</v>
      </c>
      <c r="AH416" s="5" t="b">
        <f t="shared" si="25"/>
        <v>1</v>
      </c>
      <c r="AI416" s="5" t="b">
        <f t="shared" si="25"/>
        <v>1</v>
      </c>
      <c r="AJ416" t="str">
        <f t="shared" si="26"/>
        <v>OK</v>
      </c>
      <c r="AK416">
        <f t="shared" si="27"/>
        <v>1</v>
      </c>
    </row>
    <row r="417" spans="1:37">
      <c r="A417" t="s">
        <v>2050</v>
      </c>
      <c r="B417" t="s">
        <v>2051</v>
      </c>
      <c r="C417" t="s">
        <v>2003</v>
      </c>
      <c r="D417" t="s">
        <v>2052</v>
      </c>
      <c r="E417" t="s">
        <v>162</v>
      </c>
      <c r="F417" t="s">
        <v>108</v>
      </c>
      <c r="G417" t="s">
        <v>62</v>
      </c>
      <c r="H417" t="s">
        <v>229</v>
      </c>
      <c r="I417" t="s">
        <v>230</v>
      </c>
      <c r="J417" t="s">
        <v>30</v>
      </c>
      <c r="K417" t="s">
        <v>156</v>
      </c>
      <c r="L417" t="s">
        <v>2053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  <c r="V417" s="1" t="s">
        <v>162</v>
      </c>
      <c r="W417" s="1" t="s">
        <v>108</v>
      </c>
      <c r="X417" s="1" t="s">
        <v>62</v>
      </c>
      <c r="Y417" s="1" t="s">
        <v>229</v>
      </c>
      <c r="Z417" s="1" t="s">
        <v>230</v>
      </c>
      <c r="AA417" s="1" t="s">
        <v>30</v>
      </c>
      <c r="AB417" s="1" t="s">
        <v>156</v>
      </c>
      <c r="AC417" s="1" t="s">
        <v>48</v>
      </c>
      <c r="AD417" s="1" t="s">
        <v>34</v>
      </c>
      <c r="AE417" s="1" t="s">
        <v>125</v>
      </c>
      <c r="AF417" s="5">
        <f t="shared" si="24"/>
        <v>45316</v>
      </c>
      <c r="AG417" s="5">
        <f t="shared" si="24"/>
        <v>45318</v>
      </c>
      <c r="AH417" s="5" t="b">
        <f t="shared" si="25"/>
        <v>1</v>
      </c>
      <c r="AI417" s="5" t="b">
        <f t="shared" si="25"/>
        <v>1</v>
      </c>
      <c r="AJ417" t="str">
        <f t="shared" si="26"/>
        <v>OK</v>
      </c>
      <c r="AK417">
        <f t="shared" si="27"/>
        <v>2</v>
      </c>
    </row>
    <row r="418" spans="1:37">
      <c r="A418" t="s">
        <v>2054</v>
      </c>
      <c r="B418" t="s">
        <v>2055</v>
      </c>
      <c r="C418" t="s">
        <v>2056</v>
      </c>
      <c r="D418" t="s">
        <v>2057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45</v>
      </c>
      <c r="K418" t="s">
        <v>65</v>
      </c>
      <c r="L418" t="s">
        <v>2058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  <c r="V418" s="1" t="s">
        <v>93</v>
      </c>
      <c r="W418" s="1" t="s">
        <v>26</v>
      </c>
      <c r="X418" s="1" t="s">
        <v>62</v>
      </c>
      <c r="Y418" s="1" t="s">
        <v>63</v>
      </c>
      <c r="Z418" s="1" t="s">
        <v>64</v>
      </c>
      <c r="AA418" s="1" t="s">
        <v>45</v>
      </c>
      <c r="AB418" s="1" t="s">
        <v>65</v>
      </c>
      <c r="AC418" s="1" t="s">
        <v>56</v>
      </c>
      <c r="AD418" s="1" t="s">
        <v>34</v>
      </c>
      <c r="AE418" s="1" t="s">
        <v>35</v>
      </c>
      <c r="AF418" s="5">
        <f t="shared" si="24"/>
        <v>45665</v>
      </c>
      <c r="AG418" s="5" t="e">
        <f t="shared" si="24"/>
        <v>#N/A</v>
      </c>
      <c r="AH418" s="5" t="b">
        <f t="shared" si="25"/>
        <v>1</v>
      </c>
      <c r="AI418" s="5" t="b">
        <f t="shared" si="25"/>
        <v>0</v>
      </c>
      <c r="AJ418" t="e">
        <f t="shared" si="26"/>
        <v>#N/A</v>
      </c>
      <c r="AK418" t="e">
        <f t="shared" si="27"/>
        <v>#N/A</v>
      </c>
    </row>
    <row r="419" spans="1:37">
      <c r="A419" t="s">
        <v>2059</v>
      </c>
      <c r="B419" t="s">
        <v>1794</v>
      </c>
      <c r="C419" t="s">
        <v>2060</v>
      </c>
      <c r="D419" t="s">
        <v>2061</v>
      </c>
      <c r="E419" t="s">
        <v>40</v>
      </c>
      <c r="F419" t="s">
        <v>26</v>
      </c>
      <c r="G419" t="s">
        <v>73</v>
      </c>
      <c r="H419" t="s">
        <v>235</v>
      </c>
      <c r="I419" t="s">
        <v>236</v>
      </c>
      <c r="J419" t="s">
        <v>30</v>
      </c>
      <c r="K419" t="s">
        <v>54</v>
      </c>
      <c r="L419" t="s">
        <v>2062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  <c r="V419" s="1" t="s">
        <v>40</v>
      </c>
      <c r="W419" s="1" t="s">
        <v>26</v>
      </c>
      <c r="X419" s="1" t="s">
        <v>73</v>
      </c>
      <c r="Y419" s="1" t="s">
        <v>235</v>
      </c>
      <c r="Z419" s="1" t="s">
        <v>236</v>
      </c>
      <c r="AA419" s="1" t="s">
        <v>30</v>
      </c>
      <c r="AB419" s="1" t="s">
        <v>54</v>
      </c>
      <c r="AC419" s="1" t="s">
        <v>56</v>
      </c>
      <c r="AD419" s="1" t="s">
        <v>34</v>
      </c>
      <c r="AE419" s="1" t="s">
        <v>35</v>
      </c>
      <c r="AF419" s="5">
        <f t="shared" si="24"/>
        <v>45686</v>
      </c>
      <c r="AG419" s="5">
        <f t="shared" si="24"/>
        <v>45693</v>
      </c>
      <c r="AH419" s="5" t="b">
        <f t="shared" si="25"/>
        <v>1</v>
      </c>
      <c r="AI419" s="5" t="b">
        <f t="shared" si="25"/>
        <v>1</v>
      </c>
      <c r="AJ419" t="str">
        <f t="shared" si="26"/>
        <v>OK</v>
      </c>
      <c r="AK419">
        <f t="shared" si="27"/>
        <v>7</v>
      </c>
    </row>
    <row r="420" spans="1:37">
      <c r="A420" t="s">
        <v>2063</v>
      </c>
      <c r="B420" t="s">
        <v>2064</v>
      </c>
      <c r="C420" t="s">
        <v>2065</v>
      </c>
      <c r="D420" t="s">
        <v>2066</v>
      </c>
      <c r="E420" t="s">
        <v>168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2067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200</v>
      </c>
      <c r="U420" t="s">
        <v>78</v>
      </c>
      <c r="V420" s="1" t="s">
        <v>168</v>
      </c>
      <c r="W420" s="1" t="s">
        <v>108</v>
      </c>
      <c r="X420" s="1" t="s">
        <v>42</v>
      </c>
      <c r="Y420" s="1" t="s">
        <v>43</v>
      </c>
      <c r="Z420" s="1" t="s">
        <v>44</v>
      </c>
      <c r="AA420" s="1" t="s">
        <v>86</v>
      </c>
      <c r="AB420" s="1" t="s">
        <v>94</v>
      </c>
      <c r="AC420" s="1" t="s">
        <v>67</v>
      </c>
      <c r="AD420" s="1" t="s">
        <v>200</v>
      </c>
      <c r="AE420" s="1" t="s">
        <v>78</v>
      </c>
      <c r="AF420" s="5">
        <f t="shared" si="24"/>
        <v>45605</v>
      </c>
      <c r="AG420" s="5">
        <f t="shared" si="24"/>
        <v>45613</v>
      </c>
      <c r="AH420" s="5" t="b">
        <f t="shared" si="25"/>
        <v>1</v>
      </c>
      <c r="AI420" s="5" t="b">
        <f t="shared" si="25"/>
        <v>1</v>
      </c>
      <c r="AJ420" t="str">
        <f t="shared" si="26"/>
        <v>OK</v>
      </c>
      <c r="AK420">
        <f t="shared" si="27"/>
        <v>8</v>
      </c>
    </row>
    <row r="421" spans="1:37">
      <c r="A421" t="s">
        <v>2068</v>
      </c>
      <c r="B421" t="s">
        <v>2069</v>
      </c>
      <c r="C421" t="s">
        <v>2070</v>
      </c>
      <c r="D421" t="s">
        <v>2071</v>
      </c>
      <c r="E421" t="s">
        <v>168</v>
      </c>
      <c r="F421" t="s">
        <v>115</v>
      </c>
      <c r="G421" t="s">
        <v>27</v>
      </c>
      <c r="H421" t="s">
        <v>323</v>
      </c>
      <c r="I421" t="s">
        <v>324</v>
      </c>
      <c r="J421" t="s">
        <v>86</v>
      </c>
      <c r="K421" t="s">
        <v>223</v>
      </c>
      <c r="L421" t="s">
        <v>2072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  <c r="V421" s="1" t="s">
        <v>168</v>
      </c>
      <c r="W421" s="1" t="s">
        <v>115</v>
      </c>
      <c r="X421" s="1" t="s">
        <v>27</v>
      </c>
      <c r="Y421" s="1" t="s">
        <v>323</v>
      </c>
      <c r="Z421" s="1" t="s">
        <v>324</v>
      </c>
      <c r="AA421" s="1" t="s">
        <v>86</v>
      </c>
      <c r="AB421" s="1" t="s">
        <v>223</v>
      </c>
      <c r="AC421" s="1" t="s">
        <v>48</v>
      </c>
      <c r="AD421" s="1" t="s">
        <v>34</v>
      </c>
      <c r="AE421" s="1" t="s">
        <v>35</v>
      </c>
      <c r="AF421" s="5" t="e">
        <f t="shared" si="24"/>
        <v>#N/A</v>
      </c>
      <c r="AG421" s="5">
        <f t="shared" si="24"/>
        <v>45930</v>
      </c>
      <c r="AH421" s="5" t="b">
        <f t="shared" si="25"/>
        <v>0</v>
      </c>
      <c r="AI421" s="5" t="b">
        <f t="shared" si="25"/>
        <v>1</v>
      </c>
      <c r="AJ421" t="e">
        <f t="shared" si="26"/>
        <v>#N/A</v>
      </c>
      <c r="AK421" t="e">
        <f t="shared" si="27"/>
        <v>#N/A</v>
      </c>
    </row>
    <row r="422" spans="1:37">
      <c r="A422" t="s">
        <v>2073</v>
      </c>
      <c r="B422" t="s">
        <v>963</v>
      </c>
      <c r="C422" t="s">
        <v>2074</v>
      </c>
      <c r="D422" t="s">
        <v>2075</v>
      </c>
      <c r="E422" t="s">
        <v>53</v>
      </c>
      <c r="F422" t="s">
        <v>108</v>
      </c>
      <c r="G422" t="s">
        <v>62</v>
      </c>
      <c r="H422" t="s">
        <v>339</v>
      </c>
      <c r="I422" t="s">
        <v>340</v>
      </c>
      <c r="J422" t="s">
        <v>86</v>
      </c>
      <c r="K422" t="s">
        <v>382</v>
      </c>
      <c r="L422" t="s">
        <v>2076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137</v>
      </c>
      <c r="U422" t="s">
        <v>78</v>
      </c>
      <c r="V422" s="1" t="s">
        <v>53</v>
      </c>
      <c r="W422" s="1" t="s">
        <v>108</v>
      </c>
      <c r="X422" s="1" t="s">
        <v>62</v>
      </c>
      <c r="Y422" s="1" t="s">
        <v>339</v>
      </c>
      <c r="Z422" s="1" t="s">
        <v>340</v>
      </c>
      <c r="AA422" s="1" t="s">
        <v>86</v>
      </c>
      <c r="AB422" s="1" t="s">
        <v>382</v>
      </c>
      <c r="AC422" s="1" t="s">
        <v>67</v>
      </c>
      <c r="AD422" s="1" t="s">
        <v>137</v>
      </c>
      <c r="AE422" s="1" t="s">
        <v>78</v>
      </c>
      <c r="AF422" s="5" t="e">
        <f t="shared" si="24"/>
        <v>#N/A</v>
      </c>
      <c r="AG422" s="5">
        <f t="shared" si="24"/>
        <v>45735</v>
      </c>
      <c r="AH422" s="5" t="b">
        <f t="shared" si="25"/>
        <v>0</v>
      </c>
      <c r="AI422" s="5" t="b">
        <f t="shared" si="25"/>
        <v>1</v>
      </c>
      <c r="AJ422" t="e">
        <f t="shared" si="26"/>
        <v>#N/A</v>
      </c>
      <c r="AK422" t="e">
        <f t="shared" si="27"/>
        <v>#N/A</v>
      </c>
    </row>
    <row r="423" spans="1:37">
      <c r="A423" t="s">
        <v>2077</v>
      </c>
      <c r="B423" t="s">
        <v>2078</v>
      </c>
      <c r="C423" t="s">
        <v>2079</v>
      </c>
      <c r="D423" t="s">
        <v>2080</v>
      </c>
      <c r="E423" t="s">
        <v>180</v>
      </c>
      <c r="F423" t="s">
        <v>41</v>
      </c>
      <c r="G423" t="s">
        <v>27</v>
      </c>
      <c r="H423" t="s">
        <v>506</v>
      </c>
      <c r="I423" t="s">
        <v>507</v>
      </c>
      <c r="J423" t="s">
        <v>30</v>
      </c>
      <c r="K423" t="s">
        <v>198</v>
      </c>
      <c r="L423" t="s">
        <v>2081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137</v>
      </c>
      <c r="U423" t="s">
        <v>125</v>
      </c>
      <c r="V423" s="1" t="s">
        <v>180</v>
      </c>
      <c r="W423" s="1" t="s">
        <v>41</v>
      </c>
      <c r="X423" s="1" t="s">
        <v>27</v>
      </c>
      <c r="Y423" s="1" t="s">
        <v>506</v>
      </c>
      <c r="Z423" s="1" t="s">
        <v>507</v>
      </c>
      <c r="AA423" s="1" t="s">
        <v>30</v>
      </c>
      <c r="AB423" s="1" t="s">
        <v>198</v>
      </c>
      <c r="AC423" s="1" t="s">
        <v>48</v>
      </c>
      <c r="AD423" s="1" t="s">
        <v>137</v>
      </c>
      <c r="AE423" s="1" t="s">
        <v>125</v>
      </c>
      <c r="AF423" s="5">
        <f t="shared" si="24"/>
        <v>45822</v>
      </c>
      <c r="AG423" s="5">
        <f t="shared" si="24"/>
        <v>45827</v>
      </c>
      <c r="AH423" s="5" t="b">
        <f t="shared" si="25"/>
        <v>1</v>
      </c>
      <c r="AI423" s="5" t="b">
        <f t="shared" si="25"/>
        <v>1</v>
      </c>
      <c r="AJ423" t="str">
        <f t="shared" si="26"/>
        <v>OK</v>
      </c>
      <c r="AK423">
        <f t="shared" si="27"/>
        <v>5</v>
      </c>
    </row>
    <row r="424" spans="1:37">
      <c r="A424" t="s">
        <v>2082</v>
      </c>
      <c r="B424" t="s">
        <v>2083</v>
      </c>
      <c r="C424" t="s">
        <v>2084</v>
      </c>
      <c r="D424" t="s">
        <v>2085</v>
      </c>
      <c r="E424" t="s">
        <v>366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2086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  <c r="V424" s="1" t="s">
        <v>366</v>
      </c>
      <c r="W424" s="1" t="s">
        <v>26</v>
      </c>
      <c r="X424" s="1" t="s">
        <v>73</v>
      </c>
      <c r="Y424" s="1" t="s">
        <v>84</v>
      </c>
      <c r="Z424" s="1" t="s">
        <v>85</v>
      </c>
      <c r="AA424" s="1" t="s">
        <v>86</v>
      </c>
      <c r="AB424" s="1" t="s">
        <v>94</v>
      </c>
      <c r="AC424" s="1" t="s">
        <v>48</v>
      </c>
      <c r="AD424" s="1" t="s">
        <v>34</v>
      </c>
      <c r="AE424" s="1" t="s">
        <v>35</v>
      </c>
      <c r="AF424" s="5">
        <f t="shared" si="24"/>
        <v>45903</v>
      </c>
      <c r="AG424" s="5">
        <f t="shared" si="24"/>
        <v>45906</v>
      </c>
      <c r="AH424" s="5" t="b">
        <f t="shared" si="25"/>
        <v>1</v>
      </c>
      <c r="AI424" s="5" t="b">
        <f t="shared" si="25"/>
        <v>1</v>
      </c>
      <c r="AJ424" t="str">
        <f t="shared" si="26"/>
        <v>OK</v>
      </c>
      <c r="AK424">
        <f t="shared" si="27"/>
        <v>3</v>
      </c>
    </row>
    <row r="425" spans="1:37">
      <c r="A425" t="s">
        <v>2087</v>
      </c>
      <c r="B425" t="s">
        <v>2088</v>
      </c>
      <c r="C425" t="s">
        <v>2089</v>
      </c>
      <c r="D425" t="s">
        <v>2090</v>
      </c>
      <c r="E425" t="s">
        <v>210</v>
      </c>
      <c r="F425" t="s">
        <v>26</v>
      </c>
      <c r="G425" t="s">
        <v>62</v>
      </c>
      <c r="H425" t="s">
        <v>242</v>
      </c>
      <c r="I425" t="s">
        <v>243</v>
      </c>
      <c r="J425" t="s">
        <v>86</v>
      </c>
      <c r="K425" t="s">
        <v>87</v>
      </c>
      <c r="L425" t="s">
        <v>2091</v>
      </c>
      <c r="M425" t="s">
        <v>2092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  <c r="V425" s="1" t="s">
        <v>210</v>
      </c>
      <c r="W425" s="1" t="s">
        <v>26</v>
      </c>
      <c r="X425" s="1" t="s">
        <v>62</v>
      </c>
      <c r="Y425" s="1" t="s">
        <v>242</v>
      </c>
      <c r="Z425" s="1" t="s">
        <v>243</v>
      </c>
      <c r="AA425" s="1" t="s">
        <v>86</v>
      </c>
      <c r="AB425" s="1" t="s">
        <v>87</v>
      </c>
      <c r="AC425" s="1" t="s">
        <v>56</v>
      </c>
      <c r="AD425" s="1" t="s">
        <v>34</v>
      </c>
      <c r="AE425" s="1" t="s">
        <v>35</v>
      </c>
      <c r="AF425" s="5">
        <f t="shared" si="24"/>
        <v>45342</v>
      </c>
      <c r="AG425" s="5" t="e">
        <f t="shared" si="24"/>
        <v>#N/A</v>
      </c>
      <c r="AH425" s="5" t="b">
        <f t="shared" si="25"/>
        <v>1</v>
      </c>
      <c r="AI425" s="5" t="b">
        <f t="shared" si="25"/>
        <v>0</v>
      </c>
      <c r="AJ425" t="e">
        <f t="shared" si="26"/>
        <v>#N/A</v>
      </c>
      <c r="AK425" t="e">
        <f t="shared" si="27"/>
        <v>#N/A</v>
      </c>
    </row>
    <row r="426" spans="1:37">
      <c r="A426" t="s">
        <v>2093</v>
      </c>
      <c r="B426" t="s">
        <v>2094</v>
      </c>
      <c r="C426" t="s">
        <v>2095</v>
      </c>
      <c r="D426" t="s">
        <v>2096</v>
      </c>
      <c r="E426" t="s">
        <v>93</v>
      </c>
      <c r="F426" t="s">
        <v>108</v>
      </c>
      <c r="G426" t="s">
        <v>27</v>
      </c>
      <c r="H426" t="s">
        <v>154</v>
      </c>
      <c r="I426" t="s">
        <v>155</v>
      </c>
      <c r="J426" t="s">
        <v>86</v>
      </c>
      <c r="K426" t="s">
        <v>223</v>
      </c>
      <c r="L426" t="s">
        <v>2097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  <c r="V426" s="1" t="s">
        <v>93</v>
      </c>
      <c r="W426" s="1" t="s">
        <v>108</v>
      </c>
      <c r="X426" s="1" t="s">
        <v>27</v>
      </c>
      <c r="Y426" s="1" t="s">
        <v>154</v>
      </c>
      <c r="Z426" s="1" t="s">
        <v>155</v>
      </c>
      <c r="AA426" s="1" t="s">
        <v>86</v>
      </c>
      <c r="AB426" s="1" t="s">
        <v>223</v>
      </c>
      <c r="AC426" s="1" t="s">
        <v>67</v>
      </c>
      <c r="AD426" s="1" t="s">
        <v>34</v>
      </c>
      <c r="AE426" s="1" t="s">
        <v>35</v>
      </c>
      <c r="AF426" s="5">
        <f t="shared" si="24"/>
        <v>45469</v>
      </c>
      <c r="AG426" s="5">
        <f t="shared" si="24"/>
        <v>45472</v>
      </c>
      <c r="AH426" s="5" t="b">
        <f t="shared" si="25"/>
        <v>1</v>
      </c>
      <c r="AI426" s="5" t="b">
        <f t="shared" si="25"/>
        <v>1</v>
      </c>
      <c r="AJ426" t="str">
        <f t="shared" si="26"/>
        <v>OK</v>
      </c>
      <c r="AK426">
        <f t="shared" si="27"/>
        <v>3</v>
      </c>
    </row>
    <row r="427" spans="1:37">
      <c r="A427" t="s">
        <v>2098</v>
      </c>
      <c r="B427" t="s">
        <v>2099</v>
      </c>
      <c r="C427" t="s">
        <v>2100</v>
      </c>
      <c r="D427" t="s">
        <v>2101</v>
      </c>
      <c r="E427" t="s">
        <v>53</v>
      </c>
      <c r="F427" t="s">
        <v>115</v>
      </c>
      <c r="G427" t="s">
        <v>27</v>
      </c>
      <c r="H427" t="s">
        <v>506</v>
      </c>
      <c r="I427" t="s">
        <v>507</v>
      </c>
      <c r="J427" t="s">
        <v>30</v>
      </c>
      <c r="K427" t="s">
        <v>109</v>
      </c>
      <c r="L427" t="s">
        <v>2102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  <c r="V427" s="1" t="s">
        <v>53</v>
      </c>
      <c r="W427" s="1" t="s">
        <v>115</v>
      </c>
      <c r="X427" s="1" t="s">
        <v>27</v>
      </c>
      <c r="Y427" s="1" t="s">
        <v>506</v>
      </c>
      <c r="Z427" s="1" t="s">
        <v>507</v>
      </c>
      <c r="AA427" s="1" t="s">
        <v>30</v>
      </c>
      <c r="AB427" s="1" t="s">
        <v>109</v>
      </c>
      <c r="AC427" s="1" t="s">
        <v>56</v>
      </c>
      <c r="AD427" s="1" t="s">
        <v>124</v>
      </c>
      <c r="AE427" s="1" t="s">
        <v>78</v>
      </c>
      <c r="AF427" s="5" t="e">
        <f t="shared" si="24"/>
        <v>#N/A</v>
      </c>
      <c r="AG427" s="5">
        <f t="shared" si="24"/>
        <v>45562</v>
      </c>
      <c r="AH427" s="5" t="b">
        <f t="shared" si="25"/>
        <v>0</v>
      </c>
      <c r="AI427" s="5" t="b">
        <f t="shared" si="25"/>
        <v>1</v>
      </c>
      <c r="AJ427" t="e">
        <f t="shared" si="26"/>
        <v>#N/A</v>
      </c>
      <c r="AK427" t="e">
        <f t="shared" si="27"/>
        <v>#N/A</v>
      </c>
    </row>
    <row r="428" spans="1:37">
      <c r="A428" t="s">
        <v>2103</v>
      </c>
      <c r="B428" t="s">
        <v>2104</v>
      </c>
      <c r="C428" t="s">
        <v>2105</v>
      </c>
      <c r="D428" t="s">
        <v>2106</v>
      </c>
      <c r="E428" t="s">
        <v>107</v>
      </c>
      <c r="F428" t="s">
        <v>26</v>
      </c>
      <c r="G428" t="s">
        <v>27</v>
      </c>
      <c r="H428" t="s">
        <v>323</v>
      </c>
      <c r="I428" t="s">
        <v>324</v>
      </c>
      <c r="J428" t="s">
        <v>86</v>
      </c>
      <c r="K428" t="s">
        <v>94</v>
      </c>
      <c r="L428" t="s">
        <v>2107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  <c r="V428" s="1" t="s">
        <v>107</v>
      </c>
      <c r="W428" s="1" t="s">
        <v>26</v>
      </c>
      <c r="X428" s="1" t="s">
        <v>27</v>
      </c>
      <c r="Y428" s="1" t="s">
        <v>323</v>
      </c>
      <c r="Z428" s="1" t="s">
        <v>324</v>
      </c>
      <c r="AA428" s="1" t="s">
        <v>86</v>
      </c>
      <c r="AB428" s="1" t="s">
        <v>94</v>
      </c>
      <c r="AC428" s="1" t="s">
        <v>48</v>
      </c>
      <c r="AD428" s="1" t="s">
        <v>34</v>
      </c>
      <c r="AE428" s="1" t="s">
        <v>35</v>
      </c>
      <c r="AF428" s="5" t="e">
        <f t="shared" si="24"/>
        <v>#N/A</v>
      </c>
      <c r="AG428" s="5">
        <f t="shared" si="24"/>
        <v>45298</v>
      </c>
      <c r="AH428" s="5" t="b">
        <f t="shared" si="25"/>
        <v>0</v>
      </c>
      <c r="AI428" s="5" t="b">
        <f t="shared" si="25"/>
        <v>1</v>
      </c>
      <c r="AJ428" t="e">
        <f t="shared" si="26"/>
        <v>#N/A</v>
      </c>
      <c r="AK428" t="e">
        <f t="shared" si="27"/>
        <v>#N/A</v>
      </c>
    </row>
    <row r="429" spans="1:37">
      <c r="A429" t="s">
        <v>2108</v>
      </c>
      <c r="B429" t="s">
        <v>2109</v>
      </c>
      <c r="C429" t="s">
        <v>2110</v>
      </c>
      <c r="D429" t="s">
        <v>2111</v>
      </c>
      <c r="E429" t="s">
        <v>53</v>
      </c>
      <c r="F429" t="s">
        <v>108</v>
      </c>
      <c r="H429" t="s">
        <v>311</v>
      </c>
      <c r="I429" t="s">
        <v>312</v>
      </c>
      <c r="J429" t="s">
        <v>86</v>
      </c>
      <c r="K429" t="s">
        <v>87</v>
      </c>
      <c r="L429" t="s">
        <v>2112</v>
      </c>
      <c r="M429" t="s">
        <v>286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  <c r="V429" s="1" t="s">
        <v>53</v>
      </c>
      <c r="W429" s="1" t="s">
        <v>108</v>
      </c>
      <c r="X429" s="1" t="s">
        <v>4119</v>
      </c>
      <c r="Y429" s="1" t="s">
        <v>311</v>
      </c>
      <c r="Z429" s="1" t="s">
        <v>312</v>
      </c>
      <c r="AA429" s="1" t="s">
        <v>86</v>
      </c>
      <c r="AB429" s="1" t="s">
        <v>87</v>
      </c>
      <c r="AC429" s="1" t="s">
        <v>67</v>
      </c>
      <c r="AD429" s="1" t="s">
        <v>34</v>
      </c>
      <c r="AE429" s="1" t="s">
        <v>35</v>
      </c>
      <c r="AF429" s="5">
        <f t="shared" si="24"/>
        <v>45769</v>
      </c>
      <c r="AG429" s="5" t="e">
        <f t="shared" si="24"/>
        <v>#N/A</v>
      </c>
      <c r="AH429" s="5" t="b">
        <f t="shared" si="25"/>
        <v>1</v>
      </c>
      <c r="AI429" s="5" t="b">
        <f t="shared" si="25"/>
        <v>0</v>
      </c>
      <c r="AJ429" t="e">
        <f t="shared" si="26"/>
        <v>#N/A</v>
      </c>
      <c r="AK429" t="e">
        <f t="shared" si="27"/>
        <v>#N/A</v>
      </c>
    </row>
    <row r="430" spans="1:37">
      <c r="A430" t="s">
        <v>2113</v>
      </c>
      <c r="B430" t="s">
        <v>2114</v>
      </c>
      <c r="C430" t="s">
        <v>2115</v>
      </c>
      <c r="D430" t="s">
        <v>2116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223</v>
      </c>
      <c r="L430" t="s">
        <v>2117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137</v>
      </c>
      <c r="U430" t="s">
        <v>78</v>
      </c>
      <c r="V430" s="1" t="s">
        <v>25</v>
      </c>
      <c r="W430" s="1" t="s">
        <v>41</v>
      </c>
      <c r="X430" s="1" t="s">
        <v>42</v>
      </c>
      <c r="Y430" s="1" t="s">
        <v>121</v>
      </c>
      <c r="Z430" s="1" t="s">
        <v>122</v>
      </c>
      <c r="AA430" s="1" t="s">
        <v>86</v>
      </c>
      <c r="AB430" s="1" t="s">
        <v>223</v>
      </c>
      <c r="AC430" s="1" t="s">
        <v>48</v>
      </c>
      <c r="AD430" s="1" t="s">
        <v>137</v>
      </c>
      <c r="AE430" s="1" t="s">
        <v>78</v>
      </c>
      <c r="AF430" s="5">
        <f t="shared" si="24"/>
        <v>45731</v>
      </c>
      <c r="AG430" s="5">
        <f t="shared" si="24"/>
        <v>45738</v>
      </c>
      <c r="AH430" s="5" t="b">
        <f t="shared" si="25"/>
        <v>1</v>
      </c>
      <c r="AI430" s="5" t="b">
        <f t="shared" si="25"/>
        <v>1</v>
      </c>
      <c r="AJ430" t="str">
        <f t="shared" si="26"/>
        <v>OK</v>
      </c>
      <c r="AK430">
        <f t="shared" si="27"/>
        <v>7</v>
      </c>
    </row>
    <row r="431" spans="1:37">
      <c r="A431" t="s">
        <v>2118</v>
      </c>
      <c r="B431" t="s">
        <v>2119</v>
      </c>
      <c r="C431" t="s">
        <v>2120</v>
      </c>
      <c r="D431" t="s">
        <v>2121</v>
      </c>
      <c r="E431" t="s">
        <v>93</v>
      </c>
      <c r="F431" t="s">
        <v>115</v>
      </c>
      <c r="G431" t="s">
        <v>27</v>
      </c>
      <c r="H431" t="s">
        <v>28</v>
      </c>
      <c r="I431" t="s">
        <v>29</v>
      </c>
      <c r="J431" t="s">
        <v>86</v>
      </c>
      <c r="K431" t="s">
        <v>94</v>
      </c>
      <c r="L431" t="s">
        <v>2122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  <c r="V431" s="1" t="s">
        <v>93</v>
      </c>
      <c r="W431" s="1" t="s">
        <v>115</v>
      </c>
      <c r="X431" s="1" t="s">
        <v>27</v>
      </c>
      <c r="Y431" s="1" t="s">
        <v>28</v>
      </c>
      <c r="Z431" s="1" t="s">
        <v>29</v>
      </c>
      <c r="AA431" s="1" t="s">
        <v>86</v>
      </c>
      <c r="AB431" s="1" t="s">
        <v>94</v>
      </c>
      <c r="AC431" s="1" t="s">
        <v>48</v>
      </c>
      <c r="AD431" s="1" t="s">
        <v>34</v>
      </c>
      <c r="AE431" s="1" t="s">
        <v>35</v>
      </c>
      <c r="AF431" s="5">
        <f t="shared" si="24"/>
        <v>45717</v>
      </c>
      <c r="AG431" s="5">
        <f t="shared" si="24"/>
        <v>45872</v>
      </c>
      <c r="AH431" s="5" t="b">
        <f t="shared" si="25"/>
        <v>1</v>
      </c>
      <c r="AI431" s="5" t="b">
        <f t="shared" si="25"/>
        <v>1</v>
      </c>
      <c r="AJ431" t="str">
        <f t="shared" si="26"/>
        <v>OK</v>
      </c>
      <c r="AK431">
        <f t="shared" si="27"/>
        <v>155</v>
      </c>
    </row>
    <row r="432" spans="1:37">
      <c r="A432" t="s">
        <v>2123</v>
      </c>
      <c r="B432" t="s">
        <v>2124</v>
      </c>
      <c r="C432" t="s">
        <v>2125</v>
      </c>
      <c r="D432" t="s">
        <v>2126</v>
      </c>
      <c r="E432" t="s">
        <v>93</v>
      </c>
      <c r="F432" t="s">
        <v>41</v>
      </c>
      <c r="G432" t="s">
        <v>27</v>
      </c>
      <c r="H432" t="s">
        <v>323</v>
      </c>
      <c r="I432" t="s">
        <v>324</v>
      </c>
      <c r="J432" t="s">
        <v>30</v>
      </c>
      <c r="K432" t="s">
        <v>31</v>
      </c>
      <c r="L432" t="s">
        <v>2127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  <c r="V432" s="1" t="s">
        <v>93</v>
      </c>
      <c r="W432" s="1" t="s">
        <v>41</v>
      </c>
      <c r="X432" s="1" t="s">
        <v>27</v>
      </c>
      <c r="Y432" s="1" t="s">
        <v>323</v>
      </c>
      <c r="Z432" s="1" t="s">
        <v>324</v>
      </c>
      <c r="AA432" s="1" t="s">
        <v>30</v>
      </c>
      <c r="AB432" s="1" t="s">
        <v>31</v>
      </c>
      <c r="AC432" s="1" t="s">
        <v>33</v>
      </c>
      <c r="AD432" s="1" t="s">
        <v>34</v>
      </c>
      <c r="AE432" s="1" t="s">
        <v>35</v>
      </c>
      <c r="AF432" s="5">
        <f t="shared" si="24"/>
        <v>45534</v>
      </c>
      <c r="AG432" s="5">
        <f t="shared" si="24"/>
        <v>45331</v>
      </c>
      <c r="AH432" s="5" t="b">
        <f t="shared" si="25"/>
        <v>1</v>
      </c>
      <c r="AI432" s="5" t="b">
        <f t="shared" si="25"/>
        <v>1</v>
      </c>
      <c r="AJ432" t="str">
        <f t="shared" si="26"/>
        <v>Invalid: Ship before Order</v>
      </c>
      <c r="AK432" t="e">
        <f t="shared" si="27"/>
        <v>#NUM!</v>
      </c>
    </row>
    <row r="433" spans="1:37">
      <c r="A433" t="s">
        <v>2128</v>
      </c>
      <c r="B433" t="s">
        <v>2129</v>
      </c>
      <c r="C433" t="s">
        <v>2130</v>
      </c>
      <c r="D433" t="s">
        <v>2131</v>
      </c>
      <c r="E433" t="s">
        <v>25</v>
      </c>
      <c r="F433" t="s">
        <v>115</v>
      </c>
      <c r="G433" t="s">
        <v>73</v>
      </c>
      <c r="H433" t="s">
        <v>249</v>
      </c>
      <c r="I433" t="s">
        <v>250</v>
      </c>
      <c r="J433" t="s">
        <v>86</v>
      </c>
      <c r="K433" t="s">
        <v>382</v>
      </c>
      <c r="L433" t="s">
        <v>2132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  <c r="V433" s="1" t="s">
        <v>25</v>
      </c>
      <c r="W433" s="1" t="s">
        <v>115</v>
      </c>
      <c r="X433" s="1" t="s">
        <v>73</v>
      </c>
      <c r="Y433" s="1" t="s">
        <v>249</v>
      </c>
      <c r="Z433" s="1" t="s">
        <v>250</v>
      </c>
      <c r="AA433" s="1" t="s">
        <v>86</v>
      </c>
      <c r="AB433" s="1" t="s">
        <v>382</v>
      </c>
      <c r="AC433" s="1" t="s">
        <v>48</v>
      </c>
      <c r="AD433" s="1" t="s">
        <v>34</v>
      </c>
      <c r="AE433" s="1" t="s">
        <v>35</v>
      </c>
      <c r="AF433" s="5">
        <f t="shared" si="24"/>
        <v>45332</v>
      </c>
      <c r="AG433" s="5">
        <f t="shared" si="24"/>
        <v>45335</v>
      </c>
      <c r="AH433" s="5" t="b">
        <f t="shared" si="25"/>
        <v>1</v>
      </c>
      <c r="AI433" s="5" t="b">
        <f t="shared" si="25"/>
        <v>1</v>
      </c>
      <c r="AJ433" t="str">
        <f t="shared" si="26"/>
        <v>OK</v>
      </c>
      <c r="AK433">
        <f t="shared" si="27"/>
        <v>3</v>
      </c>
    </row>
    <row r="434" spans="1:37">
      <c r="A434" t="s">
        <v>2133</v>
      </c>
      <c r="B434" t="s">
        <v>1950</v>
      </c>
      <c r="C434" t="s">
        <v>2125</v>
      </c>
      <c r="D434" t="s">
        <v>2134</v>
      </c>
      <c r="E434" t="s">
        <v>142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204</v>
      </c>
      <c r="L434" t="s">
        <v>2135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  <c r="V434" s="1" t="s">
        <v>142</v>
      </c>
      <c r="W434" s="1" t="s">
        <v>41</v>
      </c>
      <c r="X434" s="1" t="s">
        <v>73</v>
      </c>
      <c r="Y434" s="1" t="s">
        <v>74</v>
      </c>
      <c r="Z434" s="1" t="s">
        <v>75</v>
      </c>
      <c r="AA434" s="1" t="s">
        <v>45</v>
      </c>
      <c r="AB434" s="1" t="s">
        <v>204</v>
      </c>
      <c r="AC434" s="1" t="s">
        <v>67</v>
      </c>
      <c r="AD434" s="1" t="s">
        <v>34</v>
      </c>
      <c r="AE434" s="1" t="s">
        <v>35</v>
      </c>
      <c r="AF434" s="5">
        <f t="shared" si="24"/>
        <v>45533</v>
      </c>
      <c r="AG434" s="5">
        <f t="shared" si="24"/>
        <v>45331</v>
      </c>
      <c r="AH434" s="5" t="b">
        <f t="shared" si="25"/>
        <v>1</v>
      </c>
      <c r="AI434" s="5" t="b">
        <f t="shared" si="25"/>
        <v>1</v>
      </c>
      <c r="AJ434" t="str">
        <f t="shared" si="26"/>
        <v>Invalid: Ship before Order</v>
      </c>
      <c r="AK434" t="e">
        <f t="shared" si="27"/>
        <v>#NUM!</v>
      </c>
    </row>
    <row r="435" spans="1:37">
      <c r="A435" t="s">
        <v>2136</v>
      </c>
      <c r="B435" t="s">
        <v>2137</v>
      </c>
      <c r="C435" t="s">
        <v>2138</v>
      </c>
      <c r="D435" t="s">
        <v>2139</v>
      </c>
      <c r="E435" t="s">
        <v>142</v>
      </c>
      <c r="F435" t="s">
        <v>108</v>
      </c>
      <c r="G435" t="s">
        <v>62</v>
      </c>
      <c r="H435" t="s">
        <v>242</v>
      </c>
      <c r="I435" t="s">
        <v>243</v>
      </c>
      <c r="J435" t="s">
        <v>30</v>
      </c>
      <c r="K435" t="s">
        <v>54</v>
      </c>
      <c r="L435" t="s">
        <v>2140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  <c r="V435" s="1" t="s">
        <v>142</v>
      </c>
      <c r="W435" s="1" t="s">
        <v>108</v>
      </c>
      <c r="X435" s="1" t="s">
        <v>62</v>
      </c>
      <c r="Y435" s="1" t="s">
        <v>242</v>
      </c>
      <c r="Z435" s="1" t="s">
        <v>243</v>
      </c>
      <c r="AA435" s="1" t="s">
        <v>30</v>
      </c>
      <c r="AB435" s="1" t="s">
        <v>54</v>
      </c>
      <c r="AC435" s="1" t="s">
        <v>33</v>
      </c>
      <c r="AD435" s="1" t="s">
        <v>124</v>
      </c>
      <c r="AE435" s="1" t="s">
        <v>125</v>
      </c>
      <c r="AF435" s="5">
        <f t="shared" si="24"/>
        <v>45401</v>
      </c>
      <c r="AG435" s="5" t="e">
        <f t="shared" si="24"/>
        <v>#N/A</v>
      </c>
      <c r="AH435" s="5" t="b">
        <f t="shared" si="25"/>
        <v>1</v>
      </c>
      <c r="AI435" s="5" t="b">
        <f t="shared" si="25"/>
        <v>0</v>
      </c>
      <c r="AJ435" t="e">
        <f t="shared" si="26"/>
        <v>#N/A</v>
      </c>
      <c r="AK435" t="e">
        <f t="shared" si="27"/>
        <v>#N/A</v>
      </c>
    </row>
    <row r="436" spans="1:37">
      <c r="A436" t="s">
        <v>2141</v>
      </c>
      <c r="B436" t="s">
        <v>2142</v>
      </c>
      <c r="C436" t="s">
        <v>2143</v>
      </c>
      <c r="D436" t="s">
        <v>2144</v>
      </c>
      <c r="E436" t="s">
        <v>40</v>
      </c>
      <c r="F436" t="s">
        <v>115</v>
      </c>
      <c r="G436" t="s">
        <v>27</v>
      </c>
      <c r="H436" t="s">
        <v>174</v>
      </c>
      <c r="I436" t="s">
        <v>175</v>
      </c>
      <c r="J436" t="s">
        <v>86</v>
      </c>
      <c r="K436" t="s">
        <v>87</v>
      </c>
      <c r="L436" t="s">
        <v>2145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  <c r="V436" s="1" t="s">
        <v>40</v>
      </c>
      <c r="W436" s="1" t="s">
        <v>115</v>
      </c>
      <c r="X436" s="1" t="s">
        <v>27</v>
      </c>
      <c r="Y436" s="1" t="s">
        <v>174</v>
      </c>
      <c r="Z436" s="1" t="s">
        <v>175</v>
      </c>
      <c r="AA436" s="1" t="s">
        <v>86</v>
      </c>
      <c r="AB436" s="1" t="s">
        <v>87</v>
      </c>
      <c r="AC436" s="1" t="s">
        <v>33</v>
      </c>
      <c r="AD436" s="1" t="s">
        <v>34</v>
      </c>
      <c r="AE436" s="1" t="s">
        <v>35</v>
      </c>
      <c r="AF436" s="5">
        <f t="shared" si="24"/>
        <v>45758</v>
      </c>
      <c r="AG436" s="5">
        <f t="shared" si="24"/>
        <v>45762</v>
      </c>
      <c r="AH436" s="5" t="b">
        <f t="shared" si="25"/>
        <v>1</v>
      </c>
      <c r="AI436" s="5" t="b">
        <f t="shared" si="25"/>
        <v>1</v>
      </c>
      <c r="AJ436" t="str">
        <f t="shared" si="26"/>
        <v>OK</v>
      </c>
      <c r="AK436">
        <f t="shared" si="27"/>
        <v>4</v>
      </c>
    </row>
    <row r="437" spans="1:37">
      <c r="A437" t="s">
        <v>2146</v>
      </c>
      <c r="B437" t="s">
        <v>2147</v>
      </c>
      <c r="C437" t="s">
        <v>1028</v>
      </c>
      <c r="D437" t="s">
        <v>2148</v>
      </c>
      <c r="E437" t="s">
        <v>366</v>
      </c>
      <c r="F437" t="s">
        <v>115</v>
      </c>
      <c r="G437" t="s">
        <v>27</v>
      </c>
      <c r="H437" t="s">
        <v>506</v>
      </c>
      <c r="I437" t="s">
        <v>507</v>
      </c>
      <c r="J437" t="s">
        <v>86</v>
      </c>
      <c r="K437" t="s">
        <v>382</v>
      </c>
      <c r="L437" t="s">
        <v>2149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  <c r="V437" s="1" t="s">
        <v>366</v>
      </c>
      <c r="W437" s="1" t="s">
        <v>115</v>
      </c>
      <c r="X437" s="1" t="s">
        <v>27</v>
      </c>
      <c r="Y437" s="1" t="s">
        <v>506</v>
      </c>
      <c r="Z437" s="1" t="s">
        <v>507</v>
      </c>
      <c r="AA437" s="1" t="s">
        <v>86</v>
      </c>
      <c r="AB437" s="1" t="s">
        <v>382</v>
      </c>
      <c r="AC437" s="1" t="s">
        <v>67</v>
      </c>
      <c r="AD437" s="1" t="s">
        <v>34</v>
      </c>
      <c r="AE437" s="1" t="s">
        <v>78</v>
      </c>
      <c r="AF437" s="5">
        <f t="shared" si="24"/>
        <v>45759</v>
      </c>
      <c r="AG437" s="5" t="e">
        <f t="shared" si="24"/>
        <v>#N/A</v>
      </c>
      <c r="AH437" s="5" t="b">
        <f t="shared" si="25"/>
        <v>1</v>
      </c>
      <c r="AI437" s="5" t="b">
        <f t="shared" si="25"/>
        <v>0</v>
      </c>
      <c r="AJ437" t="e">
        <f t="shared" si="26"/>
        <v>#N/A</v>
      </c>
      <c r="AK437" t="e">
        <f t="shared" si="27"/>
        <v>#N/A</v>
      </c>
    </row>
    <row r="438" spans="1:37">
      <c r="A438" t="s">
        <v>2150</v>
      </c>
      <c r="B438" t="s">
        <v>2151</v>
      </c>
      <c r="C438" t="s">
        <v>2152</v>
      </c>
      <c r="D438" t="s">
        <v>2153</v>
      </c>
      <c r="E438" t="s">
        <v>93</v>
      </c>
      <c r="F438" t="s">
        <v>26</v>
      </c>
      <c r="G438" t="s">
        <v>62</v>
      </c>
      <c r="H438" t="s">
        <v>242</v>
      </c>
      <c r="I438" t="s">
        <v>243</v>
      </c>
      <c r="J438" t="s">
        <v>45</v>
      </c>
      <c r="K438" t="s">
        <v>65</v>
      </c>
      <c r="L438" t="s">
        <v>2154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  <c r="V438" s="1" t="s">
        <v>93</v>
      </c>
      <c r="W438" s="1" t="s">
        <v>26</v>
      </c>
      <c r="X438" s="1" t="s">
        <v>62</v>
      </c>
      <c r="Y438" s="1" t="s">
        <v>242</v>
      </c>
      <c r="Z438" s="1" t="s">
        <v>243</v>
      </c>
      <c r="AA438" s="1" t="s">
        <v>45</v>
      </c>
      <c r="AB438" s="1" t="s">
        <v>65</v>
      </c>
      <c r="AC438" s="1" t="s">
        <v>48</v>
      </c>
      <c r="AD438" s="1" t="s">
        <v>34</v>
      </c>
      <c r="AE438" s="1" t="s">
        <v>125</v>
      </c>
      <c r="AF438" s="5">
        <f t="shared" si="24"/>
        <v>45459</v>
      </c>
      <c r="AG438" s="5">
        <f t="shared" si="24"/>
        <v>45464</v>
      </c>
      <c r="AH438" s="5" t="b">
        <f t="shared" si="25"/>
        <v>1</v>
      </c>
      <c r="AI438" s="5" t="b">
        <f t="shared" si="25"/>
        <v>1</v>
      </c>
      <c r="AJ438" t="str">
        <f t="shared" si="26"/>
        <v>OK</v>
      </c>
      <c r="AK438">
        <f t="shared" si="27"/>
        <v>5</v>
      </c>
    </row>
    <row r="439" spans="1:37">
      <c r="A439" t="s">
        <v>2155</v>
      </c>
      <c r="B439" t="s">
        <v>2156</v>
      </c>
      <c r="C439" t="s">
        <v>2157</v>
      </c>
      <c r="D439" t="s">
        <v>2158</v>
      </c>
      <c r="E439" t="s">
        <v>107</v>
      </c>
      <c r="F439" t="s">
        <v>41</v>
      </c>
      <c r="G439" t="s">
        <v>62</v>
      </c>
      <c r="H439" t="s">
        <v>242</v>
      </c>
      <c r="I439" t="s">
        <v>243</v>
      </c>
      <c r="J439" t="s">
        <v>86</v>
      </c>
      <c r="K439" t="s">
        <v>87</v>
      </c>
      <c r="L439" t="s">
        <v>2159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200</v>
      </c>
      <c r="U439" t="s">
        <v>125</v>
      </c>
      <c r="V439" s="1" t="s">
        <v>107</v>
      </c>
      <c r="W439" s="1" t="s">
        <v>41</v>
      </c>
      <c r="X439" s="1" t="s">
        <v>62</v>
      </c>
      <c r="Y439" s="1" t="s">
        <v>242</v>
      </c>
      <c r="Z439" s="1" t="s">
        <v>243</v>
      </c>
      <c r="AA439" s="1" t="s">
        <v>86</v>
      </c>
      <c r="AB439" s="1" t="s">
        <v>87</v>
      </c>
      <c r="AC439" s="1" t="s">
        <v>48</v>
      </c>
      <c r="AD439" s="1" t="s">
        <v>200</v>
      </c>
      <c r="AE439" s="1" t="s">
        <v>125</v>
      </c>
      <c r="AF439" s="5" t="e">
        <f t="shared" si="24"/>
        <v>#N/A</v>
      </c>
      <c r="AG439" s="5">
        <f t="shared" si="24"/>
        <v>45340</v>
      </c>
      <c r="AH439" s="5" t="b">
        <f t="shared" si="25"/>
        <v>0</v>
      </c>
      <c r="AI439" s="5" t="b">
        <f t="shared" si="25"/>
        <v>1</v>
      </c>
      <c r="AJ439" t="e">
        <f t="shared" si="26"/>
        <v>#N/A</v>
      </c>
      <c r="AK439" t="e">
        <f t="shared" si="27"/>
        <v>#N/A</v>
      </c>
    </row>
    <row r="440" spans="1:37">
      <c r="A440" t="s">
        <v>2160</v>
      </c>
      <c r="B440" t="s">
        <v>1023</v>
      </c>
      <c r="C440" t="s">
        <v>2161</v>
      </c>
      <c r="D440" t="s">
        <v>2162</v>
      </c>
      <c r="E440" t="s">
        <v>93</v>
      </c>
      <c r="F440" t="s">
        <v>108</v>
      </c>
      <c r="G440" t="s">
        <v>42</v>
      </c>
      <c r="H440" t="s">
        <v>311</v>
      </c>
      <c r="I440" t="s">
        <v>312</v>
      </c>
      <c r="J440" t="s">
        <v>86</v>
      </c>
      <c r="K440" t="s">
        <v>223</v>
      </c>
      <c r="L440" t="s">
        <v>2163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  <c r="V440" s="1" t="s">
        <v>93</v>
      </c>
      <c r="W440" s="1" t="s">
        <v>108</v>
      </c>
      <c r="X440" s="1" t="s">
        <v>42</v>
      </c>
      <c r="Y440" s="1" t="s">
        <v>311</v>
      </c>
      <c r="Z440" s="1" t="s">
        <v>312</v>
      </c>
      <c r="AA440" s="1" t="s">
        <v>86</v>
      </c>
      <c r="AB440" s="1" t="s">
        <v>223</v>
      </c>
      <c r="AC440" s="1" t="s">
        <v>67</v>
      </c>
      <c r="AD440" s="1" t="s">
        <v>34</v>
      </c>
      <c r="AE440" s="1" t="s">
        <v>35</v>
      </c>
      <c r="AF440" s="5">
        <f t="shared" si="24"/>
        <v>45784</v>
      </c>
      <c r="AG440" s="5">
        <f t="shared" si="24"/>
        <v>45782</v>
      </c>
      <c r="AH440" s="5" t="b">
        <f t="shared" si="25"/>
        <v>1</v>
      </c>
      <c r="AI440" s="5" t="b">
        <f t="shared" si="25"/>
        <v>1</v>
      </c>
      <c r="AJ440" t="str">
        <f t="shared" si="26"/>
        <v>Invalid: Ship before Order</v>
      </c>
      <c r="AK440" t="e">
        <f t="shared" si="27"/>
        <v>#NUM!</v>
      </c>
    </row>
    <row r="441" spans="1:37">
      <c r="A441" t="s">
        <v>2164</v>
      </c>
      <c r="B441" t="s">
        <v>2165</v>
      </c>
      <c r="C441" t="s">
        <v>2166</v>
      </c>
      <c r="D441" t="s">
        <v>2167</v>
      </c>
      <c r="E441" t="s">
        <v>162</v>
      </c>
      <c r="F441" t="s">
        <v>115</v>
      </c>
      <c r="G441" t="s">
        <v>73</v>
      </c>
      <c r="H441" t="s">
        <v>249</v>
      </c>
      <c r="I441" t="s">
        <v>250</v>
      </c>
      <c r="J441" t="s">
        <v>30</v>
      </c>
      <c r="K441" t="s">
        <v>156</v>
      </c>
      <c r="L441" t="s">
        <v>2168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  <c r="V441" s="1" t="s">
        <v>162</v>
      </c>
      <c r="W441" s="1" t="s">
        <v>115</v>
      </c>
      <c r="X441" s="1" t="s">
        <v>73</v>
      </c>
      <c r="Y441" s="1" t="s">
        <v>249</v>
      </c>
      <c r="Z441" s="1" t="s">
        <v>250</v>
      </c>
      <c r="AA441" s="1" t="s">
        <v>30</v>
      </c>
      <c r="AB441" s="1" t="s">
        <v>156</v>
      </c>
      <c r="AC441" s="1" t="s">
        <v>48</v>
      </c>
      <c r="AD441" s="1" t="s">
        <v>124</v>
      </c>
      <c r="AE441" s="1" t="s">
        <v>125</v>
      </c>
      <c r="AF441" s="5" t="e">
        <f t="shared" si="24"/>
        <v>#N/A</v>
      </c>
      <c r="AG441" s="5">
        <f t="shared" si="24"/>
        <v>45841</v>
      </c>
      <c r="AH441" s="5" t="b">
        <f t="shared" si="25"/>
        <v>0</v>
      </c>
      <c r="AI441" s="5" t="b">
        <f t="shared" si="25"/>
        <v>1</v>
      </c>
      <c r="AJ441" t="e">
        <f t="shared" si="26"/>
        <v>#N/A</v>
      </c>
      <c r="AK441" t="e">
        <f t="shared" si="27"/>
        <v>#N/A</v>
      </c>
    </row>
    <row r="442" spans="1:37">
      <c r="A442" t="s">
        <v>2169</v>
      </c>
      <c r="B442" t="s">
        <v>2170</v>
      </c>
      <c r="C442" t="s">
        <v>2171</v>
      </c>
      <c r="D442" t="s">
        <v>376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382</v>
      </c>
      <c r="L442" t="s">
        <v>2172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  <c r="V442" s="1" t="s">
        <v>83</v>
      </c>
      <c r="W442" s="1" t="s">
        <v>108</v>
      </c>
      <c r="X442" s="1" t="s">
        <v>42</v>
      </c>
      <c r="Y442" s="1" t="s">
        <v>43</v>
      </c>
      <c r="Z442" s="1" t="s">
        <v>44</v>
      </c>
      <c r="AA442" s="1" t="s">
        <v>86</v>
      </c>
      <c r="AB442" s="1" t="s">
        <v>382</v>
      </c>
      <c r="AC442" s="1" t="s">
        <v>33</v>
      </c>
      <c r="AD442" s="1" t="s">
        <v>34</v>
      </c>
      <c r="AE442" s="1" t="s">
        <v>35</v>
      </c>
      <c r="AF442" s="5">
        <f t="shared" si="24"/>
        <v>45384</v>
      </c>
      <c r="AG442" s="5">
        <f t="shared" si="24"/>
        <v>45390</v>
      </c>
      <c r="AH442" s="5" t="b">
        <f t="shared" si="25"/>
        <v>1</v>
      </c>
      <c r="AI442" s="5" t="b">
        <f t="shared" si="25"/>
        <v>1</v>
      </c>
      <c r="AJ442" t="str">
        <f t="shared" si="26"/>
        <v>OK</v>
      </c>
      <c r="AK442">
        <f t="shared" si="27"/>
        <v>6</v>
      </c>
    </row>
    <row r="443" spans="1:37">
      <c r="A443" t="s">
        <v>2173</v>
      </c>
      <c r="B443" t="s">
        <v>2174</v>
      </c>
      <c r="C443" t="s">
        <v>525</v>
      </c>
      <c r="D443" t="s">
        <v>2175</v>
      </c>
      <c r="E443" t="s">
        <v>25</v>
      </c>
      <c r="F443" t="s">
        <v>26</v>
      </c>
      <c r="G443" t="s">
        <v>42</v>
      </c>
      <c r="H443" t="s">
        <v>186</v>
      </c>
      <c r="I443" t="s">
        <v>187</v>
      </c>
      <c r="J443" t="s">
        <v>45</v>
      </c>
      <c r="K443" t="s">
        <v>204</v>
      </c>
      <c r="L443" t="s">
        <v>2176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  <c r="V443" s="1" t="s">
        <v>25</v>
      </c>
      <c r="W443" s="1" t="s">
        <v>26</v>
      </c>
      <c r="X443" s="1" t="s">
        <v>42</v>
      </c>
      <c r="Y443" s="1" t="s">
        <v>186</v>
      </c>
      <c r="Z443" s="1" t="s">
        <v>187</v>
      </c>
      <c r="AA443" s="1" t="s">
        <v>45</v>
      </c>
      <c r="AB443" s="1" t="s">
        <v>204</v>
      </c>
      <c r="AC443" s="1" t="s">
        <v>67</v>
      </c>
      <c r="AD443" s="1" t="s">
        <v>34</v>
      </c>
      <c r="AE443" s="1" t="s">
        <v>78</v>
      </c>
      <c r="AF443" s="5">
        <f t="shared" si="24"/>
        <v>45361</v>
      </c>
      <c r="AG443" s="5">
        <f t="shared" si="24"/>
        <v>45568</v>
      </c>
      <c r="AH443" s="5" t="b">
        <f t="shared" si="25"/>
        <v>1</v>
      </c>
      <c r="AI443" s="5" t="b">
        <f t="shared" si="25"/>
        <v>1</v>
      </c>
      <c r="AJ443" t="str">
        <f t="shared" si="26"/>
        <v>OK</v>
      </c>
      <c r="AK443">
        <f t="shared" si="27"/>
        <v>207</v>
      </c>
    </row>
    <row r="444" spans="1:37">
      <c r="A444" t="s">
        <v>2177</v>
      </c>
      <c r="B444" t="s">
        <v>2178</v>
      </c>
      <c r="C444" t="s">
        <v>2179</v>
      </c>
      <c r="D444" t="s">
        <v>2180</v>
      </c>
      <c r="E444" t="s">
        <v>162</v>
      </c>
      <c r="F444" t="s">
        <v>26</v>
      </c>
      <c r="G444" t="s">
        <v>42</v>
      </c>
      <c r="H444" t="s">
        <v>311</v>
      </c>
      <c r="I444" t="s">
        <v>312</v>
      </c>
      <c r="J444" t="s">
        <v>45</v>
      </c>
      <c r="K444" t="s">
        <v>46</v>
      </c>
      <c r="L444" t="s">
        <v>2181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  <c r="V444" s="1" t="s">
        <v>162</v>
      </c>
      <c r="W444" s="1" t="s">
        <v>26</v>
      </c>
      <c r="X444" s="1" t="s">
        <v>42</v>
      </c>
      <c r="Y444" s="1" t="s">
        <v>311</v>
      </c>
      <c r="Z444" s="1" t="s">
        <v>312</v>
      </c>
      <c r="AA444" s="1" t="s">
        <v>45</v>
      </c>
      <c r="AB444" s="1" t="s">
        <v>46</v>
      </c>
      <c r="AC444" s="1" t="s">
        <v>56</v>
      </c>
      <c r="AD444" s="1" t="s">
        <v>34</v>
      </c>
      <c r="AE444" s="1" t="s">
        <v>35</v>
      </c>
      <c r="AF444" s="5">
        <f t="shared" si="24"/>
        <v>45669</v>
      </c>
      <c r="AG444" s="5">
        <f t="shared" si="24"/>
        <v>45676</v>
      </c>
      <c r="AH444" s="5" t="b">
        <f t="shared" si="25"/>
        <v>1</v>
      </c>
      <c r="AI444" s="5" t="b">
        <f t="shared" si="25"/>
        <v>1</v>
      </c>
      <c r="AJ444" t="str">
        <f t="shared" si="26"/>
        <v>OK</v>
      </c>
      <c r="AK444">
        <f t="shared" si="27"/>
        <v>7</v>
      </c>
    </row>
    <row r="445" spans="1:37">
      <c r="A445" t="s">
        <v>2182</v>
      </c>
      <c r="B445" t="s">
        <v>2183</v>
      </c>
      <c r="C445" t="s">
        <v>1894</v>
      </c>
      <c r="D445" t="s">
        <v>2184</v>
      </c>
      <c r="E445" t="s">
        <v>180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2185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  <c r="V445" s="1" t="s">
        <v>180</v>
      </c>
      <c r="W445" s="1" t="s">
        <v>115</v>
      </c>
      <c r="X445" s="1" t="s">
        <v>42</v>
      </c>
      <c r="Y445" s="1" t="s">
        <v>43</v>
      </c>
      <c r="Z445" s="1" t="s">
        <v>44</v>
      </c>
      <c r="AA445" s="1" t="s">
        <v>45</v>
      </c>
      <c r="AB445" s="1" t="s">
        <v>65</v>
      </c>
      <c r="AC445" s="1" t="s">
        <v>56</v>
      </c>
      <c r="AD445" s="1" t="s">
        <v>34</v>
      </c>
      <c r="AE445" s="1" t="s">
        <v>35</v>
      </c>
      <c r="AF445" s="5">
        <f t="shared" si="24"/>
        <v>45386</v>
      </c>
      <c r="AG445" s="5">
        <f t="shared" si="24"/>
        <v>45389</v>
      </c>
      <c r="AH445" s="5" t="b">
        <f t="shared" si="25"/>
        <v>1</v>
      </c>
      <c r="AI445" s="5" t="b">
        <f t="shared" si="25"/>
        <v>1</v>
      </c>
      <c r="AJ445" t="str">
        <f t="shared" si="26"/>
        <v>OK</v>
      </c>
      <c r="AK445">
        <f t="shared" si="27"/>
        <v>3</v>
      </c>
    </row>
    <row r="446" spans="1:37">
      <c r="A446" t="s">
        <v>2186</v>
      </c>
      <c r="B446" t="s">
        <v>2187</v>
      </c>
      <c r="C446" t="s">
        <v>1859</v>
      </c>
      <c r="D446" t="s">
        <v>2188</v>
      </c>
      <c r="E446" t="s">
        <v>72</v>
      </c>
      <c r="F446" t="s">
        <v>26</v>
      </c>
      <c r="G446" t="s">
        <v>42</v>
      </c>
      <c r="H446" t="s">
        <v>216</v>
      </c>
      <c r="I446" t="s">
        <v>217</v>
      </c>
      <c r="J446" t="s">
        <v>86</v>
      </c>
      <c r="K446" t="s">
        <v>87</v>
      </c>
      <c r="L446" t="s">
        <v>2189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  <c r="V446" s="1" t="s">
        <v>72</v>
      </c>
      <c r="W446" s="1" t="s">
        <v>26</v>
      </c>
      <c r="X446" s="1" t="s">
        <v>42</v>
      </c>
      <c r="Y446" s="1" t="s">
        <v>216</v>
      </c>
      <c r="Z446" s="1" t="s">
        <v>217</v>
      </c>
      <c r="AA446" s="1" t="s">
        <v>86</v>
      </c>
      <c r="AB446" s="1" t="s">
        <v>87</v>
      </c>
      <c r="AC446" s="1" t="s">
        <v>48</v>
      </c>
      <c r="AD446" s="1" t="s">
        <v>34</v>
      </c>
      <c r="AE446" s="1" t="s">
        <v>35</v>
      </c>
      <c r="AF446" s="5">
        <f t="shared" si="24"/>
        <v>45881</v>
      </c>
      <c r="AG446" s="5">
        <f t="shared" si="24"/>
        <v>45885</v>
      </c>
      <c r="AH446" s="5" t="b">
        <f t="shared" si="25"/>
        <v>1</v>
      </c>
      <c r="AI446" s="5" t="b">
        <f t="shared" si="25"/>
        <v>1</v>
      </c>
      <c r="AJ446" t="str">
        <f t="shared" si="26"/>
        <v>OK</v>
      </c>
      <c r="AK446">
        <f t="shared" si="27"/>
        <v>4</v>
      </c>
    </row>
    <row r="447" spans="1:37">
      <c r="A447" t="s">
        <v>2190</v>
      </c>
      <c r="B447" t="s">
        <v>2191</v>
      </c>
      <c r="C447" t="s">
        <v>2192</v>
      </c>
      <c r="D447" t="s">
        <v>2193</v>
      </c>
      <c r="E447" t="s">
        <v>61</v>
      </c>
      <c r="F447" t="s">
        <v>26</v>
      </c>
      <c r="G447" t="s">
        <v>42</v>
      </c>
      <c r="H447" t="s">
        <v>216</v>
      </c>
      <c r="I447" t="s">
        <v>217</v>
      </c>
      <c r="J447" t="s">
        <v>45</v>
      </c>
      <c r="K447" t="s">
        <v>204</v>
      </c>
      <c r="L447" t="s">
        <v>2194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  <c r="V447" s="1" t="s">
        <v>61</v>
      </c>
      <c r="W447" s="1" t="s">
        <v>26</v>
      </c>
      <c r="X447" s="1" t="s">
        <v>42</v>
      </c>
      <c r="Y447" s="1" t="s">
        <v>216</v>
      </c>
      <c r="Z447" s="1" t="s">
        <v>217</v>
      </c>
      <c r="AA447" s="1" t="s">
        <v>45</v>
      </c>
      <c r="AB447" s="1" t="s">
        <v>204</v>
      </c>
      <c r="AC447" s="1" t="s">
        <v>48</v>
      </c>
      <c r="AD447" s="1" t="s">
        <v>34</v>
      </c>
      <c r="AE447" s="1" t="s">
        <v>35</v>
      </c>
      <c r="AF447" s="5">
        <f t="shared" si="24"/>
        <v>45421</v>
      </c>
      <c r="AG447" s="5">
        <f t="shared" si="24"/>
        <v>45417</v>
      </c>
      <c r="AH447" s="5" t="b">
        <f t="shared" si="25"/>
        <v>1</v>
      </c>
      <c r="AI447" s="5" t="b">
        <f t="shared" si="25"/>
        <v>1</v>
      </c>
      <c r="AJ447" t="str">
        <f t="shared" si="26"/>
        <v>Invalid: Ship before Order</v>
      </c>
      <c r="AK447" t="e">
        <f t="shared" si="27"/>
        <v>#NUM!</v>
      </c>
    </row>
    <row r="448" spans="1:37">
      <c r="A448" t="s">
        <v>2195</v>
      </c>
      <c r="B448" t="s">
        <v>2196</v>
      </c>
      <c r="C448" t="s">
        <v>2197</v>
      </c>
      <c r="D448" t="s">
        <v>2198</v>
      </c>
      <c r="E448" t="s">
        <v>168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156</v>
      </c>
      <c r="L448" t="s">
        <v>2199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  <c r="V448" s="1" t="s">
        <v>168</v>
      </c>
      <c r="W448" s="1" t="s">
        <v>115</v>
      </c>
      <c r="X448" s="1" t="s">
        <v>62</v>
      </c>
      <c r="Y448" s="1" t="s">
        <v>100</v>
      </c>
      <c r="Z448" s="1" t="s">
        <v>101</v>
      </c>
      <c r="AA448" s="1" t="s">
        <v>30</v>
      </c>
      <c r="AB448" s="1" t="s">
        <v>156</v>
      </c>
      <c r="AC448" s="1" t="s">
        <v>48</v>
      </c>
      <c r="AD448" s="1" t="s">
        <v>34</v>
      </c>
      <c r="AE448" s="1" t="s">
        <v>35</v>
      </c>
      <c r="AF448" s="5" t="e">
        <f t="shared" si="24"/>
        <v>#N/A</v>
      </c>
      <c r="AG448" s="5" t="e">
        <f t="shared" si="24"/>
        <v>#N/A</v>
      </c>
      <c r="AH448" s="5" t="b">
        <f t="shared" si="25"/>
        <v>0</v>
      </c>
      <c r="AI448" s="5" t="b">
        <f t="shared" si="25"/>
        <v>0</v>
      </c>
      <c r="AJ448" t="e">
        <f t="shared" si="26"/>
        <v>#N/A</v>
      </c>
      <c r="AK448" t="e">
        <f t="shared" si="27"/>
        <v>#N/A</v>
      </c>
    </row>
    <row r="449" spans="1:37">
      <c r="A449" t="s">
        <v>2200</v>
      </c>
      <c r="B449" t="s">
        <v>944</v>
      </c>
      <c r="C449" t="s">
        <v>2201</v>
      </c>
      <c r="D449" t="s">
        <v>2202</v>
      </c>
      <c r="E449" t="s">
        <v>180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204</v>
      </c>
      <c r="L449" t="s">
        <v>2203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137</v>
      </c>
      <c r="U449" t="s">
        <v>125</v>
      </c>
      <c r="V449" s="1" t="s">
        <v>180</v>
      </c>
      <c r="W449" s="1" t="s">
        <v>115</v>
      </c>
      <c r="X449" s="1" t="s">
        <v>62</v>
      </c>
      <c r="Y449" s="1" t="s">
        <v>63</v>
      </c>
      <c r="Z449" s="1" t="s">
        <v>64</v>
      </c>
      <c r="AA449" s="1" t="s">
        <v>45</v>
      </c>
      <c r="AB449" s="1" t="s">
        <v>204</v>
      </c>
      <c r="AC449" s="1" t="s">
        <v>67</v>
      </c>
      <c r="AD449" s="1" t="s">
        <v>137</v>
      </c>
      <c r="AE449" s="1" t="s">
        <v>125</v>
      </c>
      <c r="AF449" s="5">
        <f t="shared" si="24"/>
        <v>45938</v>
      </c>
      <c r="AG449" s="5">
        <f t="shared" si="24"/>
        <v>45879</v>
      </c>
      <c r="AH449" s="5" t="b">
        <f t="shared" si="25"/>
        <v>1</v>
      </c>
      <c r="AI449" s="5" t="b">
        <f t="shared" si="25"/>
        <v>1</v>
      </c>
      <c r="AJ449" t="str">
        <f t="shared" si="26"/>
        <v>Invalid: Ship before Order</v>
      </c>
      <c r="AK449" t="e">
        <f t="shared" si="27"/>
        <v>#NUM!</v>
      </c>
    </row>
    <row r="450" spans="1:37">
      <c r="A450" t="s">
        <v>2204</v>
      </c>
      <c r="B450" t="s">
        <v>2205</v>
      </c>
      <c r="C450" t="s">
        <v>327</v>
      </c>
      <c r="D450" t="s">
        <v>2206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2207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  <c r="V450" s="1" t="s">
        <v>40</v>
      </c>
      <c r="W450" s="1" t="s">
        <v>41</v>
      </c>
      <c r="X450" s="1" t="s">
        <v>62</v>
      </c>
      <c r="Y450" s="1" t="s">
        <v>100</v>
      </c>
      <c r="Z450" s="1" t="s">
        <v>101</v>
      </c>
      <c r="AA450" s="1" t="s">
        <v>45</v>
      </c>
      <c r="AB450" s="1" t="s">
        <v>76</v>
      </c>
      <c r="AC450" s="1" t="s">
        <v>56</v>
      </c>
      <c r="AD450" s="1" t="s">
        <v>34</v>
      </c>
      <c r="AE450" s="1" t="s">
        <v>35</v>
      </c>
      <c r="AF450" s="5">
        <f t="shared" si="24"/>
        <v>45306</v>
      </c>
      <c r="AG450" s="5">
        <f t="shared" si="24"/>
        <v>45309</v>
      </c>
      <c r="AH450" s="5" t="b">
        <f t="shared" si="25"/>
        <v>1</v>
      </c>
      <c r="AI450" s="5" t="b">
        <f t="shared" si="25"/>
        <v>1</v>
      </c>
      <c r="AJ450" t="str">
        <f t="shared" si="26"/>
        <v>OK</v>
      </c>
      <c r="AK450">
        <f t="shared" si="27"/>
        <v>3</v>
      </c>
    </row>
    <row r="451" spans="1:37">
      <c r="A451" t="s">
        <v>2208</v>
      </c>
      <c r="B451" t="s">
        <v>2209</v>
      </c>
      <c r="C451" t="s">
        <v>2210</v>
      </c>
      <c r="D451" t="s">
        <v>2043</v>
      </c>
      <c r="E451" t="s">
        <v>107</v>
      </c>
      <c r="F451" t="s">
        <v>108</v>
      </c>
      <c r="G451" t="s">
        <v>42</v>
      </c>
      <c r="H451" t="s">
        <v>216</v>
      </c>
      <c r="I451" t="s">
        <v>217</v>
      </c>
      <c r="J451" t="s">
        <v>86</v>
      </c>
      <c r="K451" t="s">
        <v>382</v>
      </c>
      <c r="L451" t="s">
        <v>2211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  <c r="V451" s="1" t="s">
        <v>107</v>
      </c>
      <c r="W451" s="1" t="s">
        <v>108</v>
      </c>
      <c r="X451" s="1" t="s">
        <v>42</v>
      </c>
      <c r="Y451" s="1" t="s">
        <v>216</v>
      </c>
      <c r="Z451" s="1" t="s">
        <v>217</v>
      </c>
      <c r="AA451" s="1" t="s">
        <v>86</v>
      </c>
      <c r="AB451" s="1" t="s">
        <v>382</v>
      </c>
      <c r="AC451" s="1" t="s">
        <v>33</v>
      </c>
      <c r="AD451" s="1" t="s">
        <v>34</v>
      </c>
      <c r="AE451" s="1" t="s">
        <v>35</v>
      </c>
      <c r="AF451" s="5">
        <f t="shared" ref="AF451:AG514" si="28">IFERROR(DATEVALUE(B451),IFERROR(DATE(VALUE(RIGHT(B451,4)),VALUE(MID(SUBSTITUTE(B451,"-","/"),6,2)),VALUE(LEFT(B451,2))),NA()))</f>
        <v>45449</v>
      </c>
      <c r="AG451" s="5">
        <f t="shared" si="28"/>
        <v>45456</v>
      </c>
      <c r="AH451" s="5" t="b">
        <f t="shared" ref="AH451:AI514" si="29">ISNUMBER(AF451)</f>
        <v>1</v>
      </c>
      <c r="AI451" s="5" t="b">
        <f t="shared" si="29"/>
        <v>1</v>
      </c>
      <c r="AJ451" t="str">
        <f t="shared" ref="AJ451:AJ514" si="30">IF(AG451&lt;AF451,"Invalid: Ship before Order","OK")</f>
        <v>OK</v>
      </c>
      <c r="AK451">
        <f t="shared" ref="AK451:AK514" si="31">DATEDIF(AF451, AG451, "D")</f>
        <v>7</v>
      </c>
    </row>
    <row r="452" spans="1:37">
      <c r="A452" t="s">
        <v>2212</v>
      </c>
      <c r="B452" t="s">
        <v>2213</v>
      </c>
      <c r="C452" t="s">
        <v>1577</v>
      </c>
      <c r="D452" t="s">
        <v>2214</v>
      </c>
      <c r="E452" t="s">
        <v>72</v>
      </c>
      <c r="F452" t="s">
        <v>108</v>
      </c>
      <c r="G452" t="s">
        <v>27</v>
      </c>
      <c r="H452" t="s">
        <v>506</v>
      </c>
      <c r="I452" t="s">
        <v>507</v>
      </c>
      <c r="J452" t="s">
        <v>45</v>
      </c>
      <c r="K452" t="s">
        <v>76</v>
      </c>
      <c r="L452" t="s">
        <v>2215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  <c r="V452" s="1" t="s">
        <v>72</v>
      </c>
      <c r="W452" s="1" t="s">
        <v>108</v>
      </c>
      <c r="X452" s="1" t="s">
        <v>27</v>
      </c>
      <c r="Y452" s="1" t="s">
        <v>506</v>
      </c>
      <c r="Z452" s="1" t="s">
        <v>507</v>
      </c>
      <c r="AA452" s="1" t="s">
        <v>45</v>
      </c>
      <c r="AB452" s="1" t="s">
        <v>76</v>
      </c>
      <c r="AC452" s="1" t="s">
        <v>67</v>
      </c>
      <c r="AD452" s="1" t="s">
        <v>34</v>
      </c>
      <c r="AE452" s="1" t="s">
        <v>35</v>
      </c>
      <c r="AF452" s="5">
        <f t="shared" si="28"/>
        <v>45820</v>
      </c>
      <c r="AG452" s="5">
        <f t="shared" si="28"/>
        <v>45827</v>
      </c>
      <c r="AH452" s="5" t="b">
        <f t="shared" si="29"/>
        <v>1</v>
      </c>
      <c r="AI452" s="5" t="b">
        <f t="shared" si="29"/>
        <v>1</v>
      </c>
      <c r="AJ452" t="str">
        <f t="shared" si="30"/>
        <v>OK</v>
      </c>
      <c r="AK452">
        <f t="shared" si="31"/>
        <v>7</v>
      </c>
    </row>
    <row r="453" spans="1:37">
      <c r="A453" t="s">
        <v>2216</v>
      </c>
      <c r="B453" t="s">
        <v>2217</v>
      </c>
      <c r="C453" t="s">
        <v>2218</v>
      </c>
      <c r="D453" t="s">
        <v>2219</v>
      </c>
      <c r="E453" t="s">
        <v>180</v>
      </c>
      <c r="F453" t="s">
        <v>41</v>
      </c>
      <c r="G453" t="s">
        <v>27</v>
      </c>
      <c r="H453" t="s">
        <v>323</v>
      </c>
      <c r="I453" t="s">
        <v>324</v>
      </c>
      <c r="J453" t="s">
        <v>30</v>
      </c>
      <c r="K453" t="s">
        <v>31</v>
      </c>
      <c r="L453" t="s">
        <v>2220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  <c r="V453" s="1" t="s">
        <v>180</v>
      </c>
      <c r="W453" s="1" t="s">
        <v>41</v>
      </c>
      <c r="X453" s="1" t="s">
        <v>27</v>
      </c>
      <c r="Y453" s="1" t="s">
        <v>323</v>
      </c>
      <c r="Z453" s="1" t="s">
        <v>324</v>
      </c>
      <c r="AA453" s="1" t="s">
        <v>30</v>
      </c>
      <c r="AB453" s="1" t="s">
        <v>31</v>
      </c>
      <c r="AC453" s="1" t="s">
        <v>33</v>
      </c>
      <c r="AD453" s="1" t="s">
        <v>34</v>
      </c>
      <c r="AE453" s="1" t="s">
        <v>78</v>
      </c>
      <c r="AF453" s="5" t="e">
        <f t="shared" si="28"/>
        <v>#N/A</v>
      </c>
      <c r="AG453" s="5" t="e">
        <f t="shared" si="28"/>
        <v>#N/A</v>
      </c>
      <c r="AH453" s="5" t="b">
        <f t="shared" si="29"/>
        <v>0</v>
      </c>
      <c r="AI453" s="5" t="b">
        <f t="shared" si="29"/>
        <v>0</v>
      </c>
      <c r="AJ453" t="e">
        <f t="shared" si="30"/>
        <v>#N/A</v>
      </c>
      <c r="AK453" t="e">
        <f t="shared" si="31"/>
        <v>#N/A</v>
      </c>
    </row>
    <row r="454" spans="1:37">
      <c r="A454" t="s">
        <v>2221</v>
      </c>
      <c r="B454" t="s">
        <v>2222</v>
      </c>
      <c r="C454" t="s">
        <v>1375</v>
      </c>
      <c r="D454" t="s">
        <v>2223</v>
      </c>
      <c r="E454" t="s">
        <v>210</v>
      </c>
      <c r="F454" t="s">
        <v>115</v>
      </c>
      <c r="G454" t="s">
        <v>42</v>
      </c>
      <c r="H454" t="s">
        <v>311</v>
      </c>
      <c r="I454" t="s">
        <v>312</v>
      </c>
      <c r="J454" t="s">
        <v>86</v>
      </c>
      <c r="K454" t="s">
        <v>87</v>
      </c>
      <c r="L454" t="s">
        <v>2224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  <c r="V454" s="1" t="s">
        <v>210</v>
      </c>
      <c r="W454" s="1" t="s">
        <v>115</v>
      </c>
      <c r="X454" s="1" t="s">
        <v>42</v>
      </c>
      <c r="Y454" s="1" t="s">
        <v>311</v>
      </c>
      <c r="Z454" s="1" t="s">
        <v>312</v>
      </c>
      <c r="AA454" s="1" t="s">
        <v>86</v>
      </c>
      <c r="AB454" s="1" t="s">
        <v>87</v>
      </c>
      <c r="AC454" s="1" t="s">
        <v>33</v>
      </c>
      <c r="AD454" s="1" t="s">
        <v>34</v>
      </c>
      <c r="AE454" s="1" t="s">
        <v>35</v>
      </c>
      <c r="AF454" s="5">
        <f t="shared" si="28"/>
        <v>45570</v>
      </c>
      <c r="AG454" s="5" t="e">
        <f t="shared" si="28"/>
        <v>#N/A</v>
      </c>
      <c r="AH454" s="5" t="b">
        <f t="shared" si="29"/>
        <v>1</v>
      </c>
      <c r="AI454" s="5" t="b">
        <f t="shared" si="29"/>
        <v>0</v>
      </c>
      <c r="AJ454" t="e">
        <f t="shared" si="30"/>
        <v>#N/A</v>
      </c>
      <c r="AK454" t="e">
        <f t="shared" si="31"/>
        <v>#N/A</v>
      </c>
    </row>
    <row r="455" spans="1:37">
      <c r="A455" t="s">
        <v>2225</v>
      </c>
      <c r="B455" t="s">
        <v>2226</v>
      </c>
      <c r="C455" t="s">
        <v>2227</v>
      </c>
      <c r="D455" t="s">
        <v>2228</v>
      </c>
      <c r="E455" t="s">
        <v>180</v>
      </c>
      <c r="F455" t="s">
        <v>41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2229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  <c r="V455" s="1" t="s">
        <v>180</v>
      </c>
      <c r="W455" s="1" t="s">
        <v>41</v>
      </c>
      <c r="X455" s="1" t="s">
        <v>73</v>
      </c>
      <c r="Y455" s="1" t="s">
        <v>84</v>
      </c>
      <c r="Z455" s="1" t="s">
        <v>85</v>
      </c>
      <c r="AA455" s="1" t="s">
        <v>30</v>
      </c>
      <c r="AB455" s="1" t="s">
        <v>109</v>
      </c>
      <c r="AC455" s="1" t="s">
        <v>48</v>
      </c>
      <c r="AD455" s="1" t="s">
        <v>34</v>
      </c>
      <c r="AE455" s="1" t="s">
        <v>35</v>
      </c>
      <c r="AF455" s="5">
        <f t="shared" si="28"/>
        <v>45780</v>
      </c>
      <c r="AG455" s="5">
        <f t="shared" si="28"/>
        <v>45788</v>
      </c>
      <c r="AH455" s="5" t="b">
        <f t="shared" si="29"/>
        <v>1</v>
      </c>
      <c r="AI455" s="5" t="b">
        <f t="shared" si="29"/>
        <v>1</v>
      </c>
      <c r="AJ455" t="str">
        <f t="shared" si="30"/>
        <v>OK</v>
      </c>
      <c r="AK455">
        <f t="shared" si="31"/>
        <v>8</v>
      </c>
    </row>
    <row r="456" spans="1:37">
      <c r="A456" t="s">
        <v>2230</v>
      </c>
      <c r="B456" t="s">
        <v>2231</v>
      </c>
      <c r="C456" t="s">
        <v>2232</v>
      </c>
      <c r="D456" t="s">
        <v>2233</v>
      </c>
      <c r="E456" t="s">
        <v>83</v>
      </c>
      <c r="F456" t="s">
        <v>41</v>
      </c>
      <c r="G456" t="s">
        <v>27</v>
      </c>
      <c r="H456" t="s">
        <v>28</v>
      </c>
      <c r="I456" t="s">
        <v>29</v>
      </c>
      <c r="J456" t="s">
        <v>45</v>
      </c>
      <c r="K456" t="s">
        <v>65</v>
      </c>
      <c r="L456" t="s">
        <v>2234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  <c r="V456" s="1" t="s">
        <v>83</v>
      </c>
      <c r="W456" s="1" t="s">
        <v>41</v>
      </c>
      <c r="X456" s="1" t="s">
        <v>27</v>
      </c>
      <c r="Y456" s="1" t="s">
        <v>28</v>
      </c>
      <c r="Z456" s="1" t="s">
        <v>29</v>
      </c>
      <c r="AA456" s="1" t="s">
        <v>45</v>
      </c>
      <c r="AB456" s="1" t="s">
        <v>65</v>
      </c>
      <c r="AC456" s="1" t="s">
        <v>67</v>
      </c>
      <c r="AD456" s="1" t="s">
        <v>34</v>
      </c>
      <c r="AE456" s="1" t="s">
        <v>35</v>
      </c>
      <c r="AF456" s="5">
        <f t="shared" si="28"/>
        <v>45739</v>
      </c>
      <c r="AG456" s="5" t="e">
        <f t="shared" si="28"/>
        <v>#N/A</v>
      </c>
      <c r="AH456" s="5" t="b">
        <f t="shared" si="29"/>
        <v>1</v>
      </c>
      <c r="AI456" s="5" t="b">
        <f t="shared" si="29"/>
        <v>0</v>
      </c>
      <c r="AJ456" t="e">
        <f t="shared" si="30"/>
        <v>#N/A</v>
      </c>
      <c r="AK456" t="e">
        <f t="shared" si="31"/>
        <v>#N/A</v>
      </c>
    </row>
    <row r="457" spans="1:37">
      <c r="A457" t="s">
        <v>2235</v>
      </c>
      <c r="B457" t="s">
        <v>2236</v>
      </c>
      <c r="C457" t="s">
        <v>2237</v>
      </c>
      <c r="D457" t="s">
        <v>2238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2239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  <c r="V457" s="1" t="s">
        <v>93</v>
      </c>
      <c r="W457" s="1" t="s">
        <v>41</v>
      </c>
      <c r="X457" s="1" t="s">
        <v>62</v>
      </c>
      <c r="Y457" s="1" t="s">
        <v>63</v>
      </c>
      <c r="Z457" s="1" t="s">
        <v>64</v>
      </c>
      <c r="AA457" s="1" t="s">
        <v>30</v>
      </c>
      <c r="AB457" s="1" t="s">
        <v>54</v>
      </c>
      <c r="AC457" s="1" t="s">
        <v>67</v>
      </c>
      <c r="AD457" s="1" t="s">
        <v>34</v>
      </c>
      <c r="AE457" s="1" t="s">
        <v>35</v>
      </c>
      <c r="AF457" s="5">
        <f t="shared" si="28"/>
        <v>45491</v>
      </c>
      <c r="AG457" s="5" t="e">
        <f t="shared" si="28"/>
        <v>#N/A</v>
      </c>
      <c r="AH457" s="5" t="b">
        <f t="shared" si="29"/>
        <v>1</v>
      </c>
      <c r="AI457" s="5" t="b">
        <f t="shared" si="29"/>
        <v>0</v>
      </c>
      <c r="AJ457" t="e">
        <f t="shared" si="30"/>
        <v>#N/A</v>
      </c>
      <c r="AK457" t="e">
        <f t="shared" si="31"/>
        <v>#N/A</v>
      </c>
    </row>
    <row r="458" spans="1:37">
      <c r="A458" t="s">
        <v>2240</v>
      </c>
      <c r="B458" t="s">
        <v>2088</v>
      </c>
      <c r="C458" t="s">
        <v>2088</v>
      </c>
      <c r="D458" t="s">
        <v>2241</v>
      </c>
      <c r="E458" t="s">
        <v>93</v>
      </c>
      <c r="F458" t="s">
        <v>108</v>
      </c>
      <c r="G458" t="s">
        <v>27</v>
      </c>
      <c r="H458" t="s">
        <v>174</v>
      </c>
      <c r="I458" t="s">
        <v>175</v>
      </c>
      <c r="J458" t="s">
        <v>86</v>
      </c>
      <c r="K458" t="s">
        <v>87</v>
      </c>
      <c r="L458" t="s">
        <v>2242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  <c r="V458" s="1" t="s">
        <v>93</v>
      </c>
      <c r="W458" s="1" t="s">
        <v>108</v>
      </c>
      <c r="X458" s="1" t="s">
        <v>27</v>
      </c>
      <c r="Y458" s="1" t="s">
        <v>174</v>
      </c>
      <c r="Z458" s="1" t="s">
        <v>175</v>
      </c>
      <c r="AA458" s="1" t="s">
        <v>86</v>
      </c>
      <c r="AB458" s="1" t="s">
        <v>87</v>
      </c>
      <c r="AC458" s="1" t="s">
        <v>48</v>
      </c>
      <c r="AD458" s="1" t="s">
        <v>34</v>
      </c>
      <c r="AE458" s="1" t="s">
        <v>125</v>
      </c>
      <c r="AF458" s="5">
        <f t="shared" si="28"/>
        <v>45342</v>
      </c>
      <c r="AG458" s="5">
        <f t="shared" si="28"/>
        <v>45342</v>
      </c>
      <c r="AH458" s="5" t="b">
        <f t="shared" si="29"/>
        <v>1</v>
      </c>
      <c r="AI458" s="5" t="b">
        <f t="shared" si="29"/>
        <v>1</v>
      </c>
      <c r="AJ458" t="str">
        <f t="shared" si="30"/>
        <v>OK</v>
      </c>
      <c r="AK458">
        <f t="shared" si="31"/>
        <v>0</v>
      </c>
    </row>
    <row r="459" spans="1:37">
      <c r="A459" t="s">
        <v>2243</v>
      </c>
      <c r="B459" t="s">
        <v>2244</v>
      </c>
      <c r="C459" t="s">
        <v>2245</v>
      </c>
      <c r="D459" t="s">
        <v>2246</v>
      </c>
      <c r="E459" t="s">
        <v>40</v>
      </c>
      <c r="F459" t="s">
        <v>41</v>
      </c>
      <c r="G459" t="s">
        <v>73</v>
      </c>
      <c r="H459" t="s">
        <v>249</v>
      </c>
      <c r="I459" t="s">
        <v>250</v>
      </c>
      <c r="J459" t="s">
        <v>45</v>
      </c>
      <c r="K459" t="s">
        <v>46</v>
      </c>
      <c r="L459" t="s">
        <v>2247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  <c r="V459" s="1" t="s">
        <v>40</v>
      </c>
      <c r="W459" s="1" t="s">
        <v>41</v>
      </c>
      <c r="X459" s="1" t="s">
        <v>73</v>
      </c>
      <c r="Y459" s="1" t="s">
        <v>249</v>
      </c>
      <c r="Z459" s="1" t="s">
        <v>250</v>
      </c>
      <c r="AA459" s="1" t="s">
        <v>45</v>
      </c>
      <c r="AB459" s="1" t="s">
        <v>46</v>
      </c>
      <c r="AC459" s="1" t="s">
        <v>67</v>
      </c>
      <c r="AD459" s="1" t="s">
        <v>34</v>
      </c>
      <c r="AE459" s="1" t="s">
        <v>35</v>
      </c>
      <c r="AF459" s="5">
        <f t="shared" si="28"/>
        <v>45416</v>
      </c>
      <c r="AG459" s="5">
        <f t="shared" si="28"/>
        <v>45416</v>
      </c>
      <c r="AH459" s="5" t="b">
        <f t="shared" si="29"/>
        <v>1</v>
      </c>
      <c r="AI459" s="5" t="b">
        <f t="shared" si="29"/>
        <v>1</v>
      </c>
      <c r="AJ459" t="str">
        <f t="shared" si="30"/>
        <v>OK</v>
      </c>
      <c r="AK459">
        <f t="shared" si="31"/>
        <v>0</v>
      </c>
    </row>
    <row r="460" spans="1:37">
      <c r="A460" t="s">
        <v>2248</v>
      </c>
      <c r="B460" t="s">
        <v>2249</v>
      </c>
      <c r="C460" t="s">
        <v>860</v>
      </c>
      <c r="D460" t="s">
        <v>2250</v>
      </c>
      <c r="E460" t="s">
        <v>25</v>
      </c>
      <c r="F460" t="s">
        <v>108</v>
      </c>
      <c r="G460" t="s">
        <v>27</v>
      </c>
      <c r="H460" t="s">
        <v>28</v>
      </c>
      <c r="I460" t="s">
        <v>29</v>
      </c>
      <c r="J460" t="s">
        <v>86</v>
      </c>
      <c r="K460" t="s">
        <v>223</v>
      </c>
      <c r="L460" t="s">
        <v>2251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  <c r="V460" s="1" t="s">
        <v>25</v>
      </c>
      <c r="W460" s="1" t="s">
        <v>108</v>
      </c>
      <c r="X460" s="1" t="s">
        <v>27</v>
      </c>
      <c r="Y460" s="1" t="s">
        <v>28</v>
      </c>
      <c r="Z460" s="1" t="s">
        <v>29</v>
      </c>
      <c r="AA460" s="1" t="s">
        <v>86</v>
      </c>
      <c r="AB460" s="1" t="s">
        <v>223</v>
      </c>
      <c r="AC460" s="1" t="s">
        <v>33</v>
      </c>
      <c r="AD460" s="1" t="s">
        <v>34</v>
      </c>
      <c r="AE460" s="1" t="s">
        <v>35</v>
      </c>
      <c r="AF460" s="5">
        <f t="shared" si="28"/>
        <v>45332</v>
      </c>
      <c r="AG460" s="5">
        <f t="shared" si="28"/>
        <v>45333</v>
      </c>
      <c r="AH460" s="5" t="b">
        <f t="shared" si="29"/>
        <v>1</v>
      </c>
      <c r="AI460" s="5" t="b">
        <f t="shared" si="29"/>
        <v>1</v>
      </c>
      <c r="AJ460" t="str">
        <f t="shared" si="30"/>
        <v>OK</v>
      </c>
      <c r="AK460">
        <f t="shared" si="31"/>
        <v>1</v>
      </c>
    </row>
    <row r="461" spans="1:37">
      <c r="A461" t="s">
        <v>2252</v>
      </c>
      <c r="B461" t="s">
        <v>2253</v>
      </c>
      <c r="C461" t="s">
        <v>2183</v>
      </c>
      <c r="D461" t="s">
        <v>2254</v>
      </c>
      <c r="E461" t="s">
        <v>72</v>
      </c>
      <c r="F461" t="s">
        <v>115</v>
      </c>
      <c r="G461" t="s">
        <v>73</v>
      </c>
      <c r="H461" t="s">
        <v>249</v>
      </c>
      <c r="I461" t="s">
        <v>250</v>
      </c>
      <c r="J461" t="s">
        <v>30</v>
      </c>
      <c r="K461" t="s">
        <v>31</v>
      </c>
      <c r="L461" t="s">
        <v>2255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  <c r="V461" s="1" t="s">
        <v>72</v>
      </c>
      <c r="W461" s="1" t="s">
        <v>115</v>
      </c>
      <c r="X461" s="1" t="s">
        <v>73</v>
      </c>
      <c r="Y461" s="1" t="s">
        <v>249</v>
      </c>
      <c r="Z461" s="1" t="s">
        <v>250</v>
      </c>
      <c r="AA461" s="1" t="s">
        <v>30</v>
      </c>
      <c r="AB461" s="1" t="s">
        <v>31</v>
      </c>
      <c r="AC461" s="1" t="s">
        <v>56</v>
      </c>
      <c r="AD461" s="1" t="s">
        <v>34</v>
      </c>
      <c r="AE461" s="1" t="s">
        <v>35</v>
      </c>
      <c r="AF461" s="5">
        <f t="shared" si="28"/>
        <v>45379</v>
      </c>
      <c r="AG461" s="5">
        <f t="shared" si="28"/>
        <v>45386</v>
      </c>
      <c r="AH461" s="5" t="b">
        <f t="shared" si="29"/>
        <v>1</v>
      </c>
      <c r="AI461" s="5" t="b">
        <f t="shared" si="29"/>
        <v>1</v>
      </c>
      <c r="AJ461" t="str">
        <f t="shared" si="30"/>
        <v>OK</v>
      </c>
      <c r="AK461">
        <f t="shared" si="31"/>
        <v>7</v>
      </c>
    </row>
    <row r="462" spans="1:37">
      <c r="A462" t="s">
        <v>2256</v>
      </c>
      <c r="B462" t="s">
        <v>2257</v>
      </c>
      <c r="C462" t="s">
        <v>2258</v>
      </c>
      <c r="D462" t="s">
        <v>2259</v>
      </c>
      <c r="E462" t="s">
        <v>162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2260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  <c r="V462" s="1" t="s">
        <v>162</v>
      </c>
      <c r="W462" s="1" t="s">
        <v>108</v>
      </c>
      <c r="X462" s="1" t="s">
        <v>4119</v>
      </c>
      <c r="Y462" s="1" t="s">
        <v>28</v>
      </c>
      <c r="Z462" s="1" t="s">
        <v>29</v>
      </c>
      <c r="AA462" s="1" t="s">
        <v>86</v>
      </c>
      <c r="AB462" s="1" t="s">
        <v>94</v>
      </c>
      <c r="AC462" s="1" t="s">
        <v>33</v>
      </c>
      <c r="AD462" s="1" t="s">
        <v>34</v>
      </c>
      <c r="AE462" s="1" t="s">
        <v>35</v>
      </c>
      <c r="AF462" s="5">
        <f t="shared" si="28"/>
        <v>45930</v>
      </c>
      <c r="AG462" s="5">
        <f t="shared" si="28"/>
        <v>45936</v>
      </c>
      <c r="AH462" s="5" t="b">
        <f t="shared" si="29"/>
        <v>1</v>
      </c>
      <c r="AI462" s="5" t="b">
        <f t="shared" si="29"/>
        <v>1</v>
      </c>
      <c r="AJ462" t="str">
        <f t="shared" si="30"/>
        <v>OK</v>
      </c>
      <c r="AK462">
        <f t="shared" si="31"/>
        <v>6</v>
      </c>
    </row>
    <row r="463" spans="1:37">
      <c r="A463" t="s">
        <v>2261</v>
      </c>
      <c r="B463" t="s">
        <v>2262</v>
      </c>
      <c r="C463" t="s">
        <v>1522</v>
      </c>
      <c r="D463" t="s">
        <v>2263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2264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  <c r="V463" s="1" t="s">
        <v>93</v>
      </c>
      <c r="W463" s="1" t="s">
        <v>108</v>
      </c>
      <c r="X463" s="1" t="s">
        <v>62</v>
      </c>
      <c r="Y463" s="1" t="s">
        <v>100</v>
      </c>
      <c r="Z463" s="1" t="s">
        <v>101</v>
      </c>
      <c r="AA463" s="1" t="s">
        <v>30</v>
      </c>
      <c r="AB463" s="1" t="s">
        <v>31</v>
      </c>
      <c r="AC463" s="1" t="s">
        <v>67</v>
      </c>
      <c r="AD463" s="1" t="s">
        <v>34</v>
      </c>
      <c r="AE463" s="1" t="s">
        <v>35</v>
      </c>
      <c r="AF463" s="5">
        <f t="shared" si="28"/>
        <v>45802</v>
      </c>
      <c r="AG463" s="5">
        <f t="shared" si="28"/>
        <v>45803</v>
      </c>
      <c r="AH463" s="5" t="b">
        <f t="shared" si="29"/>
        <v>1</v>
      </c>
      <c r="AI463" s="5" t="b">
        <f t="shared" si="29"/>
        <v>1</v>
      </c>
      <c r="AJ463" t="str">
        <f t="shared" si="30"/>
        <v>OK</v>
      </c>
      <c r="AK463">
        <f t="shared" si="31"/>
        <v>1</v>
      </c>
    </row>
    <row r="464" spans="1:37">
      <c r="A464" t="s">
        <v>2265</v>
      </c>
      <c r="B464" t="s">
        <v>2008</v>
      </c>
      <c r="C464" t="s">
        <v>2266</v>
      </c>
      <c r="D464" t="s">
        <v>2267</v>
      </c>
      <c r="E464" t="s">
        <v>162</v>
      </c>
      <c r="F464" t="s">
        <v>115</v>
      </c>
      <c r="G464" t="s">
        <v>27</v>
      </c>
      <c r="H464" t="s">
        <v>506</v>
      </c>
      <c r="I464" t="s">
        <v>507</v>
      </c>
      <c r="J464" t="s">
        <v>30</v>
      </c>
      <c r="K464" t="s">
        <v>198</v>
      </c>
      <c r="L464" t="s">
        <v>2268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  <c r="V464" s="1" t="s">
        <v>162</v>
      </c>
      <c r="W464" s="1" t="s">
        <v>115</v>
      </c>
      <c r="X464" s="1" t="s">
        <v>27</v>
      </c>
      <c r="Y464" s="1" t="s">
        <v>506</v>
      </c>
      <c r="Z464" s="1" t="s">
        <v>507</v>
      </c>
      <c r="AA464" s="1" t="s">
        <v>30</v>
      </c>
      <c r="AB464" s="1" t="s">
        <v>198</v>
      </c>
      <c r="AC464" s="1" t="s">
        <v>56</v>
      </c>
      <c r="AD464" s="1" t="s">
        <v>34</v>
      </c>
      <c r="AE464" s="1" t="s">
        <v>35</v>
      </c>
      <c r="AF464" s="5">
        <f t="shared" si="28"/>
        <v>45558</v>
      </c>
      <c r="AG464" s="5" t="e">
        <f t="shared" si="28"/>
        <v>#N/A</v>
      </c>
      <c r="AH464" s="5" t="b">
        <f t="shared" si="29"/>
        <v>1</v>
      </c>
      <c r="AI464" s="5" t="b">
        <f t="shared" si="29"/>
        <v>0</v>
      </c>
      <c r="AJ464" t="e">
        <f t="shared" si="30"/>
        <v>#N/A</v>
      </c>
      <c r="AK464" t="e">
        <f t="shared" si="31"/>
        <v>#N/A</v>
      </c>
    </row>
    <row r="465" spans="1:37">
      <c r="A465" t="s">
        <v>2269</v>
      </c>
      <c r="B465" t="s">
        <v>441</v>
      </c>
      <c r="C465" t="s">
        <v>2270</v>
      </c>
      <c r="D465" t="s">
        <v>2271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223</v>
      </c>
      <c r="L465" t="s">
        <v>2272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  <c r="V465" s="1" t="s">
        <v>61</v>
      </c>
      <c r="W465" s="1" t="s">
        <v>108</v>
      </c>
      <c r="X465" s="1" t="s">
        <v>73</v>
      </c>
      <c r="Y465" s="1" t="s">
        <v>84</v>
      </c>
      <c r="Z465" s="1" t="s">
        <v>85</v>
      </c>
      <c r="AA465" s="1" t="s">
        <v>86</v>
      </c>
      <c r="AB465" s="1" t="s">
        <v>223</v>
      </c>
      <c r="AC465" s="1" t="s">
        <v>67</v>
      </c>
      <c r="AD465" s="1" t="s">
        <v>34</v>
      </c>
      <c r="AE465" s="1" t="s">
        <v>35</v>
      </c>
      <c r="AF465" s="5">
        <f t="shared" si="28"/>
        <v>45840</v>
      </c>
      <c r="AG465" s="5">
        <f t="shared" si="28"/>
        <v>45696</v>
      </c>
      <c r="AH465" s="5" t="b">
        <f t="shared" si="29"/>
        <v>1</v>
      </c>
      <c r="AI465" s="5" t="b">
        <f t="shared" si="29"/>
        <v>1</v>
      </c>
      <c r="AJ465" t="str">
        <f t="shared" si="30"/>
        <v>Invalid: Ship before Order</v>
      </c>
      <c r="AK465" t="e">
        <f t="shared" si="31"/>
        <v>#NUM!</v>
      </c>
    </row>
    <row r="466" spans="1:37">
      <c r="A466" t="s">
        <v>2273</v>
      </c>
      <c r="B466" t="s">
        <v>2274</v>
      </c>
      <c r="C466" t="s">
        <v>2275</v>
      </c>
      <c r="D466" t="s">
        <v>2276</v>
      </c>
      <c r="E466" t="s">
        <v>61</v>
      </c>
      <c r="F466" t="s">
        <v>108</v>
      </c>
      <c r="G466" t="s">
        <v>42</v>
      </c>
      <c r="H466" t="s">
        <v>186</v>
      </c>
      <c r="I466" t="s">
        <v>187</v>
      </c>
      <c r="J466" t="s">
        <v>30</v>
      </c>
      <c r="K466" t="s">
        <v>31</v>
      </c>
      <c r="L466" t="s">
        <v>2277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137</v>
      </c>
      <c r="U466" t="s">
        <v>78</v>
      </c>
      <c r="V466" s="1" t="s">
        <v>61</v>
      </c>
      <c r="W466" s="1" t="s">
        <v>108</v>
      </c>
      <c r="X466" s="1" t="s">
        <v>42</v>
      </c>
      <c r="Y466" s="1" t="s">
        <v>186</v>
      </c>
      <c r="Z466" s="1" t="s">
        <v>187</v>
      </c>
      <c r="AA466" s="1" t="s">
        <v>30</v>
      </c>
      <c r="AB466" s="1" t="s">
        <v>31</v>
      </c>
      <c r="AC466" s="1" t="s">
        <v>48</v>
      </c>
      <c r="AD466" s="1" t="s">
        <v>137</v>
      </c>
      <c r="AE466" s="1" t="s">
        <v>78</v>
      </c>
      <c r="AF466" s="5">
        <f t="shared" si="28"/>
        <v>45964</v>
      </c>
      <c r="AG466" s="5">
        <f t="shared" si="28"/>
        <v>45731</v>
      </c>
      <c r="AH466" s="5" t="b">
        <f t="shared" si="29"/>
        <v>1</v>
      </c>
      <c r="AI466" s="5" t="b">
        <f t="shared" si="29"/>
        <v>1</v>
      </c>
      <c r="AJ466" t="str">
        <f t="shared" si="30"/>
        <v>Invalid: Ship before Order</v>
      </c>
      <c r="AK466" t="e">
        <f t="shared" si="31"/>
        <v>#NUM!</v>
      </c>
    </row>
    <row r="467" spans="1:37">
      <c r="A467" t="s">
        <v>2278</v>
      </c>
      <c r="B467" t="s">
        <v>2279</v>
      </c>
      <c r="C467" t="s">
        <v>2280</v>
      </c>
      <c r="D467" t="s">
        <v>2281</v>
      </c>
      <c r="E467" t="s">
        <v>162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2282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  <c r="V467" s="1" t="s">
        <v>162</v>
      </c>
      <c r="W467" s="1" t="s">
        <v>41</v>
      </c>
      <c r="X467" s="1" t="s">
        <v>73</v>
      </c>
      <c r="Y467" s="1" t="s">
        <v>84</v>
      </c>
      <c r="Z467" s="1" t="s">
        <v>85</v>
      </c>
      <c r="AA467" s="1" t="s">
        <v>30</v>
      </c>
      <c r="AB467" s="1" t="s">
        <v>109</v>
      </c>
      <c r="AC467" s="1" t="s">
        <v>67</v>
      </c>
      <c r="AD467" s="1" t="s">
        <v>34</v>
      </c>
      <c r="AE467" s="1" t="s">
        <v>35</v>
      </c>
      <c r="AF467" s="5" t="e">
        <f t="shared" si="28"/>
        <v>#N/A</v>
      </c>
      <c r="AG467" s="5">
        <f t="shared" si="28"/>
        <v>45328</v>
      </c>
      <c r="AH467" s="5" t="b">
        <f t="shared" si="29"/>
        <v>0</v>
      </c>
      <c r="AI467" s="5" t="b">
        <f t="shared" si="29"/>
        <v>1</v>
      </c>
      <c r="AJ467" t="e">
        <f t="shared" si="30"/>
        <v>#N/A</v>
      </c>
      <c r="AK467" t="e">
        <f t="shared" si="31"/>
        <v>#N/A</v>
      </c>
    </row>
    <row r="468" spans="1:37">
      <c r="A468" t="s">
        <v>2283</v>
      </c>
      <c r="B468" t="s">
        <v>2284</v>
      </c>
      <c r="C468" t="s">
        <v>2285</v>
      </c>
      <c r="D468" t="s">
        <v>2286</v>
      </c>
      <c r="E468" t="s">
        <v>40</v>
      </c>
      <c r="F468" t="s">
        <v>41</v>
      </c>
      <c r="G468" t="s">
        <v>42</v>
      </c>
      <c r="H468" t="s">
        <v>186</v>
      </c>
      <c r="I468" t="s">
        <v>187</v>
      </c>
      <c r="J468" t="s">
        <v>86</v>
      </c>
      <c r="K468" t="s">
        <v>87</v>
      </c>
      <c r="L468" t="s">
        <v>2287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  <c r="V468" s="1" t="s">
        <v>40</v>
      </c>
      <c r="W468" s="1" t="s">
        <v>41</v>
      </c>
      <c r="X468" s="1" t="s">
        <v>42</v>
      </c>
      <c r="Y468" s="1" t="s">
        <v>186</v>
      </c>
      <c r="Z468" s="1" t="s">
        <v>187</v>
      </c>
      <c r="AA468" s="1" t="s">
        <v>86</v>
      </c>
      <c r="AB468" s="1" t="s">
        <v>87</v>
      </c>
      <c r="AC468" s="1" t="s">
        <v>48</v>
      </c>
      <c r="AD468" s="1" t="s">
        <v>34</v>
      </c>
      <c r="AE468" s="1" t="s">
        <v>35</v>
      </c>
      <c r="AF468" s="5">
        <f t="shared" si="28"/>
        <v>45383</v>
      </c>
      <c r="AG468" s="5">
        <f t="shared" si="28"/>
        <v>45299</v>
      </c>
      <c r="AH468" s="5" t="b">
        <f t="shared" si="29"/>
        <v>1</v>
      </c>
      <c r="AI468" s="5" t="b">
        <f t="shared" si="29"/>
        <v>1</v>
      </c>
      <c r="AJ468" t="str">
        <f t="shared" si="30"/>
        <v>Invalid: Ship before Order</v>
      </c>
      <c r="AK468" t="e">
        <f t="shared" si="31"/>
        <v>#NUM!</v>
      </c>
    </row>
    <row r="469" spans="1:37">
      <c r="A469" t="s">
        <v>2288</v>
      </c>
      <c r="B469" t="s">
        <v>2289</v>
      </c>
      <c r="C469" t="s">
        <v>1626</v>
      </c>
      <c r="D469" t="s">
        <v>2290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2291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  <c r="V469" s="1" t="s">
        <v>107</v>
      </c>
      <c r="W469" s="1" t="s">
        <v>108</v>
      </c>
      <c r="X469" s="1" t="s">
        <v>42</v>
      </c>
      <c r="Y469" s="1" t="s">
        <v>43</v>
      </c>
      <c r="Z469" s="1" t="s">
        <v>44</v>
      </c>
      <c r="AA469" s="1" t="s">
        <v>86</v>
      </c>
      <c r="AB469" s="1" t="s">
        <v>94</v>
      </c>
      <c r="AC469" s="1" t="s">
        <v>56</v>
      </c>
      <c r="AD469" s="1" t="s">
        <v>124</v>
      </c>
      <c r="AE469" s="1" t="s">
        <v>78</v>
      </c>
      <c r="AF469" s="5" t="e">
        <f t="shared" si="28"/>
        <v>#N/A</v>
      </c>
      <c r="AG469" s="5">
        <f t="shared" si="28"/>
        <v>45525</v>
      </c>
      <c r="AH469" s="5" t="b">
        <f t="shared" si="29"/>
        <v>0</v>
      </c>
      <c r="AI469" s="5" t="b">
        <f t="shared" si="29"/>
        <v>1</v>
      </c>
      <c r="AJ469" t="e">
        <f t="shared" si="30"/>
        <v>#N/A</v>
      </c>
      <c r="AK469" t="e">
        <f t="shared" si="31"/>
        <v>#N/A</v>
      </c>
    </row>
    <row r="470" spans="1:37">
      <c r="A470" t="s">
        <v>2292</v>
      </c>
      <c r="B470" t="s">
        <v>2293</v>
      </c>
      <c r="C470" t="s">
        <v>2294</v>
      </c>
      <c r="D470" t="s">
        <v>2295</v>
      </c>
      <c r="E470" t="s">
        <v>162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198</v>
      </c>
      <c r="L470" t="s">
        <v>2296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  <c r="V470" s="1" t="s">
        <v>162</v>
      </c>
      <c r="W470" s="1" t="s">
        <v>115</v>
      </c>
      <c r="X470" s="1" t="s">
        <v>42</v>
      </c>
      <c r="Y470" s="1" t="s">
        <v>121</v>
      </c>
      <c r="Z470" s="1" t="s">
        <v>122</v>
      </c>
      <c r="AA470" s="1" t="s">
        <v>30</v>
      </c>
      <c r="AB470" s="1" t="s">
        <v>198</v>
      </c>
      <c r="AC470" s="1" t="s">
        <v>33</v>
      </c>
      <c r="AD470" s="1" t="s">
        <v>34</v>
      </c>
      <c r="AE470" s="1" t="s">
        <v>35</v>
      </c>
      <c r="AF470" s="5">
        <f t="shared" si="28"/>
        <v>45666</v>
      </c>
      <c r="AG470" s="5">
        <f t="shared" si="28"/>
        <v>45664</v>
      </c>
      <c r="AH470" s="5" t="b">
        <f t="shared" si="29"/>
        <v>1</v>
      </c>
      <c r="AI470" s="5" t="b">
        <f t="shared" si="29"/>
        <v>1</v>
      </c>
      <c r="AJ470" t="str">
        <f t="shared" si="30"/>
        <v>Invalid: Ship before Order</v>
      </c>
      <c r="AK470" t="e">
        <f t="shared" si="31"/>
        <v>#NUM!</v>
      </c>
    </row>
    <row r="471" spans="1:37">
      <c r="A471" t="s">
        <v>2297</v>
      </c>
      <c r="B471" t="s">
        <v>2298</v>
      </c>
      <c r="C471" t="s">
        <v>2051</v>
      </c>
      <c r="D471" t="s">
        <v>2299</v>
      </c>
      <c r="E471" t="s">
        <v>107</v>
      </c>
      <c r="F471" t="s">
        <v>108</v>
      </c>
      <c r="G471" t="s">
        <v>73</v>
      </c>
      <c r="H471" t="s">
        <v>249</v>
      </c>
      <c r="I471" t="s">
        <v>250</v>
      </c>
      <c r="J471" t="s">
        <v>86</v>
      </c>
      <c r="K471" t="s">
        <v>94</v>
      </c>
      <c r="L471" t="s">
        <v>2300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  <c r="V471" s="1" t="s">
        <v>107</v>
      </c>
      <c r="W471" s="1" t="s">
        <v>108</v>
      </c>
      <c r="X471" s="1" t="s">
        <v>73</v>
      </c>
      <c r="Y471" s="1" t="s">
        <v>249</v>
      </c>
      <c r="Z471" s="1" t="s">
        <v>250</v>
      </c>
      <c r="AA471" s="1" t="s">
        <v>86</v>
      </c>
      <c r="AB471" s="1" t="s">
        <v>94</v>
      </c>
      <c r="AC471" s="1" t="s">
        <v>56</v>
      </c>
      <c r="AD471" s="1" t="s">
        <v>34</v>
      </c>
      <c r="AE471" s="1" t="s">
        <v>35</v>
      </c>
      <c r="AF471" s="5">
        <f t="shared" si="28"/>
        <v>45310</v>
      </c>
      <c r="AG471" s="5">
        <f t="shared" si="28"/>
        <v>45316</v>
      </c>
      <c r="AH471" s="5" t="b">
        <f t="shared" si="29"/>
        <v>1</v>
      </c>
      <c r="AI471" s="5" t="b">
        <f t="shared" si="29"/>
        <v>1</v>
      </c>
      <c r="AJ471" t="str">
        <f t="shared" si="30"/>
        <v>OK</v>
      </c>
      <c r="AK471">
        <f t="shared" si="31"/>
        <v>6</v>
      </c>
    </row>
    <row r="472" spans="1:37">
      <c r="A472" t="s">
        <v>2301</v>
      </c>
      <c r="B472" t="s">
        <v>2302</v>
      </c>
      <c r="C472" t="s">
        <v>1594</v>
      </c>
      <c r="D472" t="s">
        <v>2303</v>
      </c>
      <c r="E472" t="s">
        <v>107</v>
      </c>
      <c r="F472" t="s">
        <v>26</v>
      </c>
      <c r="G472" t="s">
        <v>27</v>
      </c>
      <c r="H472" t="s">
        <v>28</v>
      </c>
      <c r="I472" t="s">
        <v>29</v>
      </c>
      <c r="J472" t="s">
        <v>45</v>
      </c>
      <c r="K472" t="s">
        <v>46</v>
      </c>
      <c r="L472" t="s">
        <v>2304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  <c r="V472" s="1" t="s">
        <v>107</v>
      </c>
      <c r="W472" s="1" t="s">
        <v>26</v>
      </c>
      <c r="X472" s="1" t="s">
        <v>27</v>
      </c>
      <c r="Y472" s="1" t="s">
        <v>28</v>
      </c>
      <c r="Z472" s="1" t="s">
        <v>29</v>
      </c>
      <c r="AA472" s="1" t="s">
        <v>45</v>
      </c>
      <c r="AB472" s="1" t="s">
        <v>46</v>
      </c>
      <c r="AC472" s="1" t="s">
        <v>48</v>
      </c>
      <c r="AD472" s="1" t="s">
        <v>34</v>
      </c>
      <c r="AE472" s="1" t="s">
        <v>35</v>
      </c>
      <c r="AF472" s="5" t="e">
        <f t="shared" si="28"/>
        <v>#N/A</v>
      </c>
      <c r="AG472" s="5">
        <f t="shared" si="28"/>
        <v>45504</v>
      </c>
      <c r="AH472" s="5" t="b">
        <f t="shared" si="29"/>
        <v>0</v>
      </c>
      <c r="AI472" s="5" t="b">
        <f t="shared" si="29"/>
        <v>1</v>
      </c>
      <c r="AJ472" t="e">
        <f t="shared" si="30"/>
        <v>#N/A</v>
      </c>
      <c r="AK472" t="e">
        <f t="shared" si="31"/>
        <v>#N/A</v>
      </c>
    </row>
    <row r="473" spans="1:37">
      <c r="A473" t="s">
        <v>2305</v>
      </c>
      <c r="B473" t="s">
        <v>2306</v>
      </c>
      <c r="C473" t="s">
        <v>2307</v>
      </c>
      <c r="D473" t="s">
        <v>2308</v>
      </c>
      <c r="E473" t="s">
        <v>366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198</v>
      </c>
      <c r="L473" t="s">
        <v>2309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  <c r="V473" s="1" t="s">
        <v>366</v>
      </c>
      <c r="W473" s="1" t="s">
        <v>26</v>
      </c>
      <c r="X473" s="1" t="s">
        <v>62</v>
      </c>
      <c r="Y473" s="1" t="s">
        <v>63</v>
      </c>
      <c r="Z473" s="1" t="s">
        <v>64</v>
      </c>
      <c r="AA473" s="1" t="s">
        <v>30</v>
      </c>
      <c r="AB473" s="1" t="s">
        <v>198</v>
      </c>
      <c r="AC473" s="1" t="s">
        <v>67</v>
      </c>
      <c r="AD473" s="1" t="s">
        <v>34</v>
      </c>
      <c r="AE473" s="1" t="s">
        <v>35</v>
      </c>
      <c r="AF473" s="5">
        <f t="shared" si="28"/>
        <v>45598</v>
      </c>
      <c r="AG473" s="5">
        <f t="shared" si="28"/>
        <v>45337</v>
      </c>
      <c r="AH473" s="5" t="b">
        <f t="shared" si="29"/>
        <v>1</v>
      </c>
      <c r="AI473" s="5" t="b">
        <f t="shared" si="29"/>
        <v>1</v>
      </c>
      <c r="AJ473" t="str">
        <f t="shared" si="30"/>
        <v>Invalid: Ship before Order</v>
      </c>
      <c r="AK473" t="e">
        <f t="shared" si="31"/>
        <v>#NUM!</v>
      </c>
    </row>
    <row r="474" spans="1:37">
      <c r="A474" t="s">
        <v>2310</v>
      </c>
      <c r="B474" t="s">
        <v>2311</v>
      </c>
      <c r="C474" t="s">
        <v>1506</v>
      </c>
      <c r="D474" t="s">
        <v>2312</v>
      </c>
      <c r="E474" t="s">
        <v>180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156</v>
      </c>
      <c r="L474" t="s">
        <v>2313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  <c r="V474" s="1" t="s">
        <v>180</v>
      </c>
      <c r="W474" s="1" t="s">
        <v>108</v>
      </c>
      <c r="X474" s="1" t="s">
        <v>42</v>
      </c>
      <c r="Y474" s="1" t="s">
        <v>43</v>
      </c>
      <c r="Z474" s="1" t="s">
        <v>44</v>
      </c>
      <c r="AA474" s="1" t="s">
        <v>30</v>
      </c>
      <c r="AB474" s="1" t="s">
        <v>156</v>
      </c>
      <c r="AC474" s="1" t="s">
        <v>67</v>
      </c>
      <c r="AD474" s="1" t="s">
        <v>34</v>
      </c>
      <c r="AE474" s="1" t="s">
        <v>35</v>
      </c>
      <c r="AF474" s="5">
        <f t="shared" si="28"/>
        <v>45325</v>
      </c>
      <c r="AG474" s="5">
        <f t="shared" si="28"/>
        <v>45358</v>
      </c>
      <c r="AH474" s="5" t="b">
        <f t="shared" si="29"/>
        <v>1</v>
      </c>
      <c r="AI474" s="5" t="b">
        <f t="shared" si="29"/>
        <v>1</v>
      </c>
      <c r="AJ474" t="str">
        <f t="shared" si="30"/>
        <v>OK</v>
      </c>
      <c r="AK474">
        <f t="shared" si="31"/>
        <v>33</v>
      </c>
    </row>
    <row r="475" spans="1:37">
      <c r="A475" t="s">
        <v>2314</v>
      </c>
      <c r="B475" t="s">
        <v>2315</v>
      </c>
      <c r="C475" t="s">
        <v>445</v>
      </c>
      <c r="D475" t="s">
        <v>2316</v>
      </c>
      <c r="E475" t="s">
        <v>142</v>
      </c>
      <c r="F475" t="s">
        <v>26</v>
      </c>
      <c r="G475" t="s">
        <v>73</v>
      </c>
      <c r="H475" t="s">
        <v>249</v>
      </c>
      <c r="I475" t="s">
        <v>250</v>
      </c>
      <c r="J475" t="s">
        <v>86</v>
      </c>
      <c r="K475" t="s">
        <v>94</v>
      </c>
      <c r="L475" t="s">
        <v>2317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  <c r="V475" s="1" t="s">
        <v>142</v>
      </c>
      <c r="W475" s="1" t="s">
        <v>26</v>
      </c>
      <c r="X475" s="1" t="s">
        <v>73</v>
      </c>
      <c r="Y475" s="1" t="s">
        <v>249</v>
      </c>
      <c r="Z475" s="1" t="s">
        <v>250</v>
      </c>
      <c r="AA475" s="1" t="s">
        <v>86</v>
      </c>
      <c r="AB475" s="1" t="s">
        <v>94</v>
      </c>
      <c r="AC475" s="1" t="s">
        <v>67</v>
      </c>
      <c r="AD475" s="1" t="s">
        <v>34</v>
      </c>
      <c r="AE475" s="1" t="s">
        <v>35</v>
      </c>
      <c r="AF475" s="5" t="e">
        <f t="shared" si="28"/>
        <v>#N/A</v>
      </c>
      <c r="AG475" s="5">
        <f t="shared" si="28"/>
        <v>45609</v>
      </c>
      <c r="AH475" s="5" t="b">
        <f t="shared" si="29"/>
        <v>0</v>
      </c>
      <c r="AI475" s="5" t="b">
        <f t="shared" si="29"/>
        <v>1</v>
      </c>
      <c r="AJ475" t="e">
        <f t="shared" si="30"/>
        <v>#N/A</v>
      </c>
      <c r="AK475" t="e">
        <f t="shared" si="31"/>
        <v>#N/A</v>
      </c>
    </row>
    <row r="476" spans="1:37">
      <c r="A476" t="s">
        <v>2318</v>
      </c>
      <c r="B476" t="s">
        <v>1220</v>
      </c>
      <c r="C476" t="s">
        <v>2319</v>
      </c>
      <c r="D476" t="s">
        <v>2320</v>
      </c>
      <c r="E476" t="s">
        <v>210</v>
      </c>
      <c r="F476" t="s">
        <v>108</v>
      </c>
      <c r="G476" t="s">
        <v>27</v>
      </c>
      <c r="H476" t="s">
        <v>154</v>
      </c>
      <c r="I476" t="s">
        <v>155</v>
      </c>
      <c r="J476" t="s">
        <v>45</v>
      </c>
      <c r="K476" t="s">
        <v>65</v>
      </c>
      <c r="L476" t="s">
        <v>2321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  <c r="V476" s="1" t="s">
        <v>210</v>
      </c>
      <c r="W476" s="1" t="s">
        <v>108</v>
      </c>
      <c r="X476" s="1" t="s">
        <v>27</v>
      </c>
      <c r="Y476" s="1" t="s">
        <v>154</v>
      </c>
      <c r="Z476" s="1" t="s">
        <v>155</v>
      </c>
      <c r="AA476" s="1" t="s">
        <v>45</v>
      </c>
      <c r="AB476" s="1" t="s">
        <v>65</v>
      </c>
      <c r="AC476" s="1" t="s">
        <v>67</v>
      </c>
      <c r="AD476" s="1" t="s">
        <v>34</v>
      </c>
      <c r="AE476" s="1" t="s">
        <v>35</v>
      </c>
      <c r="AF476" s="5">
        <f t="shared" si="28"/>
        <v>45357</v>
      </c>
      <c r="AG476" s="5">
        <f t="shared" si="28"/>
        <v>45453</v>
      </c>
      <c r="AH476" s="5" t="b">
        <f t="shared" si="29"/>
        <v>1</v>
      </c>
      <c r="AI476" s="5" t="b">
        <f t="shared" si="29"/>
        <v>1</v>
      </c>
      <c r="AJ476" t="str">
        <f t="shared" si="30"/>
        <v>OK</v>
      </c>
      <c r="AK476">
        <f t="shared" si="31"/>
        <v>96</v>
      </c>
    </row>
    <row r="477" spans="1:37">
      <c r="A477" t="s">
        <v>2322</v>
      </c>
      <c r="B477" t="s">
        <v>2323</v>
      </c>
      <c r="C477" t="s">
        <v>2324</v>
      </c>
      <c r="D477" t="s">
        <v>2325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2326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137</v>
      </c>
      <c r="U477" t="s">
        <v>125</v>
      </c>
      <c r="V477" s="1" t="s">
        <v>83</v>
      </c>
      <c r="W477" s="1" t="s">
        <v>26</v>
      </c>
      <c r="X477" s="1" t="s">
        <v>42</v>
      </c>
      <c r="Y477" s="1" t="s">
        <v>121</v>
      </c>
      <c r="Z477" s="1" t="s">
        <v>122</v>
      </c>
      <c r="AA477" s="1" t="s">
        <v>45</v>
      </c>
      <c r="AB477" s="1" t="s">
        <v>76</v>
      </c>
      <c r="AC477" s="1" t="s">
        <v>48</v>
      </c>
      <c r="AD477" s="1" t="s">
        <v>137</v>
      </c>
      <c r="AE477" s="1" t="s">
        <v>125</v>
      </c>
      <c r="AF477" s="5">
        <f t="shared" si="28"/>
        <v>45717</v>
      </c>
      <c r="AG477" s="5">
        <f t="shared" si="28"/>
        <v>45724</v>
      </c>
      <c r="AH477" s="5" t="b">
        <f t="shared" si="29"/>
        <v>1</v>
      </c>
      <c r="AI477" s="5" t="b">
        <f t="shared" si="29"/>
        <v>1</v>
      </c>
      <c r="AJ477" t="str">
        <f t="shared" si="30"/>
        <v>OK</v>
      </c>
      <c r="AK477">
        <f t="shared" si="31"/>
        <v>7</v>
      </c>
    </row>
    <row r="478" spans="1:37">
      <c r="A478" t="s">
        <v>2327</v>
      </c>
      <c r="B478" t="s">
        <v>2328</v>
      </c>
      <c r="C478" t="s">
        <v>2329</v>
      </c>
      <c r="D478" t="s">
        <v>2330</v>
      </c>
      <c r="E478" t="s">
        <v>168</v>
      </c>
      <c r="F478" t="s">
        <v>41</v>
      </c>
      <c r="G478" t="s">
        <v>27</v>
      </c>
      <c r="H478" t="s">
        <v>28</v>
      </c>
      <c r="I478" t="s">
        <v>29</v>
      </c>
      <c r="J478" t="s">
        <v>30</v>
      </c>
      <c r="K478" t="s">
        <v>156</v>
      </c>
      <c r="L478" t="s">
        <v>2331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  <c r="V478" s="1" t="s">
        <v>168</v>
      </c>
      <c r="W478" s="1" t="s">
        <v>41</v>
      </c>
      <c r="X478" s="1" t="s">
        <v>27</v>
      </c>
      <c r="Y478" s="1" t="s">
        <v>28</v>
      </c>
      <c r="Z478" s="1" t="s">
        <v>29</v>
      </c>
      <c r="AA478" s="1" t="s">
        <v>30</v>
      </c>
      <c r="AB478" s="1" t="s">
        <v>156</v>
      </c>
      <c r="AC478" s="1" t="s">
        <v>56</v>
      </c>
      <c r="AD478" s="1" t="s">
        <v>34</v>
      </c>
      <c r="AE478" s="1" t="s">
        <v>35</v>
      </c>
      <c r="AF478" s="5">
        <f t="shared" si="28"/>
        <v>45419</v>
      </c>
      <c r="AG478" s="5">
        <f t="shared" si="28"/>
        <v>45426</v>
      </c>
      <c r="AH478" s="5" t="b">
        <f t="shared" si="29"/>
        <v>1</v>
      </c>
      <c r="AI478" s="5" t="b">
        <f t="shared" si="29"/>
        <v>1</v>
      </c>
      <c r="AJ478" t="str">
        <f t="shared" si="30"/>
        <v>OK</v>
      </c>
      <c r="AK478">
        <f t="shared" si="31"/>
        <v>7</v>
      </c>
    </row>
    <row r="479" spans="1:37">
      <c r="A479" t="s">
        <v>2332</v>
      </c>
      <c r="B479" t="s">
        <v>2333</v>
      </c>
      <c r="C479" t="s">
        <v>2334</v>
      </c>
      <c r="D479" t="s">
        <v>2335</v>
      </c>
      <c r="E479" t="s">
        <v>83</v>
      </c>
      <c r="F479" t="s">
        <v>108</v>
      </c>
      <c r="G479" t="s">
        <v>73</v>
      </c>
      <c r="H479" t="s">
        <v>235</v>
      </c>
      <c r="I479" t="s">
        <v>236</v>
      </c>
      <c r="J479" t="s">
        <v>45</v>
      </c>
      <c r="K479" t="s">
        <v>76</v>
      </c>
      <c r="L479" t="s">
        <v>2336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  <c r="V479" s="1" t="s">
        <v>83</v>
      </c>
      <c r="W479" s="1" t="s">
        <v>108</v>
      </c>
      <c r="X479" s="1" t="s">
        <v>73</v>
      </c>
      <c r="Y479" s="1" t="s">
        <v>235</v>
      </c>
      <c r="Z479" s="1" t="s">
        <v>236</v>
      </c>
      <c r="AA479" s="1" t="s">
        <v>45</v>
      </c>
      <c r="AB479" s="1" t="s">
        <v>76</v>
      </c>
      <c r="AC479" s="1" t="s">
        <v>67</v>
      </c>
      <c r="AD479" s="1" t="s">
        <v>34</v>
      </c>
      <c r="AE479" s="1" t="s">
        <v>78</v>
      </c>
      <c r="AF479" s="5">
        <f t="shared" si="28"/>
        <v>45892</v>
      </c>
      <c r="AG479" s="5" t="e">
        <f t="shared" si="28"/>
        <v>#N/A</v>
      </c>
      <c r="AH479" s="5" t="b">
        <f t="shared" si="29"/>
        <v>1</v>
      </c>
      <c r="AI479" s="5" t="b">
        <f t="shared" si="29"/>
        <v>0</v>
      </c>
      <c r="AJ479" t="e">
        <f t="shared" si="30"/>
        <v>#N/A</v>
      </c>
      <c r="AK479" t="e">
        <f t="shared" si="31"/>
        <v>#N/A</v>
      </c>
    </row>
    <row r="480" spans="1:37">
      <c r="A480" t="s">
        <v>2337</v>
      </c>
      <c r="B480" t="s">
        <v>2338</v>
      </c>
      <c r="C480" t="s">
        <v>2339</v>
      </c>
      <c r="D480" t="s">
        <v>2340</v>
      </c>
      <c r="E480" t="s">
        <v>40</v>
      </c>
      <c r="F480" t="s">
        <v>115</v>
      </c>
      <c r="H480" t="s">
        <v>174</v>
      </c>
      <c r="I480" t="s">
        <v>175</v>
      </c>
      <c r="J480" t="s">
        <v>86</v>
      </c>
      <c r="K480" t="s">
        <v>382</v>
      </c>
      <c r="L480" t="s">
        <v>2341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  <c r="V480" s="1" t="s">
        <v>40</v>
      </c>
      <c r="W480" s="1" t="s">
        <v>115</v>
      </c>
      <c r="X480" s="1" t="s">
        <v>4119</v>
      </c>
      <c r="Y480" s="1" t="s">
        <v>174</v>
      </c>
      <c r="Z480" s="1" t="s">
        <v>175</v>
      </c>
      <c r="AA480" s="1" t="s">
        <v>86</v>
      </c>
      <c r="AB480" s="1" t="s">
        <v>382</v>
      </c>
      <c r="AC480" s="1" t="s">
        <v>48</v>
      </c>
      <c r="AD480" s="1" t="s">
        <v>124</v>
      </c>
      <c r="AE480" s="1" t="s">
        <v>125</v>
      </c>
      <c r="AF480" s="5">
        <f t="shared" si="28"/>
        <v>45452</v>
      </c>
      <c r="AG480" s="5">
        <f t="shared" si="28"/>
        <v>45456</v>
      </c>
      <c r="AH480" s="5" t="b">
        <f t="shared" si="29"/>
        <v>1</v>
      </c>
      <c r="AI480" s="5" t="b">
        <f t="shared" si="29"/>
        <v>1</v>
      </c>
      <c r="AJ480" t="str">
        <f t="shared" si="30"/>
        <v>OK</v>
      </c>
      <c r="AK480">
        <f t="shared" si="31"/>
        <v>4</v>
      </c>
    </row>
    <row r="481" spans="1:37">
      <c r="A481" t="s">
        <v>2342</v>
      </c>
      <c r="B481" t="s">
        <v>2343</v>
      </c>
      <c r="C481" t="s">
        <v>2088</v>
      </c>
      <c r="D481" t="s">
        <v>2344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2345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  <c r="V481" s="1" t="s">
        <v>61</v>
      </c>
      <c r="W481" s="1" t="s">
        <v>108</v>
      </c>
      <c r="X481" s="1" t="s">
        <v>42</v>
      </c>
      <c r="Y481" s="1" t="s">
        <v>43</v>
      </c>
      <c r="Z481" s="1" t="s">
        <v>44</v>
      </c>
      <c r="AA481" s="1" t="s">
        <v>45</v>
      </c>
      <c r="AB481" s="1" t="s">
        <v>76</v>
      </c>
      <c r="AC481" s="1" t="s">
        <v>33</v>
      </c>
      <c r="AD481" s="1" t="s">
        <v>34</v>
      </c>
      <c r="AE481" s="1" t="s">
        <v>35</v>
      </c>
      <c r="AF481" s="5">
        <f t="shared" si="28"/>
        <v>45345</v>
      </c>
      <c r="AG481" s="5">
        <f t="shared" si="28"/>
        <v>45342</v>
      </c>
      <c r="AH481" s="5" t="b">
        <f t="shared" si="29"/>
        <v>1</v>
      </c>
      <c r="AI481" s="5" t="b">
        <f t="shared" si="29"/>
        <v>1</v>
      </c>
      <c r="AJ481" t="str">
        <f t="shared" si="30"/>
        <v>Invalid: Ship before Order</v>
      </c>
      <c r="AK481" t="e">
        <f t="shared" si="31"/>
        <v>#NUM!</v>
      </c>
    </row>
    <row r="482" spans="1:37">
      <c r="A482" t="s">
        <v>2346</v>
      </c>
      <c r="B482" t="s">
        <v>385</v>
      </c>
      <c r="C482" t="s">
        <v>2293</v>
      </c>
      <c r="D482" t="s">
        <v>2347</v>
      </c>
      <c r="E482" t="s">
        <v>93</v>
      </c>
      <c r="F482" t="s">
        <v>41</v>
      </c>
      <c r="G482" t="s">
        <v>62</v>
      </c>
      <c r="H482" t="s">
        <v>339</v>
      </c>
      <c r="I482" t="s">
        <v>340</v>
      </c>
      <c r="J482" t="s">
        <v>30</v>
      </c>
      <c r="K482" t="s">
        <v>156</v>
      </c>
      <c r="L482" t="s">
        <v>2348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  <c r="V482" s="1" t="s">
        <v>93</v>
      </c>
      <c r="W482" s="1" t="s">
        <v>41</v>
      </c>
      <c r="X482" s="1" t="s">
        <v>62</v>
      </c>
      <c r="Y482" s="1" t="s">
        <v>339</v>
      </c>
      <c r="Z482" s="1" t="s">
        <v>340</v>
      </c>
      <c r="AA482" s="1" t="s">
        <v>30</v>
      </c>
      <c r="AB482" s="1" t="s">
        <v>156</v>
      </c>
      <c r="AC482" s="1" t="s">
        <v>4119</v>
      </c>
      <c r="AD482" s="1" t="s">
        <v>34</v>
      </c>
      <c r="AE482" s="1" t="s">
        <v>35</v>
      </c>
      <c r="AF482" s="5">
        <f t="shared" si="28"/>
        <v>45662</v>
      </c>
      <c r="AG482" s="5">
        <f t="shared" si="28"/>
        <v>45666</v>
      </c>
      <c r="AH482" s="5" t="b">
        <f t="shared" si="29"/>
        <v>1</v>
      </c>
      <c r="AI482" s="5" t="b">
        <f t="shared" si="29"/>
        <v>1</v>
      </c>
      <c r="AJ482" t="str">
        <f t="shared" si="30"/>
        <v>OK</v>
      </c>
      <c r="AK482">
        <f t="shared" si="31"/>
        <v>4</v>
      </c>
    </row>
    <row r="483" spans="1:37">
      <c r="A483" t="s">
        <v>2349</v>
      </c>
      <c r="B483" t="s">
        <v>2350</v>
      </c>
      <c r="C483" t="s">
        <v>2351</v>
      </c>
      <c r="D483" t="s">
        <v>2352</v>
      </c>
      <c r="E483" t="s">
        <v>53</v>
      </c>
      <c r="F483" t="s">
        <v>26</v>
      </c>
      <c r="G483" t="s">
        <v>27</v>
      </c>
      <c r="H483" t="s">
        <v>174</v>
      </c>
      <c r="I483" t="s">
        <v>175</v>
      </c>
      <c r="J483" t="s">
        <v>86</v>
      </c>
      <c r="K483" t="s">
        <v>382</v>
      </c>
      <c r="L483" t="s">
        <v>2353</v>
      </c>
      <c r="M483" t="s">
        <v>48</v>
      </c>
      <c r="N483">
        <v>4</v>
      </c>
      <c r="O483">
        <v>2793.88</v>
      </c>
      <c r="P483" t="s">
        <v>1170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  <c r="V483" s="1" t="s">
        <v>53</v>
      </c>
      <c r="W483" s="1" t="s">
        <v>26</v>
      </c>
      <c r="X483" s="1" t="s">
        <v>27</v>
      </c>
      <c r="Y483" s="1" t="s">
        <v>174</v>
      </c>
      <c r="Z483" s="1" t="s">
        <v>175</v>
      </c>
      <c r="AA483" s="1" t="s">
        <v>86</v>
      </c>
      <c r="AB483" s="1" t="s">
        <v>382</v>
      </c>
      <c r="AC483" s="1" t="s">
        <v>48</v>
      </c>
      <c r="AD483" s="1" t="s">
        <v>34</v>
      </c>
      <c r="AE483" s="1" t="s">
        <v>35</v>
      </c>
      <c r="AF483" s="5">
        <f t="shared" si="28"/>
        <v>45813</v>
      </c>
      <c r="AG483" s="5">
        <f t="shared" si="28"/>
        <v>45821</v>
      </c>
      <c r="AH483" s="5" t="b">
        <f t="shared" si="29"/>
        <v>1</v>
      </c>
      <c r="AI483" s="5" t="b">
        <f t="shared" si="29"/>
        <v>1</v>
      </c>
      <c r="AJ483" t="str">
        <f t="shared" si="30"/>
        <v>OK</v>
      </c>
      <c r="AK483">
        <f t="shared" si="31"/>
        <v>8</v>
      </c>
    </row>
    <row r="484" spans="1:37">
      <c r="A484" t="s">
        <v>2354</v>
      </c>
      <c r="B484" t="s">
        <v>263</v>
      </c>
      <c r="C484" t="s">
        <v>263</v>
      </c>
      <c r="D484" t="s">
        <v>2355</v>
      </c>
      <c r="E484" t="s">
        <v>142</v>
      </c>
      <c r="F484" t="s">
        <v>26</v>
      </c>
      <c r="G484" t="s">
        <v>62</v>
      </c>
      <c r="H484" t="s">
        <v>229</v>
      </c>
      <c r="I484" t="s">
        <v>230</v>
      </c>
      <c r="J484" t="s">
        <v>86</v>
      </c>
      <c r="K484" t="s">
        <v>87</v>
      </c>
      <c r="L484" t="s">
        <v>2356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  <c r="V484" s="1" t="s">
        <v>142</v>
      </c>
      <c r="W484" s="1" t="s">
        <v>26</v>
      </c>
      <c r="X484" s="1" t="s">
        <v>62</v>
      </c>
      <c r="Y484" s="1" t="s">
        <v>229</v>
      </c>
      <c r="Z484" s="1" t="s">
        <v>230</v>
      </c>
      <c r="AA484" s="1" t="s">
        <v>86</v>
      </c>
      <c r="AB484" s="1" t="s">
        <v>87</v>
      </c>
      <c r="AC484" s="1" t="s">
        <v>33</v>
      </c>
      <c r="AD484" s="1" t="s">
        <v>34</v>
      </c>
      <c r="AE484" s="1" t="s">
        <v>35</v>
      </c>
      <c r="AF484" s="5">
        <f t="shared" si="28"/>
        <v>45495</v>
      </c>
      <c r="AG484" s="5">
        <f t="shared" si="28"/>
        <v>45495</v>
      </c>
      <c r="AH484" s="5" t="b">
        <f t="shared" si="29"/>
        <v>1</v>
      </c>
      <c r="AI484" s="5" t="b">
        <f t="shared" si="29"/>
        <v>1</v>
      </c>
      <c r="AJ484" t="str">
        <f t="shared" si="30"/>
        <v>OK</v>
      </c>
      <c r="AK484">
        <f t="shared" si="31"/>
        <v>0</v>
      </c>
    </row>
    <row r="485" spans="1:37">
      <c r="A485" t="s">
        <v>2357</v>
      </c>
      <c r="B485" t="s">
        <v>1405</v>
      </c>
      <c r="C485" t="s">
        <v>2358</v>
      </c>
      <c r="D485" t="s">
        <v>2359</v>
      </c>
      <c r="E485" t="s">
        <v>40</v>
      </c>
      <c r="F485" t="s">
        <v>108</v>
      </c>
      <c r="G485" t="s">
        <v>42</v>
      </c>
      <c r="H485" t="s">
        <v>186</v>
      </c>
      <c r="I485" t="s">
        <v>187</v>
      </c>
      <c r="J485" t="s">
        <v>86</v>
      </c>
      <c r="K485" t="s">
        <v>94</v>
      </c>
      <c r="L485" t="s">
        <v>2360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  <c r="V485" s="1" t="s">
        <v>40</v>
      </c>
      <c r="W485" s="1" t="s">
        <v>108</v>
      </c>
      <c r="X485" s="1" t="s">
        <v>42</v>
      </c>
      <c r="Y485" s="1" t="s">
        <v>186</v>
      </c>
      <c r="Z485" s="1" t="s">
        <v>187</v>
      </c>
      <c r="AA485" s="1" t="s">
        <v>86</v>
      </c>
      <c r="AB485" s="1" t="s">
        <v>94</v>
      </c>
      <c r="AC485" s="1" t="s">
        <v>67</v>
      </c>
      <c r="AD485" s="1" t="s">
        <v>34</v>
      </c>
      <c r="AE485" s="1" t="s">
        <v>35</v>
      </c>
      <c r="AF485" s="5">
        <f t="shared" si="28"/>
        <v>45651</v>
      </c>
      <c r="AG485" s="5" t="e">
        <f t="shared" si="28"/>
        <v>#N/A</v>
      </c>
      <c r="AH485" s="5" t="b">
        <f t="shared" si="29"/>
        <v>1</v>
      </c>
      <c r="AI485" s="5" t="b">
        <f t="shared" si="29"/>
        <v>0</v>
      </c>
      <c r="AJ485" t="e">
        <f t="shared" si="30"/>
        <v>#N/A</v>
      </c>
      <c r="AK485" t="e">
        <f t="shared" si="31"/>
        <v>#N/A</v>
      </c>
    </row>
    <row r="486" spans="1:37">
      <c r="A486" t="s">
        <v>2361</v>
      </c>
      <c r="B486" t="s">
        <v>2362</v>
      </c>
      <c r="C486" t="s">
        <v>2363</v>
      </c>
      <c r="D486" t="s">
        <v>2364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2365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  <c r="V486" s="1" t="s">
        <v>40</v>
      </c>
      <c r="W486" s="1" t="s">
        <v>41</v>
      </c>
      <c r="X486" s="1" t="s">
        <v>62</v>
      </c>
      <c r="Y486" s="1" t="s">
        <v>100</v>
      </c>
      <c r="Z486" s="1" t="s">
        <v>101</v>
      </c>
      <c r="AA486" s="1" t="s">
        <v>45</v>
      </c>
      <c r="AB486" s="1" t="s">
        <v>65</v>
      </c>
      <c r="AC486" s="1" t="s">
        <v>56</v>
      </c>
      <c r="AD486" s="1" t="s">
        <v>34</v>
      </c>
      <c r="AE486" s="1" t="s">
        <v>35</v>
      </c>
      <c r="AF486" s="5">
        <f t="shared" si="28"/>
        <v>45654</v>
      </c>
      <c r="AG486" s="5">
        <f t="shared" si="28"/>
        <v>45657</v>
      </c>
      <c r="AH486" s="5" t="b">
        <f t="shared" si="29"/>
        <v>1</v>
      </c>
      <c r="AI486" s="5" t="b">
        <f t="shared" si="29"/>
        <v>1</v>
      </c>
      <c r="AJ486" t="str">
        <f t="shared" si="30"/>
        <v>OK</v>
      </c>
      <c r="AK486">
        <f t="shared" si="31"/>
        <v>3</v>
      </c>
    </row>
    <row r="487" spans="1:37">
      <c r="A487" t="s">
        <v>2366</v>
      </c>
      <c r="B487" t="s">
        <v>1837</v>
      </c>
      <c r="C487" t="s">
        <v>184</v>
      </c>
      <c r="D487" t="s">
        <v>2367</v>
      </c>
      <c r="E487" t="s">
        <v>148</v>
      </c>
      <c r="F487" t="s">
        <v>108</v>
      </c>
      <c r="G487" t="s">
        <v>73</v>
      </c>
      <c r="H487" t="s">
        <v>249</v>
      </c>
      <c r="I487" t="s">
        <v>250</v>
      </c>
      <c r="J487" t="s">
        <v>45</v>
      </c>
      <c r="K487" t="s">
        <v>204</v>
      </c>
      <c r="L487" t="s">
        <v>2368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  <c r="V487" s="1" t="s">
        <v>148</v>
      </c>
      <c r="W487" s="1" t="s">
        <v>108</v>
      </c>
      <c r="X487" s="1" t="s">
        <v>73</v>
      </c>
      <c r="Y487" s="1" t="s">
        <v>249</v>
      </c>
      <c r="Z487" s="1" t="s">
        <v>250</v>
      </c>
      <c r="AA487" s="1" t="s">
        <v>45</v>
      </c>
      <c r="AB487" s="1" t="s">
        <v>204</v>
      </c>
      <c r="AC487" s="1" t="s">
        <v>67</v>
      </c>
      <c r="AD487" s="1" t="s">
        <v>34</v>
      </c>
      <c r="AE487" s="1" t="s">
        <v>35</v>
      </c>
      <c r="AF487" s="5">
        <f t="shared" si="28"/>
        <v>45679</v>
      </c>
      <c r="AG487" s="5">
        <f t="shared" si="28"/>
        <v>45680</v>
      </c>
      <c r="AH487" s="5" t="b">
        <f t="shared" si="29"/>
        <v>1</v>
      </c>
      <c r="AI487" s="5" t="b">
        <f t="shared" si="29"/>
        <v>1</v>
      </c>
      <c r="AJ487" t="str">
        <f t="shared" si="30"/>
        <v>OK</v>
      </c>
      <c r="AK487">
        <f t="shared" si="31"/>
        <v>1</v>
      </c>
    </row>
    <row r="488" spans="1:37">
      <c r="A488" t="s">
        <v>2369</v>
      </c>
      <c r="B488" t="s">
        <v>2370</v>
      </c>
      <c r="C488" t="s">
        <v>2371</v>
      </c>
      <c r="D488" t="s">
        <v>2372</v>
      </c>
      <c r="E488" t="s">
        <v>148</v>
      </c>
      <c r="F488" t="s">
        <v>108</v>
      </c>
      <c r="G488" t="s">
        <v>73</v>
      </c>
      <c r="H488" t="s">
        <v>249</v>
      </c>
      <c r="I488" t="s">
        <v>250</v>
      </c>
      <c r="J488" t="s">
        <v>45</v>
      </c>
      <c r="K488" t="s">
        <v>46</v>
      </c>
      <c r="L488" t="s">
        <v>2373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  <c r="V488" s="1" t="s">
        <v>148</v>
      </c>
      <c r="W488" s="1" t="s">
        <v>108</v>
      </c>
      <c r="X488" s="1" t="s">
        <v>73</v>
      </c>
      <c r="Y488" s="1" t="s">
        <v>249</v>
      </c>
      <c r="Z488" s="1" t="s">
        <v>250</v>
      </c>
      <c r="AA488" s="1" t="s">
        <v>45</v>
      </c>
      <c r="AB488" s="1" t="s">
        <v>46</v>
      </c>
      <c r="AC488" s="1" t="s">
        <v>67</v>
      </c>
      <c r="AD488" s="1" t="s">
        <v>34</v>
      </c>
      <c r="AE488" s="1" t="s">
        <v>35</v>
      </c>
      <c r="AF488" s="5" t="e">
        <f t="shared" si="28"/>
        <v>#N/A</v>
      </c>
      <c r="AG488" s="5">
        <f t="shared" si="28"/>
        <v>45834</v>
      </c>
      <c r="AH488" s="5" t="b">
        <f t="shared" si="29"/>
        <v>0</v>
      </c>
      <c r="AI488" s="5" t="b">
        <f t="shared" si="29"/>
        <v>1</v>
      </c>
      <c r="AJ488" t="e">
        <f t="shared" si="30"/>
        <v>#N/A</v>
      </c>
      <c r="AK488" t="e">
        <f t="shared" si="31"/>
        <v>#N/A</v>
      </c>
    </row>
    <row r="489" spans="1:37">
      <c r="A489" t="s">
        <v>2374</v>
      </c>
      <c r="B489" t="s">
        <v>1968</v>
      </c>
      <c r="C489" t="s">
        <v>2375</v>
      </c>
      <c r="D489" t="s">
        <v>2376</v>
      </c>
      <c r="E489" t="s">
        <v>148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2377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  <c r="V489" s="1" t="s">
        <v>148</v>
      </c>
      <c r="W489" s="1" t="s">
        <v>108</v>
      </c>
      <c r="X489" s="1" t="s">
        <v>62</v>
      </c>
      <c r="Y489" s="1" t="s">
        <v>63</v>
      </c>
      <c r="Z489" s="1" t="s">
        <v>64</v>
      </c>
      <c r="AA489" s="1" t="s">
        <v>45</v>
      </c>
      <c r="AB489" s="1" t="s">
        <v>65</v>
      </c>
      <c r="AC489" s="1" t="s">
        <v>67</v>
      </c>
      <c r="AD489" s="1" t="s">
        <v>124</v>
      </c>
      <c r="AE489" s="1" t="s">
        <v>125</v>
      </c>
      <c r="AF489" s="5">
        <f t="shared" si="28"/>
        <v>45818</v>
      </c>
      <c r="AG489" s="5">
        <f t="shared" si="28"/>
        <v>45825</v>
      </c>
      <c r="AH489" s="5" t="b">
        <f t="shared" si="29"/>
        <v>1</v>
      </c>
      <c r="AI489" s="5" t="b">
        <f t="shared" si="29"/>
        <v>1</v>
      </c>
      <c r="AJ489" t="str">
        <f t="shared" si="30"/>
        <v>OK</v>
      </c>
      <c r="AK489">
        <f t="shared" si="31"/>
        <v>7</v>
      </c>
    </row>
    <row r="490" spans="1:37">
      <c r="A490" t="s">
        <v>2378</v>
      </c>
      <c r="B490" t="s">
        <v>2379</v>
      </c>
      <c r="C490" t="s">
        <v>2380</v>
      </c>
      <c r="D490" t="s">
        <v>2381</v>
      </c>
      <c r="E490" t="s">
        <v>107</v>
      </c>
      <c r="F490" t="s">
        <v>41</v>
      </c>
      <c r="G490" t="s">
        <v>27</v>
      </c>
      <c r="H490" t="s">
        <v>28</v>
      </c>
      <c r="I490" t="s">
        <v>29</v>
      </c>
      <c r="J490" t="s">
        <v>45</v>
      </c>
      <c r="K490" t="s">
        <v>46</v>
      </c>
      <c r="L490" t="s">
        <v>2382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  <c r="V490" s="1" t="s">
        <v>107</v>
      </c>
      <c r="W490" s="1" t="s">
        <v>41</v>
      </c>
      <c r="X490" s="1" t="s">
        <v>27</v>
      </c>
      <c r="Y490" s="1" t="s">
        <v>28</v>
      </c>
      <c r="Z490" s="1" t="s">
        <v>29</v>
      </c>
      <c r="AA490" s="1" t="s">
        <v>45</v>
      </c>
      <c r="AB490" s="1" t="s">
        <v>46</v>
      </c>
      <c r="AC490" s="1" t="s">
        <v>48</v>
      </c>
      <c r="AD490" s="1" t="s">
        <v>34</v>
      </c>
      <c r="AE490" s="1" t="s">
        <v>35</v>
      </c>
      <c r="AF490" s="5">
        <f t="shared" si="28"/>
        <v>45579</v>
      </c>
      <c r="AG490" s="5">
        <f t="shared" si="28"/>
        <v>45585</v>
      </c>
      <c r="AH490" s="5" t="b">
        <f t="shared" si="29"/>
        <v>1</v>
      </c>
      <c r="AI490" s="5" t="b">
        <f t="shared" si="29"/>
        <v>1</v>
      </c>
      <c r="AJ490" t="str">
        <f t="shared" si="30"/>
        <v>OK</v>
      </c>
      <c r="AK490">
        <f t="shared" si="31"/>
        <v>6</v>
      </c>
    </row>
    <row r="491" spans="1:37">
      <c r="A491" t="s">
        <v>2383</v>
      </c>
      <c r="B491" t="s">
        <v>390</v>
      </c>
      <c r="C491" t="s">
        <v>2384</v>
      </c>
      <c r="D491" t="s">
        <v>2385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2386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  <c r="V491" s="1" t="s">
        <v>61</v>
      </c>
      <c r="W491" s="1" t="s">
        <v>115</v>
      </c>
      <c r="X491" s="1" t="s">
        <v>42</v>
      </c>
      <c r="Y491" s="1" t="s">
        <v>121</v>
      </c>
      <c r="Z491" s="1" t="s">
        <v>122</v>
      </c>
      <c r="AA491" s="1" t="s">
        <v>86</v>
      </c>
      <c r="AB491" s="1" t="s">
        <v>87</v>
      </c>
      <c r="AC491" s="1" t="s">
        <v>33</v>
      </c>
      <c r="AD491" s="1" t="s">
        <v>34</v>
      </c>
      <c r="AE491" s="1" t="s">
        <v>35</v>
      </c>
      <c r="AF491" s="5">
        <f t="shared" si="28"/>
        <v>45329</v>
      </c>
      <c r="AG491" s="5">
        <f t="shared" si="28"/>
        <v>45334</v>
      </c>
      <c r="AH491" s="5" t="b">
        <f t="shared" si="29"/>
        <v>1</v>
      </c>
      <c r="AI491" s="5" t="b">
        <f t="shared" si="29"/>
        <v>1</v>
      </c>
      <c r="AJ491" t="str">
        <f t="shared" si="30"/>
        <v>OK</v>
      </c>
      <c r="AK491">
        <f t="shared" si="31"/>
        <v>5</v>
      </c>
    </row>
    <row r="492" spans="1:37">
      <c r="A492" t="s">
        <v>2387</v>
      </c>
      <c r="B492" t="s">
        <v>2388</v>
      </c>
      <c r="C492" t="s">
        <v>1889</v>
      </c>
      <c r="D492" t="s">
        <v>2389</v>
      </c>
      <c r="E492" t="s">
        <v>107</v>
      </c>
      <c r="F492" t="s">
        <v>26</v>
      </c>
      <c r="G492" t="s">
        <v>73</v>
      </c>
      <c r="H492" t="s">
        <v>28</v>
      </c>
      <c r="I492" t="s">
        <v>135</v>
      </c>
      <c r="J492" t="s">
        <v>30</v>
      </c>
      <c r="K492" t="s">
        <v>198</v>
      </c>
      <c r="L492" t="s">
        <v>2390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  <c r="V492" s="1" t="s">
        <v>107</v>
      </c>
      <c r="W492" s="1" t="s">
        <v>26</v>
      </c>
      <c r="X492" s="1" t="s">
        <v>73</v>
      </c>
      <c r="Y492" s="1" t="s">
        <v>28</v>
      </c>
      <c r="Z492" s="1" t="s">
        <v>135</v>
      </c>
      <c r="AA492" s="1" t="s">
        <v>30</v>
      </c>
      <c r="AB492" s="1" t="s">
        <v>198</v>
      </c>
      <c r="AC492" s="1" t="s">
        <v>56</v>
      </c>
      <c r="AD492" s="1" t="s">
        <v>34</v>
      </c>
      <c r="AE492" s="1" t="s">
        <v>35</v>
      </c>
      <c r="AF492" s="5">
        <f t="shared" si="28"/>
        <v>45551</v>
      </c>
      <c r="AG492" s="5">
        <f t="shared" si="28"/>
        <v>45554</v>
      </c>
      <c r="AH492" s="5" t="b">
        <f t="shared" si="29"/>
        <v>1</v>
      </c>
      <c r="AI492" s="5" t="b">
        <f t="shared" si="29"/>
        <v>1</v>
      </c>
      <c r="AJ492" t="str">
        <f t="shared" si="30"/>
        <v>OK</v>
      </c>
      <c r="AK492">
        <f t="shared" si="31"/>
        <v>3</v>
      </c>
    </row>
    <row r="493" spans="1:37">
      <c r="A493" t="s">
        <v>2391</v>
      </c>
      <c r="B493" t="s">
        <v>1978</v>
      </c>
      <c r="C493" t="s">
        <v>2392</v>
      </c>
      <c r="D493" t="s">
        <v>2393</v>
      </c>
      <c r="E493" t="s">
        <v>40</v>
      </c>
      <c r="F493" t="s">
        <v>108</v>
      </c>
      <c r="G493" t="s">
        <v>62</v>
      </c>
      <c r="H493" t="s">
        <v>242</v>
      </c>
      <c r="I493" t="s">
        <v>243</v>
      </c>
      <c r="J493" t="s">
        <v>86</v>
      </c>
      <c r="K493" t="s">
        <v>87</v>
      </c>
      <c r="L493" t="s">
        <v>2394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  <c r="V493" s="1" t="s">
        <v>40</v>
      </c>
      <c r="W493" s="1" t="s">
        <v>108</v>
      </c>
      <c r="X493" s="1" t="s">
        <v>62</v>
      </c>
      <c r="Y493" s="1" t="s">
        <v>242</v>
      </c>
      <c r="Z493" s="1" t="s">
        <v>243</v>
      </c>
      <c r="AA493" s="1" t="s">
        <v>86</v>
      </c>
      <c r="AB493" s="1" t="s">
        <v>87</v>
      </c>
      <c r="AC493" s="1" t="s">
        <v>67</v>
      </c>
      <c r="AD493" s="1" t="s">
        <v>34</v>
      </c>
      <c r="AE493" s="1" t="s">
        <v>35</v>
      </c>
      <c r="AF493" s="5">
        <f t="shared" si="28"/>
        <v>45776</v>
      </c>
      <c r="AG493" s="5" t="e">
        <f t="shared" si="28"/>
        <v>#N/A</v>
      </c>
      <c r="AH493" s="5" t="b">
        <f t="shared" si="29"/>
        <v>1</v>
      </c>
      <c r="AI493" s="5" t="b">
        <f t="shared" si="29"/>
        <v>0</v>
      </c>
      <c r="AJ493" t="e">
        <f t="shared" si="30"/>
        <v>#N/A</v>
      </c>
      <c r="AK493" t="e">
        <f t="shared" si="31"/>
        <v>#N/A</v>
      </c>
    </row>
    <row r="494" spans="1:37">
      <c r="A494" t="s">
        <v>2395</v>
      </c>
      <c r="B494" t="s">
        <v>2396</v>
      </c>
      <c r="C494" t="s">
        <v>2397</v>
      </c>
      <c r="D494" t="s">
        <v>2398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156</v>
      </c>
      <c r="L494" t="s">
        <v>2399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  <c r="V494" s="1" t="s">
        <v>72</v>
      </c>
      <c r="W494" s="1" t="s">
        <v>108</v>
      </c>
      <c r="X494" s="1" t="s">
        <v>62</v>
      </c>
      <c r="Y494" s="1" t="s">
        <v>100</v>
      </c>
      <c r="Z494" s="1" t="s">
        <v>101</v>
      </c>
      <c r="AA494" s="1" t="s">
        <v>30</v>
      </c>
      <c r="AB494" s="1" t="s">
        <v>156</v>
      </c>
      <c r="AC494" s="1" t="s">
        <v>33</v>
      </c>
      <c r="AD494" s="1" t="s">
        <v>34</v>
      </c>
      <c r="AE494" s="1" t="s">
        <v>35</v>
      </c>
      <c r="AF494" s="5" t="e">
        <f t="shared" si="28"/>
        <v>#N/A</v>
      </c>
      <c r="AG494" s="5">
        <f t="shared" si="28"/>
        <v>45840</v>
      </c>
      <c r="AH494" s="5" t="b">
        <f t="shared" si="29"/>
        <v>0</v>
      </c>
      <c r="AI494" s="5" t="b">
        <f t="shared" si="29"/>
        <v>1</v>
      </c>
      <c r="AJ494" t="e">
        <f t="shared" si="30"/>
        <v>#N/A</v>
      </c>
      <c r="AK494" t="e">
        <f t="shared" si="31"/>
        <v>#N/A</v>
      </c>
    </row>
    <row r="495" spans="1:37">
      <c r="A495" t="s">
        <v>2400</v>
      </c>
      <c r="B495" t="s">
        <v>1415</v>
      </c>
      <c r="C495" t="s">
        <v>2401</v>
      </c>
      <c r="D495" t="s">
        <v>2402</v>
      </c>
      <c r="E495" t="s">
        <v>366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2403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2404</v>
      </c>
      <c r="V495" s="1" t="s">
        <v>366</v>
      </c>
      <c r="W495" s="1" t="s">
        <v>108</v>
      </c>
      <c r="X495" s="1" t="s">
        <v>42</v>
      </c>
      <c r="Y495" s="1" t="s">
        <v>43</v>
      </c>
      <c r="Z495" s="1" t="s">
        <v>44</v>
      </c>
      <c r="AA495" s="1" t="s">
        <v>30</v>
      </c>
      <c r="AB495" s="1" t="s">
        <v>31</v>
      </c>
      <c r="AC495" s="1" t="s">
        <v>33</v>
      </c>
      <c r="AD495" s="1" t="s">
        <v>34</v>
      </c>
      <c r="AE495" s="1" t="s">
        <v>35</v>
      </c>
      <c r="AF495" s="5">
        <f t="shared" si="28"/>
        <v>45701</v>
      </c>
      <c r="AG495" s="5">
        <f t="shared" si="28"/>
        <v>45701</v>
      </c>
      <c r="AH495" s="5" t="b">
        <f t="shared" si="29"/>
        <v>1</v>
      </c>
      <c r="AI495" s="5" t="b">
        <f t="shared" si="29"/>
        <v>1</v>
      </c>
      <c r="AJ495" t="str">
        <f t="shared" si="30"/>
        <v>OK</v>
      </c>
      <c r="AK495">
        <f t="shared" si="31"/>
        <v>0</v>
      </c>
    </row>
    <row r="496" spans="1:37">
      <c r="A496" t="s">
        <v>2405</v>
      </c>
      <c r="B496" t="s">
        <v>2406</v>
      </c>
      <c r="C496" t="s">
        <v>2407</v>
      </c>
      <c r="D496" t="s">
        <v>2408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223</v>
      </c>
      <c r="L496" t="s">
        <v>2409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200</v>
      </c>
      <c r="U496" t="s">
        <v>78</v>
      </c>
      <c r="V496" s="1" t="s">
        <v>53</v>
      </c>
      <c r="W496" s="1" t="s">
        <v>26</v>
      </c>
      <c r="X496" s="1" t="s">
        <v>73</v>
      </c>
      <c r="Y496" s="1" t="s">
        <v>84</v>
      </c>
      <c r="Z496" s="1" t="s">
        <v>85</v>
      </c>
      <c r="AA496" s="1" t="s">
        <v>86</v>
      </c>
      <c r="AB496" s="1" t="s">
        <v>223</v>
      </c>
      <c r="AC496" s="1" t="s">
        <v>67</v>
      </c>
      <c r="AD496" s="1" t="s">
        <v>200</v>
      </c>
      <c r="AE496" s="1" t="s">
        <v>78</v>
      </c>
      <c r="AF496" s="5">
        <f t="shared" si="28"/>
        <v>45610</v>
      </c>
      <c r="AG496" s="5">
        <f t="shared" si="28"/>
        <v>45618</v>
      </c>
      <c r="AH496" s="5" t="b">
        <f t="shared" si="29"/>
        <v>1</v>
      </c>
      <c r="AI496" s="5" t="b">
        <f t="shared" si="29"/>
        <v>1</v>
      </c>
      <c r="AJ496" t="str">
        <f t="shared" si="30"/>
        <v>OK</v>
      </c>
      <c r="AK496">
        <f t="shared" si="31"/>
        <v>8</v>
      </c>
    </row>
    <row r="497" spans="1:37">
      <c r="A497" t="s">
        <v>2410</v>
      </c>
      <c r="B497" t="s">
        <v>2191</v>
      </c>
      <c r="C497" t="s">
        <v>2411</v>
      </c>
      <c r="D497" t="s">
        <v>2412</v>
      </c>
      <c r="E497" t="s">
        <v>40</v>
      </c>
      <c r="F497" t="s">
        <v>41</v>
      </c>
      <c r="G497" t="s">
        <v>42</v>
      </c>
      <c r="H497" t="s">
        <v>216</v>
      </c>
      <c r="I497" t="s">
        <v>217</v>
      </c>
      <c r="J497" t="s">
        <v>86</v>
      </c>
      <c r="K497" t="s">
        <v>223</v>
      </c>
      <c r="L497" t="s">
        <v>2413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  <c r="V497" s="1" t="s">
        <v>40</v>
      </c>
      <c r="W497" s="1" t="s">
        <v>41</v>
      </c>
      <c r="X497" s="1" t="s">
        <v>42</v>
      </c>
      <c r="Y497" s="1" t="s">
        <v>216</v>
      </c>
      <c r="Z497" s="1" t="s">
        <v>217</v>
      </c>
      <c r="AA497" s="1" t="s">
        <v>86</v>
      </c>
      <c r="AB497" s="1" t="s">
        <v>223</v>
      </c>
      <c r="AC497" s="1" t="s">
        <v>33</v>
      </c>
      <c r="AD497" s="1" t="s">
        <v>124</v>
      </c>
      <c r="AE497" s="1" t="s">
        <v>125</v>
      </c>
      <c r="AF497" s="5">
        <f t="shared" si="28"/>
        <v>45421</v>
      </c>
      <c r="AG497" s="5">
        <f t="shared" si="28"/>
        <v>45427</v>
      </c>
      <c r="AH497" s="5" t="b">
        <f t="shared" si="29"/>
        <v>1</v>
      </c>
      <c r="AI497" s="5" t="b">
        <f t="shared" si="29"/>
        <v>1</v>
      </c>
      <c r="AJ497" t="str">
        <f t="shared" si="30"/>
        <v>OK</v>
      </c>
      <c r="AK497">
        <f t="shared" si="31"/>
        <v>6</v>
      </c>
    </row>
    <row r="498" spans="1:37">
      <c r="A498" t="s">
        <v>2414</v>
      </c>
      <c r="B498" t="s">
        <v>2415</v>
      </c>
      <c r="C498" t="s">
        <v>2416</v>
      </c>
      <c r="D498" t="s">
        <v>2417</v>
      </c>
      <c r="E498" t="s">
        <v>366</v>
      </c>
      <c r="F498" t="s">
        <v>41</v>
      </c>
      <c r="G498" t="s">
        <v>42</v>
      </c>
      <c r="H498" t="s">
        <v>311</v>
      </c>
      <c r="I498" t="s">
        <v>312</v>
      </c>
      <c r="J498" t="s">
        <v>45</v>
      </c>
      <c r="K498" t="s">
        <v>76</v>
      </c>
      <c r="L498" t="s">
        <v>2418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  <c r="V498" s="1" t="s">
        <v>366</v>
      </c>
      <c r="W498" s="1" t="s">
        <v>41</v>
      </c>
      <c r="X498" s="1" t="s">
        <v>42</v>
      </c>
      <c r="Y498" s="1" t="s">
        <v>311</v>
      </c>
      <c r="Z498" s="1" t="s">
        <v>312</v>
      </c>
      <c r="AA498" s="1" t="s">
        <v>45</v>
      </c>
      <c r="AB498" s="1" t="s">
        <v>76</v>
      </c>
      <c r="AC498" s="1" t="s">
        <v>33</v>
      </c>
      <c r="AD498" s="1" t="s">
        <v>34</v>
      </c>
      <c r="AE498" s="1" t="s">
        <v>35</v>
      </c>
      <c r="AF498" s="5">
        <f t="shared" si="28"/>
        <v>45842</v>
      </c>
      <c r="AG498" s="5">
        <f t="shared" si="28"/>
        <v>45844</v>
      </c>
      <c r="AH498" s="5" t="b">
        <f t="shared" si="29"/>
        <v>1</v>
      </c>
      <c r="AI498" s="5" t="b">
        <f t="shared" si="29"/>
        <v>1</v>
      </c>
      <c r="AJ498" t="str">
        <f t="shared" si="30"/>
        <v>OK</v>
      </c>
      <c r="AK498">
        <f t="shared" si="31"/>
        <v>2</v>
      </c>
    </row>
    <row r="499" spans="1:37">
      <c r="A499" t="s">
        <v>2419</v>
      </c>
      <c r="B499" t="s">
        <v>2420</v>
      </c>
      <c r="C499" t="s">
        <v>2420</v>
      </c>
      <c r="D499" t="s">
        <v>2421</v>
      </c>
      <c r="E499" t="s">
        <v>168</v>
      </c>
      <c r="F499" t="s">
        <v>41</v>
      </c>
      <c r="G499" t="s">
        <v>712</v>
      </c>
      <c r="H499" t="s">
        <v>174</v>
      </c>
      <c r="I499" t="s">
        <v>175</v>
      </c>
      <c r="J499" t="s">
        <v>86</v>
      </c>
      <c r="K499" t="s">
        <v>87</v>
      </c>
      <c r="L499" t="s">
        <v>2422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  <c r="V499" s="1" t="s">
        <v>168</v>
      </c>
      <c r="W499" s="1" t="s">
        <v>41</v>
      </c>
      <c r="X499" s="1" t="s">
        <v>27</v>
      </c>
      <c r="Y499" s="1" t="s">
        <v>174</v>
      </c>
      <c r="Z499" s="1" t="s">
        <v>175</v>
      </c>
      <c r="AA499" s="1" t="s">
        <v>86</v>
      </c>
      <c r="AB499" s="1" t="s">
        <v>87</v>
      </c>
      <c r="AC499" s="1" t="s">
        <v>33</v>
      </c>
      <c r="AD499" s="1" t="s">
        <v>34</v>
      </c>
      <c r="AE499" s="1" t="s">
        <v>78</v>
      </c>
      <c r="AF499" s="5">
        <f t="shared" si="28"/>
        <v>45533</v>
      </c>
      <c r="AG499" s="5">
        <f t="shared" si="28"/>
        <v>45533</v>
      </c>
      <c r="AH499" s="5" t="b">
        <f t="shared" si="29"/>
        <v>1</v>
      </c>
      <c r="AI499" s="5" t="b">
        <f t="shared" si="29"/>
        <v>1</v>
      </c>
      <c r="AJ499" t="str">
        <f t="shared" si="30"/>
        <v>OK</v>
      </c>
      <c r="AK499">
        <f t="shared" si="31"/>
        <v>0</v>
      </c>
    </row>
    <row r="500" spans="1:37">
      <c r="A500" t="s">
        <v>2423</v>
      </c>
      <c r="B500" t="s">
        <v>2424</v>
      </c>
      <c r="C500" t="s">
        <v>2425</v>
      </c>
      <c r="D500" t="s">
        <v>2426</v>
      </c>
      <c r="E500" t="s">
        <v>25</v>
      </c>
      <c r="F500" t="s">
        <v>26</v>
      </c>
      <c r="G500" t="s">
        <v>27</v>
      </c>
      <c r="H500" t="s">
        <v>154</v>
      </c>
      <c r="I500" t="s">
        <v>155</v>
      </c>
      <c r="J500" t="s">
        <v>45</v>
      </c>
      <c r="K500" t="s">
        <v>76</v>
      </c>
      <c r="L500" t="s">
        <v>2427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2428</v>
      </c>
      <c r="V500" s="1" t="s">
        <v>25</v>
      </c>
      <c r="W500" s="1" t="s">
        <v>26</v>
      </c>
      <c r="X500" s="1" t="s">
        <v>27</v>
      </c>
      <c r="Y500" s="1" t="s">
        <v>154</v>
      </c>
      <c r="Z500" s="1" t="s">
        <v>155</v>
      </c>
      <c r="AA500" s="1" t="s">
        <v>45</v>
      </c>
      <c r="AB500" s="1" t="s">
        <v>76</v>
      </c>
      <c r="AC500" s="1" t="s">
        <v>48</v>
      </c>
      <c r="AD500" s="1" t="s">
        <v>124</v>
      </c>
      <c r="AE500" s="1" t="s">
        <v>78</v>
      </c>
      <c r="AF500" s="5">
        <f t="shared" si="28"/>
        <v>45907</v>
      </c>
      <c r="AG500" s="5">
        <f t="shared" si="28"/>
        <v>45910</v>
      </c>
      <c r="AH500" s="5" t="b">
        <f t="shared" si="29"/>
        <v>1</v>
      </c>
      <c r="AI500" s="5" t="b">
        <f t="shared" si="29"/>
        <v>1</v>
      </c>
      <c r="AJ500" t="str">
        <f t="shared" si="30"/>
        <v>OK</v>
      </c>
      <c r="AK500">
        <f t="shared" si="31"/>
        <v>3</v>
      </c>
    </row>
    <row r="501" spans="1:37">
      <c r="A501" t="s">
        <v>2429</v>
      </c>
      <c r="B501" t="s">
        <v>2430</v>
      </c>
      <c r="C501" t="s">
        <v>1445</v>
      </c>
      <c r="D501" t="s">
        <v>2431</v>
      </c>
      <c r="E501" t="s">
        <v>148</v>
      </c>
      <c r="F501" t="s">
        <v>115</v>
      </c>
      <c r="G501" t="s">
        <v>27</v>
      </c>
      <c r="H501" t="s">
        <v>174</v>
      </c>
      <c r="I501" t="s">
        <v>175</v>
      </c>
      <c r="J501" t="s">
        <v>45</v>
      </c>
      <c r="K501" t="s">
        <v>76</v>
      </c>
      <c r="L501" t="s">
        <v>2432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  <c r="V501" s="1" t="s">
        <v>148</v>
      </c>
      <c r="W501" s="1" t="s">
        <v>115</v>
      </c>
      <c r="X501" s="1" t="s">
        <v>27</v>
      </c>
      <c r="Y501" s="1" t="s">
        <v>174</v>
      </c>
      <c r="Z501" s="1" t="s">
        <v>175</v>
      </c>
      <c r="AA501" s="1" t="s">
        <v>45</v>
      </c>
      <c r="AB501" s="1" t="s">
        <v>76</v>
      </c>
      <c r="AC501" s="1" t="s">
        <v>67</v>
      </c>
      <c r="AD501" s="1" t="s">
        <v>34</v>
      </c>
      <c r="AE501" s="1" t="s">
        <v>78</v>
      </c>
      <c r="AF501" s="5">
        <f t="shared" si="28"/>
        <v>45648</v>
      </c>
      <c r="AG501" s="5" t="e">
        <f t="shared" si="28"/>
        <v>#N/A</v>
      </c>
      <c r="AH501" s="5" t="b">
        <f t="shared" si="29"/>
        <v>1</v>
      </c>
      <c r="AI501" s="5" t="b">
        <f t="shared" si="29"/>
        <v>0</v>
      </c>
      <c r="AJ501" t="e">
        <f t="shared" si="30"/>
        <v>#N/A</v>
      </c>
      <c r="AK501" t="e">
        <f t="shared" si="31"/>
        <v>#N/A</v>
      </c>
    </row>
    <row r="502" spans="1:37">
      <c r="A502" t="s">
        <v>2433</v>
      </c>
      <c r="B502" t="s">
        <v>1129</v>
      </c>
      <c r="C502" t="s">
        <v>2434</v>
      </c>
      <c r="D502" t="s">
        <v>2435</v>
      </c>
      <c r="E502" t="s">
        <v>168</v>
      </c>
      <c r="F502" t="s">
        <v>26</v>
      </c>
      <c r="G502" t="s">
        <v>62</v>
      </c>
      <c r="H502" t="s">
        <v>242</v>
      </c>
      <c r="I502" t="s">
        <v>243</v>
      </c>
      <c r="J502" t="s">
        <v>86</v>
      </c>
      <c r="K502" t="s">
        <v>223</v>
      </c>
      <c r="L502" t="s">
        <v>2436</v>
      </c>
      <c r="M502" t="s">
        <v>48</v>
      </c>
      <c r="N502">
        <v>9</v>
      </c>
      <c r="O502">
        <v>3795.99</v>
      </c>
      <c r="P502" t="s">
        <v>1170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  <c r="V502" s="1" t="s">
        <v>168</v>
      </c>
      <c r="W502" s="1" t="s">
        <v>26</v>
      </c>
      <c r="X502" s="1" t="s">
        <v>62</v>
      </c>
      <c r="Y502" s="1" t="s">
        <v>242</v>
      </c>
      <c r="Z502" s="1" t="s">
        <v>243</v>
      </c>
      <c r="AA502" s="1" t="s">
        <v>86</v>
      </c>
      <c r="AB502" s="1" t="s">
        <v>223</v>
      </c>
      <c r="AC502" s="1" t="s">
        <v>48</v>
      </c>
      <c r="AD502" s="1" t="s">
        <v>34</v>
      </c>
      <c r="AE502" s="1" t="s">
        <v>35</v>
      </c>
      <c r="AF502" s="5">
        <f t="shared" si="28"/>
        <v>45429</v>
      </c>
      <c r="AG502" s="5">
        <f t="shared" si="28"/>
        <v>45434</v>
      </c>
      <c r="AH502" s="5" t="b">
        <f t="shared" si="29"/>
        <v>1</v>
      </c>
      <c r="AI502" s="5" t="b">
        <f t="shared" si="29"/>
        <v>1</v>
      </c>
      <c r="AJ502" t="str">
        <f t="shared" si="30"/>
        <v>OK</v>
      </c>
      <c r="AK502">
        <f t="shared" si="31"/>
        <v>5</v>
      </c>
    </row>
    <row r="503" spans="1:37">
      <c r="A503" t="s">
        <v>2437</v>
      </c>
      <c r="B503" t="s">
        <v>2438</v>
      </c>
      <c r="C503" t="s">
        <v>2439</v>
      </c>
      <c r="D503" t="s">
        <v>1237</v>
      </c>
      <c r="E503" t="s">
        <v>93</v>
      </c>
      <c r="F503" t="s">
        <v>26</v>
      </c>
      <c r="G503" t="s">
        <v>42</v>
      </c>
      <c r="H503" t="s">
        <v>311</v>
      </c>
      <c r="I503" t="s">
        <v>312</v>
      </c>
      <c r="J503" t="s">
        <v>30</v>
      </c>
      <c r="K503" t="s">
        <v>54</v>
      </c>
      <c r="L503" t="s">
        <v>2440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  <c r="V503" s="1" t="s">
        <v>93</v>
      </c>
      <c r="W503" s="1" t="s">
        <v>26</v>
      </c>
      <c r="X503" s="1" t="s">
        <v>42</v>
      </c>
      <c r="Y503" s="1" t="s">
        <v>311</v>
      </c>
      <c r="Z503" s="1" t="s">
        <v>312</v>
      </c>
      <c r="AA503" s="1" t="s">
        <v>30</v>
      </c>
      <c r="AB503" s="1" t="s">
        <v>54</v>
      </c>
      <c r="AC503" s="1" t="s">
        <v>33</v>
      </c>
      <c r="AD503" s="1" t="s">
        <v>34</v>
      </c>
      <c r="AE503" s="1" t="s">
        <v>35</v>
      </c>
      <c r="AF503" s="5">
        <f t="shared" si="28"/>
        <v>45515</v>
      </c>
      <c r="AG503" s="5">
        <f t="shared" si="28"/>
        <v>45521</v>
      </c>
      <c r="AH503" s="5" t="b">
        <f t="shared" si="29"/>
        <v>1</v>
      </c>
      <c r="AI503" s="5" t="b">
        <f t="shared" si="29"/>
        <v>1</v>
      </c>
      <c r="AJ503" t="str">
        <f t="shared" si="30"/>
        <v>OK</v>
      </c>
      <c r="AK503">
        <f t="shared" si="31"/>
        <v>6</v>
      </c>
    </row>
    <row r="504" spans="1:37">
      <c r="A504" t="s">
        <v>2441</v>
      </c>
      <c r="B504" t="s">
        <v>2442</v>
      </c>
      <c r="C504" t="s">
        <v>2443</v>
      </c>
      <c r="D504" t="s">
        <v>2444</v>
      </c>
      <c r="E504" t="s">
        <v>142</v>
      </c>
      <c r="F504" t="s">
        <v>41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2445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  <c r="V504" s="1" t="s">
        <v>142</v>
      </c>
      <c r="W504" s="1" t="s">
        <v>41</v>
      </c>
      <c r="X504" s="1" t="s">
        <v>42</v>
      </c>
      <c r="Y504" s="1" t="s">
        <v>43</v>
      </c>
      <c r="Z504" s="1" t="s">
        <v>44</v>
      </c>
      <c r="AA504" s="1" t="s">
        <v>86</v>
      </c>
      <c r="AB504" s="1" t="s">
        <v>94</v>
      </c>
      <c r="AC504" s="1" t="s">
        <v>33</v>
      </c>
      <c r="AD504" s="1" t="s">
        <v>34</v>
      </c>
      <c r="AE504" s="1" t="s">
        <v>35</v>
      </c>
      <c r="AF504" s="5">
        <f t="shared" si="28"/>
        <v>45383</v>
      </c>
      <c r="AG504" s="5">
        <f t="shared" si="28"/>
        <v>45391</v>
      </c>
      <c r="AH504" s="5" t="b">
        <f t="shared" si="29"/>
        <v>1</v>
      </c>
      <c r="AI504" s="5" t="b">
        <f t="shared" si="29"/>
        <v>1</v>
      </c>
      <c r="AJ504" t="str">
        <f t="shared" si="30"/>
        <v>OK</v>
      </c>
      <c r="AK504">
        <f t="shared" si="31"/>
        <v>8</v>
      </c>
    </row>
    <row r="505" spans="1:37">
      <c r="A505" t="s">
        <v>2446</v>
      </c>
      <c r="B505" t="s">
        <v>2447</v>
      </c>
      <c r="C505" t="s">
        <v>2448</v>
      </c>
      <c r="D505" t="s">
        <v>2449</v>
      </c>
      <c r="E505" t="s">
        <v>162</v>
      </c>
      <c r="F505" t="s">
        <v>26</v>
      </c>
      <c r="G505" t="s">
        <v>62</v>
      </c>
      <c r="H505" t="s">
        <v>339</v>
      </c>
      <c r="I505" t="s">
        <v>340</v>
      </c>
      <c r="J505" t="s">
        <v>86</v>
      </c>
      <c r="K505" t="s">
        <v>223</v>
      </c>
      <c r="L505" t="s">
        <v>2450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  <c r="V505" s="1" t="s">
        <v>162</v>
      </c>
      <c r="W505" s="1" t="s">
        <v>26</v>
      </c>
      <c r="X505" s="1" t="s">
        <v>62</v>
      </c>
      <c r="Y505" s="1" t="s">
        <v>339</v>
      </c>
      <c r="Z505" s="1" t="s">
        <v>340</v>
      </c>
      <c r="AA505" s="1" t="s">
        <v>86</v>
      </c>
      <c r="AB505" s="1" t="s">
        <v>223</v>
      </c>
      <c r="AC505" s="1" t="s">
        <v>67</v>
      </c>
      <c r="AD505" s="1" t="s">
        <v>34</v>
      </c>
      <c r="AE505" s="1" t="s">
        <v>35</v>
      </c>
      <c r="AF505" s="5">
        <f t="shared" si="28"/>
        <v>45563</v>
      </c>
      <c r="AG505" s="5">
        <f t="shared" si="28"/>
        <v>45570</v>
      </c>
      <c r="AH505" s="5" t="b">
        <f t="shared" si="29"/>
        <v>1</v>
      </c>
      <c r="AI505" s="5" t="b">
        <f t="shared" si="29"/>
        <v>1</v>
      </c>
      <c r="AJ505" t="str">
        <f t="shared" si="30"/>
        <v>OK</v>
      </c>
      <c r="AK505">
        <f t="shared" si="31"/>
        <v>7</v>
      </c>
    </row>
    <row r="506" spans="1:37">
      <c r="A506" t="s">
        <v>2451</v>
      </c>
      <c r="B506" t="s">
        <v>2452</v>
      </c>
      <c r="C506" t="s">
        <v>2453</v>
      </c>
      <c r="D506" t="s">
        <v>2454</v>
      </c>
      <c r="E506" t="s">
        <v>61</v>
      </c>
      <c r="F506" t="s">
        <v>108</v>
      </c>
      <c r="G506" t="s">
        <v>73</v>
      </c>
      <c r="H506" t="s">
        <v>235</v>
      </c>
      <c r="I506" t="s">
        <v>236</v>
      </c>
      <c r="J506" t="s">
        <v>30</v>
      </c>
      <c r="K506" t="s">
        <v>54</v>
      </c>
      <c r="L506" t="s">
        <v>2455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  <c r="V506" s="1" t="s">
        <v>61</v>
      </c>
      <c r="W506" s="1" t="s">
        <v>108</v>
      </c>
      <c r="X506" s="1" t="s">
        <v>73</v>
      </c>
      <c r="Y506" s="1" t="s">
        <v>235</v>
      </c>
      <c r="Z506" s="1" t="s">
        <v>236</v>
      </c>
      <c r="AA506" s="1" t="s">
        <v>30</v>
      </c>
      <c r="AB506" s="1" t="s">
        <v>54</v>
      </c>
      <c r="AC506" s="1" t="s">
        <v>67</v>
      </c>
      <c r="AD506" s="1" t="s">
        <v>34</v>
      </c>
      <c r="AE506" s="1" t="s">
        <v>35</v>
      </c>
      <c r="AF506" s="5">
        <f t="shared" si="28"/>
        <v>45700</v>
      </c>
      <c r="AG506" s="5">
        <f t="shared" si="28"/>
        <v>45705</v>
      </c>
      <c r="AH506" s="5" t="b">
        <f t="shared" si="29"/>
        <v>1</v>
      </c>
      <c r="AI506" s="5" t="b">
        <f t="shared" si="29"/>
        <v>1</v>
      </c>
      <c r="AJ506" t="str">
        <f t="shared" si="30"/>
        <v>OK</v>
      </c>
      <c r="AK506">
        <f t="shared" si="31"/>
        <v>5</v>
      </c>
    </row>
    <row r="507" spans="1:37">
      <c r="A507" t="s">
        <v>2456</v>
      </c>
      <c r="B507" t="s">
        <v>2457</v>
      </c>
      <c r="C507" t="s">
        <v>1380</v>
      </c>
      <c r="D507" t="s">
        <v>2458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2459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  <c r="V507" s="1" t="s">
        <v>93</v>
      </c>
      <c r="W507" s="1" t="s">
        <v>108</v>
      </c>
      <c r="X507" s="1" t="s">
        <v>73</v>
      </c>
      <c r="Y507" s="1" t="s">
        <v>84</v>
      </c>
      <c r="Z507" s="1" t="s">
        <v>85</v>
      </c>
      <c r="AA507" s="1" t="s">
        <v>30</v>
      </c>
      <c r="AB507" s="1" t="s">
        <v>54</v>
      </c>
      <c r="AC507" s="1" t="s">
        <v>56</v>
      </c>
      <c r="AD507" s="1" t="s">
        <v>34</v>
      </c>
      <c r="AE507" s="1" t="s">
        <v>78</v>
      </c>
      <c r="AF507" s="5">
        <f t="shared" si="28"/>
        <v>45605</v>
      </c>
      <c r="AG507" s="5">
        <f t="shared" si="28"/>
        <v>45610</v>
      </c>
      <c r="AH507" s="5" t="b">
        <f t="shared" si="29"/>
        <v>1</v>
      </c>
      <c r="AI507" s="5" t="b">
        <f t="shared" si="29"/>
        <v>1</v>
      </c>
      <c r="AJ507" t="str">
        <f t="shared" si="30"/>
        <v>OK</v>
      </c>
      <c r="AK507">
        <f t="shared" si="31"/>
        <v>5</v>
      </c>
    </row>
    <row r="508" spans="1:37">
      <c r="A508" t="s">
        <v>2460</v>
      </c>
      <c r="B508" t="s">
        <v>2461</v>
      </c>
      <c r="C508" t="s">
        <v>2462</v>
      </c>
      <c r="D508" t="s">
        <v>2463</v>
      </c>
      <c r="E508" t="s">
        <v>162</v>
      </c>
      <c r="F508" t="s">
        <v>41</v>
      </c>
      <c r="G508" t="s">
        <v>27</v>
      </c>
      <c r="H508" t="s">
        <v>154</v>
      </c>
      <c r="I508" t="s">
        <v>155</v>
      </c>
      <c r="J508" t="s">
        <v>45</v>
      </c>
      <c r="K508" t="s">
        <v>65</v>
      </c>
      <c r="L508" t="s">
        <v>2464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  <c r="V508" s="1" t="s">
        <v>162</v>
      </c>
      <c r="W508" s="1" t="s">
        <v>41</v>
      </c>
      <c r="X508" s="1" t="s">
        <v>27</v>
      </c>
      <c r="Y508" s="1" t="s">
        <v>154</v>
      </c>
      <c r="Z508" s="1" t="s">
        <v>155</v>
      </c>
      <c r="AA508" s="1" t="s">
        <v>45</v>
      </c>
      <c r="AB508" s="1" t="s">
        <v>65</v>
      </c>
      <c r="AC508" s="1" t="s">
        <v>56</v>
      </c>
      <c r="AD508" s="1" t="s">
        <v>124</v>
      </c>
      <c r="AE508" s="1" t="s">
        <v>125</v>
      </c>
      <c r="AF508" s="5" t="e">
        <f t="shared" si="28"/>
        <v>#N/A</v>
      </c>
      <c r="AG508" s="5">
        <f t="shared" si="28"/>
        <v>45641</v>
      </c>
      <c r="AH508" s="5" t="b">
        <f t="shared" si="29"/>
        <v>0</v>
      </c>
      <c r="AI508" s="5" t="b">
        <f t="shared" si="29"/>
        <v>1</v>
      </c>
      <c r="AJ508" t="e">
        <f t="shared" si="30"/>
        <v>#N/A</v>
      </c>
      <c r="AK508" t="e">
        <f t="shared" si="31"/>
        <v>#N/A</v>
      </c>
    </row>
    <row r="509" spans="1:37">
      <c r="A509" t="s">
        <v>2465</v>
      </c>
      <c r="B509" t="s">
        <v>2143</v>
      </c>
      <c r="C509" t="s">
        <v>2109</v>
      </c>
      <c r="D509" t="s">
        <v>2466</v>
      </c>
      <c r="E509" t="s">
        <v>53</v>
      </c>
      <c r="F509" t="s">
        <v>41</v>
      </c>
      <c r="G509" t="s">
        <v>27</v>
      </c>
      <c r="H509" t="s">
        <v>323</v>
      </c>
      <c r="I509" t="s">
        <v>324</v>
      </c>
      <c r="J509" t="s">
        <v>30</v>
      </c>
      <c r="K509" t="s">
        <v>198</v>
      </c>
      <c r="L509" t="s">
        <v>2467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  <c r="V509" s="1" t="s">
        <v>53</v>
      </c>
      <c r="W509" s="1" t="s">
        <v>41</v>
      </c>
      <c r="X509" s="1" t="s">
        <v>27</v>
      </c>
      <c r="Y509" s="1" t="s">
        <v>323</v>
      </c>
      <c r="Z509" s="1" t="s">
        <v>324</v>
      </c>
      <c r="AA509" s="1" t="s">
        <v>30</v>
      </c>
      <c r="AB509" s="1" t="s">
        <v>198</v>
      </c>
      <c r="AC509" s="1" t="s">
        <v>48</v>
      </c>
      <c r="AD509" s="1" t="s">
        <v>34</v>
      </c>
      <c r="AE509" s="1" t="s">
        <v>35</v>
      </c>
      <c r="AF509" s="5">
        <f t="shared" si="28"/>
        <v>45762</v>
      </c>
      <c r="AG509" s="5">
        <f t="shared" si="28"/>
        <v>45769</v>
      </c>
      <c r="AH509" s="5" t="b">
        <f t="shared" si="29"/>
        <v>1</v>
      </c>
      <c r="AI509" s="5" t="b">
        <f t="shared" si="29"/>
        <v>1</v>
      </c>
      <c r="AJ509" t="str">
        <f t="shared" si="30"/>
        <v>OK</v>
      </c>
      <c r="AK509">
        <f t="shared" si="31"/>
        <v>7</v>
      </c>
    </row>
    <row r="510" spans="1:37">
      <c r="A510" t="s">
        <v>2468</v>
      </c>
      <c r="B510" t="s">
        <v>2469</v>
      </c>
      <c r="C510" t="s">
        <v>1419</v>
      </c>
      <c r="D510" t="s">
        <v>2470</v>
      </c>
      <c r="E510" t="s">
        <v>53</v>
      </c>
      <c r="F510" t="s">
        <v>41</v>
      </c>
      <c r="G510" t="s">
        <v>27</v>
      </c>
      <c r="H510" t="s">
        <v>323</v>
      </c>
      <c r="I510" t="s">
        <v>324</v>
      </c>
      <c r="J510" t="s">
        <v>86</v>
      </c>
      <c r="K510" t="s">
        <v>382</v>
      </c>
      <c r="L510" t="s">
        <v>2471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  <c r="V510" s="1" t="s">
        <v>53</v>
      </c>
      <c r="W510" s="1" t="s">
        <v>41</v>
      </c>
      <c r="X510" s="1" t="s">
        <v>27</v>
      </c>
      <c r="Y510" s="1" t="s">
        <v>323</v>
      </c>
      <c r="Z510" s="1" t="s">
        <v>324</v>
      </c>
      <c r="AA510" s="1" t="s">
        <v>86</v>
      </c>
      <c r="AB510" s="1" t="s">
        <v>382</v>
      </c>
      <c r="AC510" s="1" t="s">
        <v>33</v>
      </c>
      <c r="AD510" s="1" t="s">
        <v>34</v>
      </c>
      <c r="AE510" s="1" t="s">
        <v>35</v>
      </c>
      <c r="AF510" s="5">
        <f t="shared" si="28"/>
        <v>45382</v>
      </c>
      <c r="AG510" s="5">
        <f t="shared" si="28"/>
        <v>45477</v>
      </c>
      <c r="AH510" s="5" t="b">
        <f t="shared" si="29"/>
        <v>1</v>
      </c>
      <c r="AI510" s="5" t="b">
        <f t="shared" si="29"/>
        <v>1</v>
      </c>
      <c r="AJ510" t="str">
        <f t="shared" si="30"/>
        <v>OK</v>
      </c>
      <c r="AK510">
        <f t="shared" si="31"/>
        <v>95</v>
      </c>
    </row>
    <row r="511" spans="1:37">
      <c r="A511" t="s">
        <v>2472</v>
      </c>
      <c r="B511" t="s">
        <v>2473</v>
      </c>
      <c r="C511" t="s">
        <v>2474</v>
      </c>
      <c r="D511" t="s">
        <v>2475</v>
      </c>
      <c r="E511" t="s">
        <v>93</v>
      </c>
      <c r="F511" t="s">
        <v>26</v>
      </c>
      <c r="G511" t="s">
        <v>73</v>
      </c>
      <c r="H511" t="s">
        <v>235</v>
      </c>
      <c r="I511" t="s">
        <v>236</v>
      </c>
      <c r="J511" t="s">
        <v>86</v>
      </c>
      <c r="K511" t="s">
        <v>382</v>
      </c>
      <c r="L511" t="s">
        <v>2476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  <c r="V511" s="1" t="s">
        <v>93</v>
      </c>
      <c r="W511" s="1" t="s">
        <v>26</v>
      </c>
      <c r="X511" s="1" t="s">
        <v>73</v>
      </c>
      <c r="Y511" s="1" t="s">
        <v>235</v>
      </c>
      <c r="Z511" s="1" t="s">
        <v>236</v>
      </c>
      <c r="AA511" s="1" t="s">
        <v>86</v>
      </c>
      <c r="AB511" s="1" t="s">
        <v>382</v>
      </c>
      <c r="AC511" s="1" t="s">
        <v>48</v>
      </c>
      <c r="AD511" s="1" t="s">
        <v>34</v>
      </c>
      <c r="AE511" s="1" t="s">
        <v>35</v>
      </c>
      <c r="AF511" s="5">
        <f t="shared" si="28"/>
        <v>45789</v>
      </c>
      <c r="AG511" s="5">
        <f t="shared" si="28"/>
        <v>45791</v>
      </c>
      <c r="AH511" s="5" t="b">
        <f t="shared" si="29"/>
        <v>1</v>
      </c>
      <c r="AI511" s="5" t="b">
        <f t="shared" si="29"/>
        <v>1</v>
      </c>
      <c r="AJ511" t="str">
        <f t="shared" si="30"/>
        <v>OK</v>
      </c>
      <c r="AK511">
        <f t="shared" si="31"/>
        <v>2</v>
      </c>
    </row>
    <row r="512" spans="1:37">
      <c r="A512" t="s">
        <v>2477</v>
      </c>
      <c r="B512" t="s">
        <v>644</v>
      </c>
      <c r="C512" t="s">
        <v>2478</v>
      </c>
      <c r="D512" t="s">
        <v>2479</v>
      </c>
      <c r="E512" t="s">
        <v>2480</v>
      </c>
      <c r="F512" t="s">
        <v>26</v>
      </c>
      <c r="G512" t="s">
        <v>62</v>
      </c>
      <c r="H512" t="s">
        <v>229</v>
      </c>
      <c r="I512" t="s">
        <v>230</v>
      </c>
      <c r="J512" t="s">
        <v>30</v>
      </c>
      <c r="K512" t="s">
        <v>156</v>
      </c>
      <c r="L512" t="s">
        <v>2481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  <c r="V512" s="1" t="s">
        <v>162</v>
      </c>
      <c r="W512" s="1" t="s">
        <v>26</v>
      </c>
      <c r="X512" s="1" t="s">
        <v>62</v>
      </c>
      <c r="Y512" s="1" t="s">
        <v>229</v>
      </c>
      <c r="Z512" s="1" t="s">
        <v>230</v>
      </c>
      <c r="AA512" s="1" t="s">
        <v>30</v>
      </c>
      <c r="AB512" s="1" t="s">
        <v>156</v>
      </c>
      <c r="AC512" s="1" t="s">
        <v>33</v>
      </c>
      <c r="AD512" s="1" t="s">
        <v>34</v>
      </c>
      <c r="AE512" s="1" t="s">
        <v>35</v>
      </c>
      <c r="AF512" s="5">
        <f t="shared" si="28"/>
        <v>45583</v>
      </c>
      <c r="AG512" s="5" t="e">
        <f t="shared" si="28"/>
        <v>#N/A</v>
      </c>
      <c r="AH512" s="5" t="b">
        <f t="shared" si="29"/>
        <v>1</v>
      </c>
      <c r="AI512" s="5" t="b">
        <f t="shared" si="29"/>
        <v>0</v>
      </c>
      <c r="AJ512" t="e">
        <f t="shared" si="30"/>
        <v>#N/A</v>
      </c>
      <c r="AK512" t="e">
        <f t="shared" si="31"/>
        <v>#N/A</v>
      </c>
    </row>
    <row r="513" spans="1:37">
      <c r="A513" t="s">
        <v>2482</v>
      </c>
      <c r="B513" t="s">
        <v>2483</v>
      </c>
      <c r="C513" t="s">
        <v>2484</v>
      </c>
      <c r="D513" t="s">
        <v>2485</v>
      </c>
      <c r="E513" t="s">
        <v>168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204</v>
      </c>
      <c r="L513" t="s">
        <v>2486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  <c r="V513" s="1" t="s">
        <v>168</v>
      </c>
      <c r="W513" s="1" t="s">
        <v>26</v>
      </c>
      <c r="X513" s="1" t="s">
        <v>73</v>
      </c>
      <c r="Y513" s="1" t="s">
        <v>84</v>
      </c>
      <c r="Z513" s="1" t="s">
        <v>85</v>
      </c>
      <c r="AA513" s="1" t="s">
        <v>45</v>
      </c>
      <c r="AB513" s="1" t="s">
        <v>204</v>
      </c>
      <c r="AC513" s="1" t="s">
        <v>67</v>
      </c>
      <c r="AD513" s="1" t="s">
        <v>34</v>
      </c>
      <c r="AE513" s="1" t="s">
        <v>35</v>
      </c>
      <c r="AF513" s="5">
        <f t="shared" si="28"/>
        <v>45588</v>
      </c>
      <c r="AG513" s="5">
        <f t="shared" si="28"/>
        <v>45591</v>
      </c>
      <c r="AH513" s="5" t="b">
        <f t="shared" si="29"/>
        <v>1</v>
      </c>
      <c r="AI513" s="5" t="b">
        <f t="shared" si="29"/>
        <v>1</v>
      </c>
      <c r="AJ513" t="str">
        <f t="shared" si="30"/>
        <v>OK</v>
      </c>
      <c r="AK513">
        <f t="shared" si="31"/>
        <v>3</v>
      </c>
    </row>
    <row r="514" spans="1:37">
      <c r="A514" t="s">
        <v>2487</v>
      </c>
      <c r="B514" t="s">
        <v>786</v>
      </c>
      <c r="C514" t="s">
        <v>2488</v>
      </c>
      <c r="D514" t="s">
        <v>1900</v>
      </c>
      <c r="E514" t="s">
        <v>53</v>
      </c>
      <c r="F514" t="s">
        <v>108</v>
      </c>
      <c r="G514" t="s">
        <v>62</v>
      </c>
      <c r="H514" t="s">
        <v>242</v>
      </c>
      <c r="I514" t="s">
        <v>243</v>
      </c>
      <c r="J514" t="s">
        <v>30</v>
      </c>
      <c r="K514" t="s">
        <v>109</v>
      </c>
      <c r="L514" t="s">
        <v>2489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  <c r="V514" s="1" t="s">
        <v>53</v>
      </c>
      <c r="W514" s="1" t="s">
        <v>108</v>
      </c>
      <c r="X514" s="1" t="s">
        <v>62</v>
      </c>
      <c r="Y514" s="1" t="s">
        <v>242</v>
      </c>
      <c r="Z514" s="1" t="s">
        <v>243</v>
      </c>
      <c r="AA514" s="1" t="s">
        <v>30</v>
      </c>
      <c r="AB514" s="1" t="s">
        <v>109</v>
      </c>
      <c r="AC514" s="1" t="s">
        <v>33</v>
      </c>
      <c r="AD514" s="1" t="s">
        <v>34</v>
      </c>
      <c r="AE514" s="1" t="s">
        <v>35</v>
      </c>
      <c r="AF514" s="5">
        <f t="shared" si="28"/>
        <v>45718</v>
      </c>
      <c r="AG514" s="5">
        <f t="shared" si="28"/>
        <v>45719</v>
      </c>
      <c r="AH514" s="5" t="b">
        <f t="shared" si="29"/>
        <v>1</v>
      </c>
      <c r="AI514" s="5" t="b">
        <f t="shared" si="29"/>
        <v>1</v>
      </c>
      <c r="AJ514" t="str">
        <f t="shared" si="30"/>
        <v>OK</v>
      </c>
      <c r="AK514">
        <f t="shared" si="31"/>
        <v>1</v>
      </c>
    </row>
    <row r="515" spans="1:37">
      <c r="A515" t="s">
        <v>2490</v>
      </c>
      <c r="B515" t="s">
        <v>997</v>
      </c>
      <c r="C515" t="s">
        <v>2397</v>
      </c>
      <c r="D515" t="s">
        <v>2491</v>
      </c>
      <c r="E515" t="s">
        <v>162</v>
      </c>
      <c r="F515" t="s">
        <v>108</v>
      </c>
      <c r="G515" t="s">
        <v>62</v>
      </c>
      <c r="H515" t="s">
        <v>242</v>
      </c>
      <c r="I515" t="s">
        <v>243</v>
      </c>
      <c r="J515" t="s">
        <v>86</v>
      </c>
      <c r="K515" t="s">
        <v>87</v>
      </c>
      <c r="L515" t="s">
        <v>2492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  <c r="V515" s="1" t="s">
        <v>162</v>
      </c>
      <c r="W515" s="1" t="s">
        <v>108</v>
      </c>
      <c r="X515" s="1" t="s">
        <v>62</v>
      </c>
      <c r="Y515" s="1" t="s">
        <v>242</v>
      </c>
      <c r="Z515" s="1" t="s">
        <v>243</v>
      </c>
      <c r="AA515" s="1" t="s">
        <v>86</v>
      </c>
      <c r="AB515" s="1" t="s">
        <v>87</v>
      </c>
      <c r="AC515" s="1" t="s">
        <v>56</v>
      </c>
      <c r="AD515" s="1" t="s">
        <v>34</v>
      </c>
      <c r="AE515" s="1" t="s">
        <v>35</v>
      </c>
      <c r="AF515" s="5" t="e">
        <f t="shared" ref="AF515:AG578" si="32">IFERROR(DATEVALUE(B515),IFERROR(DATE(VALUE(RIGHT(B515,4)),VALUE(MID(SUBSTITUTE(B515,"-","/"),6,2)),VALUE(LEFT(B515,2))),NA()))</f>
        <v>#N/A</v>
      </c>
      <c r="AG515" s="5">
        <f t="shared" si="32"/>
        <v>45840</v>
      </c>
      <c r="AH515" s="5" t="b">
        <f t="shared" ref="AH515:AI578" si="33">ISNUMBER(AF515)</f>
        <v>0</v>
      </c>
      <c r="AI515" s="5" t="b">
        <f t="shared" si="33"/>
        <v>1</v>
      </c>
      <c r="AJ515" t="e">
        <f t="shared" ref="AJ515:AJ578" si="34">IF(AG515&lt;AF515,"Invalid: Ship before Order","OK")</f>
        <v>#N/A</v>
      </c>
      <c r="AK515" t="e">
        <f t="shared" ref="AK515:AK578" si="35">DATEDIF(AF515, AG515, "D")</f>
        <v>#N/A</v>
      </c>
    </row>
    <row r="516" spans="1:37">
      <c r="A516" t="s">
        <v>2493</v>
      </c>
      <c r="B516" t="s">
        <v>2494</v>
      </c>
      <c r="C516" t="s">
        <v>2407</v>
      </c>
      <c r="D516" t="s">
        <v>2495</v>
      </c>
      <c r="E516" t="s">
        <v>25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87</v>
      </c>
      <c r="L516" t="s">
        <v>2496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  <c r="V516" s="1" t="s">
        <v>25</v>
      </c>
      <c r="W516" s="1" t="s">
        <v>115</v>
      </c>
      <c r="X516" s="1" t="s">
        <v>62</v>
      </c>
      <c r="Y516" s="1" t="s">
        <v>242</v>
      </c>
      <c r="Z516" s="1" t="s">
        <v>243</v>
      </c>
      <c r="AA516" s="1" t="s">
        <v>86</v>
      </c>
      <c r="AB516" s="1" t="s">
        <v>87</v>
      </c>
      <c r="AC516" s="1" t="s">
        <v>67</v>
      </c>
      <c r="AD516" s="1" t="s">
        <v>34</v>
      </c>
      <c r="AE516" s="1" t="s">
        <v>35</v>
      </c>
      <c r="AF516" s="5">
        <f t="shared" si="32"/>
        <v>45614</v>
      </c>
      <c r="AG516" s="5">
        <f t="shared" si="32"/>
        <v>45618</v>
      </c>
      <c r="AH516" s="5" t="b">
        <f t="shared" si="33"/>
        <v>1</v>
      </c>
      <c r="AI516" s="5" t="b">
        <f t="shared" si="33"/>
        <v>1</v>
      </c>
      <c r="AJ516" t="str">
        <f t="shared" si="34"/>
        <v>OK</v>
      </c>
      <c r="AK516">
        <f t="shared" si="35"/>
        <v>4</v>
      </c>
    </row>
    <row r="517" spans="1:37">
      <c r="A517" t="s">
        <v>2497</v>
      </c>
      <c r="B517" t="s">
        <v>2142</v>
      </c>
      <c r="C517" t="s">
        <v>2498</v>
      </c>
      <c r="D517" t="s">
        <v>2499</v>
      </c>
      <c r="E517" t="s">
        <v>148</v>
      </c>
      <c r="F517" t="s">
        <v>108</v>
      </c>
      <c r="G517" t="s">
        <v>27</v>
      </c>
      <c r="H517" t="s">
        <v>506</v>
      </c>
      <c r="I517" t="s">
        <v>507</v>
      </c>
      <c r="J517" t="s">
        <v>30</v>
      </c>
      <c r="K517" t="s">
        <v>31</v>
      </c>
      <c r="L517" t="s">
        <v>2500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  <c r="V517" s="1" t="s">
        <v>148</v>
      </c>
      <c r="W517" s="1" t="s">
        <v>108</v>
      </c>
      <c r="X517" s="1" t="s">
        <v>27</v>
      </c>
      <c r="Y517" s="1" t="s">
        <v>506</v>
      </c>
      <c r="Z517" s="1" t="s">
        <v>507</v>
      </c>
      <c r="AA517" s="1" t="s">
        <v>30</v>
      </c>
      <c r="AB517" s="1" t="s">
        <v>31</v>
      </c>
      <c r="AC517" s="1" t="s">
        <v>67</v>
      </c>
      <c r="AD517" s="1" t="s">
        <v>34</v>
      </c>
      <c r="AE517" s="1" t="s">
        <v>35</v>
      </c>
      <c r="AF517" s="5">
        <f t="shared" si="32"/>
        <v>45758</v>
      </c>
      <c r="AG517" s="5">
        <f t="shared" si="32"/>
        <v>45758</v>
      </c>
      <c r="AH517" s="5" t="b">
        <f t="shared" si="33"/>
        <v>1</v>
      </c>
      <c r="AI517" s="5" t="b">
        <f t="shared" si="33"/>
        <v>1</v>
      </c>
      <c r="AJ517" t="str">
        <f t="shared" si="34"/>
        <v>OK</v>
      </c>
      <c r="AK517">
        <f t="shared" si="35"/>
        <v>0</v>
      </c>
    </row>
    <row r="518" spans="1:37">
      <c r="A518" t="s">
        <v>2501</v>
      </c>
      <c r="B518" t="s">
        <v>2502</v>
      </c>
      <c r="C518" t="s">
        <v>2503</v>
      </c>
      <c r="D518" t="s">
        <v>2504</v>
      </c>
      <c r="E518" t="s">
        <v>366</v>
      </c>
      <c r="F518" t="s">
        <v>115</v>
      </c>
      <c r="G518" t="s">
        <v>27</v>
      </c>
      <c r="H518" t="s">
        <v>506</v>
      </c>
      <c r="I518" t="s">
        <v>507</v>
      </c>
      <c r="J518" t="s">
        <v>86</v>
      </c>
      <c r="K518" t="s">
        <v>94</v>
      </c>
      <c r="L518" t="s">
        <v>2505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200</v>
      </c>
      <c r="U518" t="s">
        <v>125</v>
      </c>
      <c r="V518" s="1" t="s">
        <v>366</v>
      </c>
      <c r="W518" s="1" t="s">
        <v>115</v>
      </c>
      <c r="X518" s="1" t="s">
        <v>27</v>
      </c>
      <c r="Y518" s="1" t="s">
        <v>506</v>
      </c>
      <c r="Z518" s="1" t="s">
        <v>507</v>
      </c>
      <c r="AA518" s="1" t="s">
        <v>86</v>
      </c>
      <c r="AB518" s="1" t="s">
        <v>94</v>
      </c>
      <c r="AC518" s="1" t="s">
        <v>67</v>
      </c>
      <c r="AD518" s="1" t="s">
        <v>200</v>
      </c>
      <c r="AE518" s="1" t="s">
        <v>125</v>
      </c>
      <c r="AF518" s="5">
        <f t="shared" si="32"/>
        <v>45563</v>
      </c>
      <c r="AG518" s="5">
        <f t="shared" si="32"/>
        <v>45569</v>
      </c>
      <c r="AH518" s="5" t="b">
        <f t="shared" si="33"/>
        <v>1</v>
      </c>
      <c r="AI518" s="5" t="b">
        <f t="shared" si="33"/>
        <v>1</v>
      </c>
      <c r="AJ518" t="str">
        <f t="shared" si="34"/>
        <v>OK</v>
      </c>
      <c r="AK518">
        <f t="shared" si="35"/>
        <v>6</v>
      </c>
    </row>
    <row r="519" spans="1:37">
      <c r="A519" t="s">
        <v>2506</v>
      </c>
      <c r="B519" t="s">
        <v>2507</v>
      </c>
      <c r="C519" t="s">
        <v>1682</v>
      </c>
      <c r="D519" t="s">
        <v>2508</v>
      </c>
      <c r="E519" t="s">
        <v>148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2509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  <c r="V519" s="1" t="s">
        <v>148</v>
      </c>
      <c r="W519" s="1" t="s">
        <v>26</v>
      </c>
      <c r="X519" s="1" t="s">
        <v>42</v>
      </c>
      <c r="Y519" s="1" t="s">
        <v>43</v>
      </c>
      <c r="Z519" s="1" t="s">
        <v>44</v>
      </c>
      <c r="AA519" s="1" t="s">
        <v>45</v>
      </c>
      <c r="AB519" s="1" t="s">
        <v>65</v>
      </c>
      <c r="AC519" s="1" t="s">
        <v>33</v>
      </c>
      <c r="AD519" s="1" t="s">
        <v>124</v>
      </c>
      <c r="AE519" s="1" t="s">
        <v>125</v>
      </c>
      <c r="AF519" s="5">
        <f t="shared" si="32"/>
        <v>45802</v>
      </c>
      <c r="AG519" s="5">
        <f t="shared" si="32"/>
        <v>45804</v>
      </c>
      <c r="AH519" s="5" t="b">
        <f t="shared" si="33"/>
        <v>1</v>
      </c>
      <c r="AI519" s="5" t="b">
        <f t="shared" si="33"/>
        <v>1</v>
      </c>
      <c r="AJ519" t="str">
        <f t="shared" si="34"/>
        <v>OK</v>
      </c>
      <c r="AK519">
        <f t="shared" si="35"/>
        <v>2</v>
      </c>
    </row>
    <row r="520" spans="1:37">
      <c r="A520" t="s">
        <v>2510</v>
      </c>
      <c r="B520" t="s">
        <v>2392</v>
      </c>
      <c r="C520" t="s">
        <v>2511</v>
      </c>
      <c r="D520" t="s">
        <v>2512</v>
      </c>
      <c r="E520" t="s">
        <v>210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2513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  <c r="V520" s="1" t="s">
        <v>210</v>
      </c>
      <c r="W520" s="1" t="s">
        <v>108</v>
      </c>
      <c r="X520" s="1" t="s">
        <v>42</v>
      </c>
      <c r="Y520" s="1" t="s">
        <v>43</v>
      </c>
      <c r="Z520" s="1" t="s">
        <v>44</v>
      </c>
      <c r="AA520" s="1" t="s">
        <v>45</v>
      </c>
      <c r="AB520" s="1" t="s">
        <v>46</v>
      </c>
      <c r="AC520" s="1" t="s">
        <v>56</v>
      </c>
      <c r="AD520" s="1" t="s">
        <v>34</v>
      </c>
      <c r="AE520" s="1" t="s">
        <v>78</v>
      </c>
      <c r="AF520" s="5" t="e">
        <f t="shared" si="32"/>
        <v>#N/A</v>
      </c>
      <c r="AG520" s="5">
        <f t="shared" si="32"/>
        <v>45773</v>
      </c>
      <c r="AH520" s="5" t="b">
        <f t="shared" si="33"/>
        <v>0</v>
      </c>
      <c r="AI520" s="5" t="b">
        <f t="shared" si="33"/>
        <v>1</v>
      </c>
      <c r="AJ520" t="e">
        <f t="shared" si="34"/>
        <v>#N/A</v>
      </c>
      <c r="AK520" t="e">
        <f t="shared" si="35"/>
        <v>#N/A</v>
      </c>
    </row>
    <row r="521" spans="1:37">
      <c r="A521" t="s">
        <v>2514</v>
      </c>
      <c r="B521" t="s">
        <v>380</v>
      </c>
      <c r="C521" t="s">
        <v>2515</v>
      </c>
      <c r="D521" t="s">
        <v>2516</v>
      </c>
      <c r="E521" t="s">
        <v>142</v>
      </c>
      <c r="F521" t="s">
        <v>26</v>
      </c>
      <c r="G521" t="s">
        <v>27</v>
      </c>
      <c r="H521" t="s">
        <v>174</v>
      </c>
      <c r="I521" t="s">
        <v>175</v>
      </c>
      <c r="J521" t="s">
        <v>45</v>
      </c>
      <c r="K521" t="s">
        <v>46</v>
      </c>
      <c r="L521" t="s">
        <v>2517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137</v>
      </c>
      <c r="U521" t="s">
        <v>78</v>
      </c>
      <c r="V521" s="1" t="s">
        <v>142</v>
      </c>
      <c r="W521" s="1" t="s">
        <v>26</v>
      </c>
      <c r="X521" s="1" t="s">
        <v>27</v>
      </c>
      <c r="Y521" s="1" t="s">
        <v>174</v>
      </c>
      <c r="Z521" s="1" t="s">
        <v>175</v>
      </c>
      <c r="AA521" s="1" t="s">
        <v>45</v>
      </c>
      <c r="AB521" s="1" t="s">
        <v>46</v>
      </c>
      <c r="AC521" s="1" t="s">
        <v>67</v>
      </c>
      <c r="AD521" s="1" t="s">
        <v>137</v>
      </c>
      <c r="AE521" s="1" t="s">
        <v>78</v>
      </c>
      <c r="AF521" s="5">
        <f t="shared" si="32"/>
        <v>45723</v>
      </c>
      <c r="AG521" s="5">
        <f t="shared" si="32"/>
        <v>45845</v>
      </c>
      <c r="AH521" s="5" t="b">
        <f t="shared" si="33"/>
        <v>1</v>
      </c>
      <c r="AI521" s="5" t="b">
        <f t="shared" si="33"/>
        <v>1</v>
      </c>
      <c r="AJ521" t="str">
        <f t="shared" si="34"/>
        <v>OK</v>
      </c>
      <c r="AK521">
        <f t="shared" si="35"/>
        <v>122</v>
      </c>
    </row>
    <row r="522" spans="1:37">
      <c r="A522" t="s">
        <v>2518</v>
      </c>
      <c r="B522" t="s">
        <v>1109</v>
      </c>
      <c r="C522" t="s">
        <v>2519</v>
      </c>
      <c r="D522" t="s">
        <v>2520</v>
      </c>
      <c r="E522" t="s">
        <v>162</v>
      </c>
      <c r="F522" t="s">
        <v>115</v>
      </c>
      <c r="G522" t="s">
        <v>62</v>
      </c>
      <c r="H522" t="s">
        <v>229</v>
      </c>
      <c r="I522" t="s">
        <v>230</v>
      </c>
      <c r="J522" t="s">
        <v>86</v>
      </c>
      <c r="K522" t="s">
        <v>382</v>
      </c>
      <c r="L522" t="s">
        <v>2521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  <c r="V522" s="1" t="s">
        <v>162</v>
      </c>
      <c r="W522" s="1" t="s">
        <v>115</v>
      </c>
      <c r="X522" s="1" t="s">
        <v>62</v>
      </c>
      <c r="Y522" s="1" t="s">
        <v>229</v>
      </c>
      <c r="Z522" s="1" t="s">
        <v>230</v>
      </c>
      <c r="AA522" s="1" t="s">
        <v>86</v>
      </c>
      <c r="AB522" s="1" t="s">
        <v>382</v>
      </c>
      <c r="AC522" s="1" t="s">
        <v>48</v>
      </c>
      <c r="AD522" s="1" t="s">
        <v>34</v>
      </c>
      <c r="AE522" s="1" t="s">
        <v>35</v>
      </c>
      <c r="AF522" s="5">
        <f t="shared" si="32"/>
        <v>45489</v>
      </c>
      <c r="AG522" s="5">
        <f t="shared" si="32"/>
        <v>45496</v>
      </c>
      <c r="AH522" s="5" t="b">
        <f t="shared" si="33"/>
        <v>1</v>
      </c>
      <c r="AI522" s="5" t="b">
        <f t="shared" si="33"/>
        <v>1</v>
      </c>
      <c r="AJ522" t="str">
        <f t="shared" si="34"/>
        <v>OK</v>
      </c>
      <c r="AK522">
        <f t="shared" si="35"/>
        <v>7</v>
      </c>
    </row>
    <row r="523" spans="1:37">
      <c r="A523" t="s">
        <v>2522</v>
      </c>
      <c r="B523" t="s">
        <v>2523</v>
      </c>
      <c r="C523" t="s">
        <v>2524</v>
      </c>
      <c r="D523" t="s">
        <v>2525</v>
      </c>
      <c r="E523" t="s">
        <v>210</v>
      </c>
      <c r="F523" t="s">
        <v>26</v>
      </c>
      <c r="G523" t="s">
        <v>27</v>
      </c>
      <c r="H523" t="s">
        <v>154</v>
      </c>
      <c r="I523" t="s">
        <v>155</v>
      </c>
      <c r="J523" t="s">
        <v>30</v>
      </c>
      <c r="K523" t="s">
        <v>109</v>
      </c>
      <c r="L523" t="s">
        <v>2526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  <c r="V523" s="1" t="s">
        <v>210</v>
      </c>
      <c r="W523" s="1" t="s">
        <v>26</v>
      </c>
      <c r="X523" s="1" t="s">
        <v>27</v>
      </c>
      <c r="Y523" s="1" t="s">
        <v>154</v>
      </c>
      <c r="Z523" s="1" t="s">
        <v>155</v>
      </c>
      <c r="AA523" s="1" t="s">
        <v>30</v>
      </c>
      <c r="AB523" s="1" t="s">
        <v>109</v>
      </c>
      <c r="AC523" s="1" t="s">
        <v>33</v>
      </c>
      <c r="AD523" s="1" t="s">
        <v>34</v>
      </c>
      <c r="AE523" s="1" t="s">
        <v>35</v>
      </c>
      <c r="AF523" s="5">
        <f t="shared" si="32"/>
        <v>45741</v>
      </c>
      <c r="AG523" s="5">
        <f t="shared" si="32"/>
        <v>45748</v>
      </c>
      <c r="AH523" s="5" t="b">
        <f t="shared" si="33"/>
        <v>1</v>
      </c>
      <c r="AI523" s="5" t="b">
        <f t="shared" si="33"/>
        <v>1</v>
      </c>
      <c r="AJ523" t="str">
        <f t="shared" si="34"/>
        <v>OK</v>
      </c>
      <c r="AK523">
        <f t="shared" si="35"/>
        <v>7</v>
      </c>
    </row>
    <row r="524" spans="1:37">
      <c r="A524" t="s">
        <v>2527</v>
      </c>
      <c r="B524" t="s">
        <v>2528</v>
      </c>
      <c r="C524" t="s">
        <v>2324</v>
      </c>
      <c r="D524" t="s">
        <v>2529</v>
      </c>
      <c r="E524" t="s">
        <v>93</v>
      </c>
      <c r="F524" t="s">
        <v>41</v>
      </c>
      <c r="G524" t="s">
        <v>42</v>
      </c>
      <c r="H524" t="s">
        <v>311</v>
      </c>
      <c r="I524" t="s">
        <v>312</v>
      </c>
      <c r="J524" t="s">
        <v>86</v>
      </c>
      <c r="K524" t="s">
        <v>223</v>
      </c>
      <c r="L524" t="s">
        <v>2530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  <c r="V524" s="1" t="s">
        <v>93</v>
      </c>
      <c r="W524" s="1" t="s">
        <v>41</v>
      </c>
      <c r="X524" s="1" t="s">
        <v>42</v>
      </c>
      <c r="Y524" s="1" t="s">
        <v>311</v>
      </c>
      <c r="Z524" s="1" t="s">
        <v>312</v>
      </c>
      <c r="AA524" s="1" t="s">
        <v>86</v>
      </c>
      <c r="AB524" s="1" t="s">
        <v>223</v>
      </c>
      <c r="AC524" s="1" t="s">
        <v>56</v>
      </c>
      <c r="AD524" s="1" t="s">
        <v>34</v>
      </c>
      <c r="AE524" s="1" t="s">
        <v>35</v>
      </c>
      <c r="AF524" s="5">
        <f t="shared" si="32"/>
        <v>45716</v>
      </c>
      <c r="AG524" s="5">
        <f t="shared" si="32"/>
        <v>45724</v>
      </c>
      <c r="AH524" s="5" t="b">
        <f t="shared" si="33"/>
        <v>1</v>
      </c>
      <c r="AI524" s="5" t="b">
        <f t="shared" si="33"/>
        <v>1</v>
      </c>
      <c r="AJ524" t="str">
        <f t="shared" si="34"/>
        <v>OK</v>
      </c>
      <c r="AK524">
        <f t="shared" si="35"/>
        <v>8</v>
      </c>
    </row>
    <row r="525" spans="1:37">
      <c r="A525" t="s">
        <v>2531</v>
      </c>
      <c r="B525" t="s">
        <v>2532</v>
      </c>
      <c r="C525" t="s">
        <v>2533</v>
      </c>
      <c r="D525" t="s">
        <v>2534</v>
      </c>
      <c r="E525" t="s">
        <v>366</v>
      </c>
      <c r="F525" t="s">
        <v>115</v>
      </c>
      <c r="G525" t="s">
        <v>73</v>
      </c>
      <c r="H525" t="s">
        <v>249</v>
      </c>
      <c r="I525" t="s">
        <v>250</v>
      </c>
      <c r="J525" t="s">
        <v>30</v>
      </c>
      <c r="K525" t="s">
        <v>31</v>
      </c>
      <c r="L525" t="s">
        <v>2535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  <c r="V525" s="1" t="s">
        <v>366</v>
      </c>
      <c r="W525" s="1" t="s">
        <v>115</v>
      </c>
      <c r="X525" s="1" t="s">
        <v>73</v>
      </c>
      <c r="Y525" s="1" t="s">
        <v>249</v>
      </c>
      <c r="Z525" s="1" t="s">
        <v>250</v>
      </c>
      <c r="AA525" s="1" t="s">
        <v>30</v>
      </c>
      <c r="AB525" s="1" t="s">
        <v>31</v>
      </c>
      <c r="AC525" s="1" t="s">
        <v>33</v>
      </c>
      <c r="AD525" s="1" t="s">
        <v>34</v>
      </c>
      <c r="AE525" s="1" t="s">
        <v>125</v>
      </c>
      <c r="AF525" s="5">
        <f t="shared" si="32"/>
        <v>45326</v>
      </c>
      <c r="AG525" s="5">
        <f t="shared" si="32"/>
        <v>45385</v>
      </c>
      <c r="AH525" s="5" t="b">
        <f t="shared" si="33"/>
        <v>1</v>
      </c>
      <c r="AI525" s="5" t="b">
        <f t="shared" si="33"/>
        <v>1</v>
      </c>
      <c r="AJ525" t="str">
        <f t="shared" si="34"/>
        <v>OK</v>
      </c>
      <c r="AK525">
        <f t="shared" si="35"/>
        <v>59</v>
      </c>
    </row>
    <row r="526" spans="1:37">
      <c r="A526" t="s">
        <v>2536</v>
      </c>
      <c r="B526" t="s">
        <v>2537</v>
      </c>
      <c r="C526" t="s">
        <v>2538</v>
      </c>
      <c r="D526" t="s">
        <v>2539</v>
      </c>
      <c r="E526" t="s">
        <v>72</v>
      </c>
      <c r="F526" t="s">
        <v>108</v>
      </c>
      <c r="G526" t="s">
        <v>73</v>
      </c>
      <c r="H526" t="s">
        <v>235</v>
      </c>
      <c r="I526" t="s">
        <v>236</v>
      </c>
      <c r="J526" t="s">
        <v>45</v>
      </c>
      <c r="K526" t="s">
        <v>76</v>
      </c>
      <c r="L526" t="s">
        <v>2540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  <c r="V526" s="1" t="s">
        <v>72</v>
      </c>
      <c r="W526" s="1" t="s">
        <v>108</v>
      </c>
      <c r="X526" s="1" t="s">
        <v>73</v>
      </c>
      <c r="Y526" s="1" t="s">
        <v>235</v>
      </c>
      <c r="Z526" s="1" t="s">
        <v>236</v>
      </c>
      <c r="AA526" s="1" t="s">
        <v>45</v>
      </c>
      <c r="AB526" s="1" t="s">
        <v>76</v>
      </c>
      <c r="AC526" s="1" t="s">
        <v>56</v>
      </c>
      <c r="AD526" s="1" t="s">
        <v>34</v>
      </c>
      <c r="AE526" s="1" t="s">
        <v>35</v>
      </c>
      <c r="AF526" s="5">
        <f t="shared" si="32"/>
        <v>45626</v>
      </c>
      <c r="AG526" s="5">
        <f t="shared" si="32"/>
        <v>45627</v>
      </c>
      <c r="AH526" s="5" t="b">
        <f t="shared" si="33"/>
        <v>1</v>
      </c>
      <c r="AI526" s="5" t="b">
        <f t="shared" si="33"/>
        <v>1</v>
      </c>
      <c r="AJ526" t="str">
        <f t="shared" si="34"/>
        <v>OK</v>
      </c>
      <c r="AK526">
        <f t="shared" si="35"/>
        <v>1</v>
      </c>
    </row>
    <row r="527" spans="1:37">
      <c r="A527" t="s">
        <v>2541</v>
      </c>
      <c r="B527" t="s">
        <v>2542</v>
      </c>
      <c r="C527" t="s">
        <v>2543</v>
      </c>
      <c r="D527" t="s">
        <v>2544</v>
      </c>
      <c r="E527" t="s">
        <v>142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2545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  <c r="V527" s="1" t="s">
        <v>142</v>
      </c>
      <c r="W527" s="1" t="s">
        <v>115</v>
      </c>
      <c r="X527" s="1" t="s">
        <v>42</v>
      </c>
      <c r="Y527" s="1" t="s">
        <v>121</v>
      </c>
      <c r="Z527" s="1" t="s">
        <v>122</v>
      </c>
      <c r="AA527" s="1" t="s">
        <v>45</v>
      </c>
      <c r="AB527" s="1" t="s">
        <v>76</v>
      </c>
      <c r="AC527" s="1" t="s">
        <v>67</v>
      </c>
      <c r="AD527" s="1" t="s">
        <v>34</v>
      </c>
      <c r="AE527" s="1" t="s">
        <v>35</v>
      </c>
      <c r="AF527" s="5">
        <f t="shared" si="32"/>
        <v>45582</v>
      </c>
      <c r="AG527" s="5">
        <f t="shared" si="32"/>
        <v>45582</v>
      </c>
      <c r="AH527" s="5" t="b">
        <f t="shared" si="33"/>
        <v>1</v>
      </c>
      <c r="AI527" s="5" t="b">
        <f t="shared" si="33"/>
        <v>1</v>
      </c>
      <c r="AJ527" t="str">
        <f t="shared" si="34"/>
        <v>OK</v>
      </c>
      <c r="AK527">
        <f t="shared" si="35"/>
        <v>0</v>
      </c>
    </row>
    <row r="528" spans="1:37">
      <c r="A528" t="s">
        <v>2546</v>
      </c>
      <c r="B528" t="s">
        <v>2547</v>
      </c>
      <c r="C528" t="s">
        <v>2548</v>
      </c>
      <c r="D528" t="s">
        <v>2549</v>
      </c>
      <c r="E528" t="s">
        <v>142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2550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  <c r="V528" s="1" t="s">
        <v>142</v>
      </c>
      <c r="W528" s="1" t="s">
        <v>26</v>
      </c>
      <c r="X528" s="1" t="s">
        <v>42</v>
      </c>
      <c r="Y528" s="1" t="s">
        <v>43</v>
      </c>
      <c r="Z528" s="1" t="s">
        <v>44</v>
      </c>
      <c r="AA528" s="1" t="s">
        <v>45</v>
      </c>
      <c r="AB528" s="1" t="s">
        <v>46</v>
      </c>
      <c r="AC528" s="1" t="s">
        <v>33</v>
      </c>
      <c r="AD528" s="1" t="s">
        <v>34</v>
      </c>
      <c r="AE528" s="1" t="s">
        <v>35</v>
      </c>
      <c r="AF528" s="5">
        <f t="shared" si="32"/>
        <v>45856</v>
      </c>
      <c r="AG528" s="5">
        <f t="shared" si="32"/>
        <v>45859</v>
      </c>
      <c r="AH528" s="5" t="b">
        <f t="shared" si="33"/>
        <v>1</v>
      </c>
      <c r="AI528" s="5" t="b">
        <f t="shared" si="33"/>
        <v>1</v>
      </c>
      <c r="AJ528" t="str">
        <f t="shared" si="34"/>
        <v>OK</v>
      </c>
      <c r="AK528">
        <f t="shared" si="35"/>
        <v>3</v>
      </c>
    </row>
    <row r="529" spans="1:37">
      <c r="A529" t="s">
        <v>2551</v>
      </c>
      <c r="B529" t="s">
        <v>2552</v>
      </c>
      <c r="C529" t="s">
        <v>2553</v>
      </c>
      <c r="D529" t="s">
        <v>2554</v>
      </c>
      <c r="E529" t="s">
        <v>107</v>
      </c>
      <c r="F529" t="s">
        <v>115</v>
      </c>
      <c r="G529" t="s">
        <v>27</v>
      </c>
      <c r="H529" t="s">
        <v>323</v>
      </c>
      <c r="I529" t="s">
        <v>324</v>
      </c>
      <c r="J529" t="s">
        <v>30</v>
      </c>
      <c r="K529" t="s">
        <v>31</v>
      </c>
      <c r="L529" t="s">
        <v>2555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  <c r="V529" s="1" t="s">
        <v>107</v>
      </c>
      <c r="W529" s="1" t="s">
        <v>115</v>
      </c>
      <c r="X529" s="1" t="s">
        <v>27</v>
      </c>
      <c r="Y529" s="1" t="s">
        <v>323</v>
      </c>
      <c r="Z529" s="1" t="s">
        <v>324</v>
      </c>
      <c r="AA529" s="1" t="s">
        <v>30</v>
      </c>
      <c r="AB529" s="1" t="s">
        <v>31</v>
      </c>
      <c r="AC529" s="1" t="s">
        <v>56</v>
      </c>
      <c r="AD529" s="1" t="s">
        <v>34</v>
      </c>
      <c r="AE529" s="1" t="s">
        <v>35</v>
      </c>
      <c r="AF529" s="5">
        <f t="shared" si="32"/>
        <v>45667</v>
      </c>
      <c r="AG529" s="5">
        <f t="shared" si="32"/>
        <v>45935</v>
      </c>
      <c r="AH529" s="5" t="b">
        <f t="shared" si="33"/>
        <v>1</v>
      </c>
      <c r="AI529" s="5" t="b">
        <f t="shared" si="33"/>
        <v>1</v>
      </c>
      <c r="AJ529" t="str">
        <f t="shared" si="34"/>
        <v>OK</v>
      </c>
      <c r="AK529">
        <f t="shared" si="35"/>
        <v>268</v>
      </c>
    </row>
    <row r="530" spans="1:37">
      <c r="A530" t="s">
        <v>2556</v>
      </c>
      <c r="B530" t="s">
        <v>2557</v>
      </c>
      <c r="C530" t="s">
        <v>2558</v>
      </c>
      <c r="D530" t="s">
        <v>2559</v>
      </c>
      <c r="E530" t="s">
        <v>210</v>
      </c>
      <c r="F530" t="s">
        <v>26</v>
      </c>
      <c r="G530" t="s">
        <v>62</v>
      </c>
      <c r="H530" t="s">
        <v>339</v>
      </c>
      <c r="I530" t="s">
        <v>340</v>
      </c>
      <c r="J530" t="s">
        <v>30</v>
      </c>
      <c r="K530" t="s">
        <v>198</v>
      </c>
      <c r="L530" t="s">
        <v>2560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137</v>
      </c>
      <c r="U530" t="s">
        <v>125</v>
      </c>
      <c r="V530" s="1" t="s">
        <v>210</v>
      </c>
      <c r="W530" s="1" t="s">
        <v>26</v>
      </c>
      <c r="X530" s="1" t="s">
        <v>62</v>
      </c>
      <c r="Y530" s="1" t="s">
        <v>339</v>
      </c>
      <c r="Z530" s="1" t="s">
        <v>340</v>
      </c>
      <c r="AA530" s="1" t="s">
        <v>30</v>
      </c>
      <c r="AB530" s="1" t="s">
        <v>198</v>
      </c>
      <c r="AC530" s="1" t="s">
        <v>67</v>
      </c>
      <c r="AD530" s="1" t="s">
        <v>137</v>
      </c>
      <c r="AE530" s="1" t="s">
        <v>125</v>
      </c>
      <c r="AF530" s="5">
        <f t="shared" si="32"/>
        <v>45572</v>
      </c>
      <c r="AG530" s="5">
        <f t="shared" si="32"/>
        <v>45545</v>
      </c>
      <c r="AH530" s="5" t="b">
        <f t="shared" si="33"/>
        <v>1</v>
      </c>
      <c r="AI530" s="5" t="b">
        <f t="shared" si="33"/>
        <v>1</v>
      </c>
      <c r="AJ530" t="str">
        <f t="shared" si="34"/>
        <v>Invalid: Ship before Order</v>
      </c>
      <c r="AK530" t="e">
        <f t="shared" si="35"/>
        <v>#NUM!</v>
      </c>
    </row>
    <row r="531" spans="1:37">
      <c r="A531" t="s">
        <v>2561</v>
      </c>
      <c r="B531" t="s">
        <v>2280</v>
      </c>
      <c r="C531" t="s">
        <v>2562</v>
      </c>
      <c r="D531" t="s">
        <v>1110</v>
      </c>
      <c r="E531" t="s">
        <v>25</v>
      </c>
      <c r="F531" t="s">
        <v>26</v>
      </c>
      <c r="G531" t="s">
        <v>42</v>
      </c>
      <c r="H531" t="s">
        <v>311</v>
      </c>
      <c r="I531" t="s">
        <v>312</v>
      </c>
      <c r="J531" t="s">
        <v>45</v>
      </c>
      <c r="K531" t="s">
        <v>204</v>
      </c>
      <c r="L531" t="s">
        <v>2563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  <c r="V531" s="1" t="s">
        <v>25</v>
      </c>
      <c r="W531" s="1" t="s">
        <v>26</v>
      </c>
      <c r="X531" s="1" t="s">
        <v>42</v>
      </c>
      <c r="Y531" s="1" t="s">
        <v>311</v>
      </c>
      <c r="Z531" s="1" t="s">
        <v>312</v>
      </c>
      <c r="AA531" s="1" t="s">
        <v>45</v>
      </c>
      <c r="AB531" s="1" t="s">
        <v>204</v>
      </c>
      <c r="AC531" s="1" t="s">
        <v>33</v>
      </c>
      <c r="AD531" s="1" t="s">
        <v>34</v>
      </c>
      <c r="AE531" s="1" t="s">
        <v>35</v>
      </c>
      <c r="AF531" s="5">
        <f t="shared" si="32"/>
        <v>45328</v>
      </c>
      <c r="AG531" s="5">
        <f t="shared" si="32"/>
        <v>45330</v>
      </c>
      <c r="AH531" s="5" t="b">
        <f t="shared" si="33"/>
        <v>1</v>
      </c>
      <c r="AI531" s="5" t="b">
        <f t="shared" si="33"/>
        <v>1</v>
      </c>
      <c r="AJ531" t="str">
        <f t="shared" si="34"/>
        <v>OK</v>
      </c>
      <c r="AK531">
        <f t="shared" si="35"/>
        <v>2</v>
      </c>
    </row>
    <row r="532" spans="1:37">
      <c r="A532" t="s">
        <v>2564</v>
      </c>
      <c r="B532" t="s">
        <v>2565</v>
      </c>
      <c r="C532" t="s">
        <v>2566</v>
      </c>
      <c r="D532" t="s">
        <v>2567</v>
      </c>
      <c r="E532" t="s">
        <v>148</v>
      </c>
      <c r="F532" t="s">
        <v>115</v>
      </c>
      <c r="G532" t="s">
        <v>62</v>
      </c>
      <c r="H532" t="s">
        <v>339</v>
      </c>
      <c r="I532" t="s">
        <v>340</v>
      </c>
      <c r="J532" t="s">
        <v>30</v>
      </c>
      <c r="K532" t="s">
        <v>198</v>
      </c>
      <c r="L532" t="s">
        <v>2568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  <c r="V532" s="1" t="s">
        <v>148</v>
      </c>
      <c r="W532" s="1" t="s">
        <v>115</v>
      </c>
      <c r="X532" s="1" t="s">
        <v>62</v>
      </c>
      <c r="Y532" s="1" t="s">
        <v>339</v>
      </c>
      <c r="Z532" s="1" t="s">
        <v>340</v>
      </c>
      <c r="AA532" s="1" t="s">
        <v>30</v>
      </c>
      <c r="AB532" s="1" t="s">
        <v>198</v>
      </c>
      <c r="AC532" s="1" t="s">
        <v>67</v>
      </c>
      <c r="AD532" s="1" t="s">
        <v>34</v>
      </c>
      <c r="AE532" s="1" t="s">
        <v>35</v>
      </c>
      <c r="AF532" s="5">
        <f t="shared" si="32"/>
        <v>45807</v>
      </c>
      <c r="AG532" s="5">
        <f t="shared" si="32"/>
        <v>45809</v>
      </c>
      <c r="AH532" s="5" t="b">
        <f t="shared" si="33"/>
        <v>1</v>
      </c>
      <c r="AI532" s="5" t="b">
        <f t="shared" si="33"/>
        <v>1</v>
      </c>
      <c r="AJ532" t="str">
        <f t="shared" si="34"/>
        <v>OK</v>
      </c>
      <c r="AK532">
        <f t="shared" si="35"/>
        <v>2</v>
      </c>
    </row>
    <row r="533" spans="1:37">
      <c r="A533" t="s">
        <v>2569</v>
      </c>
      <c r="B533" t="s">
        <v>1299</v>
      </c>
      <c r="C533" t="s">
        <v>2570</v>
      </c>
      <c r="D533" t="s">
        <v>2571</v>
      </c>
      <c r="E533" t="s">
        <v>210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156</v>
      </c>
      <c r="L533" t="s">
        <v>2572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  <c r="V533" s="1" t="s">
        <v>210</v>
      </c>
      <c r="W533" s="1" t="s">
        <v>41</v>
      </c>
      <c r="X533" s="1" t="s">
        <v>73</v>
      </c>
      <c r="Y533" s="1" t="s">
        <v>74</v>
      </c>
      <c r="Z533" s="1" t="s">
        <v>75</v>
      </c>
      <c r="AA533" s="1" t="s">
        <v>30</v>
      </c>
      <c r="AB533" s="1" t="s">
        <v>156</v>
      </c>
      <c r="AC533" s="1" t="s">
        <v>4119</v>
      </c>
      <c r="AD533" s="1" t="s">
        <v>34</v>
      </c>
      <c r="AE533" s="1" t="s">
        <v>35</v>
      </c>
      <c r="AF533" s="5">
        <f t="shared" si="32"/>
        <v>45505</v>
      </c>
      <c r="AG533" s="5">
        <f t="shared" si="32"/>
        <v>45512</v>
      </c>
      <c r="AH533" s="5" t="b">
        <f t="shared" si="33"/>
        <v>1</v>
      </c>
      <c r="AI533" s="5" t="b">
        <f t="shared" si="33"/>
        <v>1</v>
      </c>
      <c r="AJ533" t="str">
        <f t="shared" si="34"/>
        <v>OK</v>
      </c>
      <c r="AK533">
        <f t="shared" si="35"/>
        <v>7</v>
      </c>
    </row>
    <row r="534" spans="1:37">
      <c r="A534" t="s">
        <v>2573</v>
      </c>
      <c r="B534" t="s">
        <v>2553</v>
      </c>
      <c r="C534" t="s">
        <v>308</v>
      </c>
      <c r="D534" t="s">
        <v>2574</v>
      </c>
      <c r="E534" t="s">
        <v>142</v>
      </c>
      <c r="F534" t="s">
        <v>108</v>
      </c>
      <c r="G534" t="s">
        <v>42</v>
      </c>
      <c r="H534" t="s">
        <v>216</v>
      </c>
      <c r="I534" t="s">
        <v>217</v>
      </c>
      <c r="J534" t="s">
        <v>45</v>
      </c>
      <c r="K534" t="s">
        <v>46</v>
      </c>
      <c r="L534" t="s">
        <v>2575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200</v>
      </c>
      <c r="U534" t="s">
        <v>78</v>
      </c>
      <c r="V534" s="1" t="s">
        <v>142</v>
      </c>
      <c r="W534" s="1" t="s">
        <v>108</v>
      </c>
      <c r="X534" s="1" t="s">
        <v>42</v>
      </c>
      <c r="Y534" s="1" t="s">
        <v>216</v>
      </c>
      <c r="Z534" s="1" t="s">
        <v>217</v>
      </c>
      <c r="AA534" s="1" t="s">
        <v>45</v>
      </c>
      <c r="AB534" s="1" t="s">
        <v>46</v>
      </c>
      <c r="AC534" s="1" t="s">
        <v>33</v>
      </c>
      <c r="AD534" s="1" t="s">
        <v>200</v>
      </c>
      <c r="AE534" s="1" t="s">
        <v>78</v>
      </c>
      <c r="AF534" s="5">
        <f t="shared" si="32"/>
        <v>45935</v>
      </c>
      <c r="AG534" s="5">
        <f t="shared" si="32"/>
        <v>45940</v>
      </c>
      <c r="AH534" s="5" t="b">
        <f t="shared" si="33"/>
        <v>1</v>
      </c>
      <c r="AI534" s="5" t="b">
        <f t="shared" si="33"/>
        <v>1</v>
      </c>
      <c r="AJ534" t="str">
        <f t="shared" si="34"/>
        <v>OK</v>
      </c>
      <c r="AK534">
        <f t="shared" si="35"/>
        <v>5</v>
      </c>
    </row>
    <row r="535" spans="1:37">
      <c r="A535" t="s">
        <v>2576</v>
      </c>
      <c r="B535" t="s">
        <v>2577</v>
      </c>
      <c r="C535" t="s">
        <v>395</v>
      </c>
      <c r="D535" t="s">
        <v>2578</v>
      </c>
      <c r="E535" t="s">
        <v>53</v>
      </c>
      <c r="F535" t="s">
        <v>115</v>
      </c>
      <c r="G535" t="s">
        <v>27</v>
      </c>
      <c r="H535" t="s">
        <v>28</v>
      </c>
      <c r="I535" t="s">
        <v>29</v>
      </c>
      <c r="J535" t="s">
        <v>45</v>
      </c>
      <c r="K535" t="s">
        <v>46</v>
      </c>
      <c r="L535" t="s">
        <v>2579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  <c r="V535" s="1" t="s">
        <v>53</v>
      </c>
      <c r="W535" s="1" t="s">
        <v>115</v>
      </c>
      <c r="X535" s="1" t="s">
        <v>27</v>
      </c>
      <c r="Y535" s="1" t="s">
        <v>28</v>
      </c>
      <c r="Z535" s="1" t="s">
        <v>29</v>
      </c>
      <c r="AA535" s="1" t="s">
        <v>45</v>
      </c>
      <c r="AB535" s="1" t="s">
        <v>46</v>
      </c>
      <c r="AC535" s="1" t="s">
        <v>48</v>
      </c>
      <c r="AD535" s="1" t="s">
        <v>34</v>
      </c>
      <c r="AE535" s="1" t="s">
        <v>35</v>
      </c>
      <c r="AF535" s="5">
        <f t="shared" si="32"/>
        <v>45529</v>
      </c>
      <c r="AG535" s="5">
        <f t="shared" si="32"/>
        <v>45536</v>
      </c>
      <c r="AH535" s="5" t="b">
        <f t="shared" si="33"/>
        <v>1</v>
      </c>
      <c r="AI535" s="5" t="b">
        <f t="shared" si="33"/>
        <v>1</v>
      </c>
      <c r="AJ535" t="str">
        <f t="shared" si="34"/>
        <v>OK</v>
      </c>
      <c r="AK535">
        <f t="shared" si="35"/>
        <v>7</v>
      </c>
    </row>
    <row r="536" spans="1:37">
      <c r="A536" t="s">
        <v>2580</v>
      </c>
      <c r="B536" t="s">
        <v>2581</v>
      </c>
      <c r="C536" t="s">
        <v>2582</v>
      </c>
      <c r="D536" t="s">
        <v>2583</v>
      </c>
      <c r="E536" t="s">
        <v>180</v>
      </c>
      <c r="F536" t="s">
        <v>115</v>
      </c>
      <c r="G536" t="s">
        <v>42</v>
      </c>
      <c r="H536" t="s">
        <v>186</v>
      </c>
      <c r="I536" t="s">
        <v>187</v>
      </c>
      <c r="J536" t="s">
        <v>86</v>
      </c>
      <c r="K536" t="s">
        <v>87</v>
      </c>
      <c r="L536" t="s">
        <v>2584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137</v>
      </c>
      <c r="U536" t="s">
        <v>125</v>
      </c>
      <c r="V536" s="1" t="s">
        <v>180</v>
      </c>
      <c r="W536" s="1" t="s">
        <v>115</v>
      </c>
      <c r="X536" s="1" t="s">
        <v>42</v>
      </c>
      <c r="Y536" s="1" t="s">
        <v>186</v>
      </c>
      <c r="Z536" s="1" t="s">
        <v>187</v>
      </c>
      <c r="AA536" s="1" t="s">
        <v>86</v>
      </c>
      <c r="AB536" s="1" t="s">
        <v>87</v>
      </c>
      <c r="AC536" s="1" t="s">
        <v>33</v>
      </c>
      <c r="AD536" s="1" t="s">
        <v>137</v>
      </c>
      <c r="AE536" s="1" t="s">
        <v>125</v>
      </c>
      <c r="AF536" s="5">
        <f t="shared" si="32"/>
        <v>45774</v>
      </c>
      <c r="AG536" s="5">
        <f t="shared" si="32"/>
        <v>45782</v>
      </c>
      <c r="AH536" s="5" t="b">
        <f t="shared" si="33"/>
        <v>1</v>
      </c>
      <c r="AI536" s="5" t="b">
        <f t="shared" si="33"/>
        <v>1</v>
      </c>
      <c r="AJ536" t="str">
        <f t="shared" si="34"/>
        <v>OK</v>
      </c>
      <c r="AK536">
        <f t="shared" si="35"/>
        <v>8</v>
      </c>
    </row>
    <row r="537" spans="1:37">
      <c r="A537" t="s">
        <v>2585</v>
      </c>
      <c r="B537" t="s">
        <v>2586</v>
      </c>
      <c r="C537" t="s">
        <v>2587</v>
      </c>
      <c r="D537" t="s">
        <v>2588</v>
      </c>
      <c r="E537" t="s">
        <v>210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2589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  <c r="V537" s="1" t="s">
        <v>210</v>
      </c>
      <c r="W537" s="1" t="s">
        <v>41</v>
      </c>
      <c r="X537" s="1" t="s">
        <v>73</v>
      </c>
      <c r="Y537" s="1" t="s">
        <v>74</v>
      </c>
      <c r="Z537" s="1" t="s">
        <v>75</v>
      </c>
      <c r="AA537" s="1" t="s">
        <v>86</v>
      </c>
      <c r="AB537" s="1" t="s">
        <v>94</v>
      </c>
      <c r="AC537" s="1" t="s">
        <v>56</v>
      </c>
      <c r="AD537" s="1" t="s">
        <v>34</v>
      </c>
      <c r="AE537" s="1" t="s">
        <v>35</v>
      </c>
      <c r="AF537" s="5" t="e">
        <f t="shared" si="32"/>
        <v>#N/A</v>
      </c>
      <c r="AG537" s="5">
        <f t="shared" si="32"/>
        <v>45433</v>
      </c>
      <c r="AH537" s="5" t="b">
        <f t="shared" si="33"/>
        <v>0</v>
      </c>
      <c r="AI537" s="5" t="b">
        <f t="shared" si="33"/>
        <v>1</v>
      </c>
      <c r="AJ537" t="e">
        <f t="shared" si="34"/>
        <v>#N/A</v>
      </c>
      <c r="AK537" t="e">
        <f t="shared" si="35"/>
        <v>#N/A</v>
      </c>
    </row>
    <row r="538" spans="1:37">
      <c r="A538" t="s">
        <v>2590</v>
      </c>
      <c r="B538" t="s">
        <v>2591</v>
      </c>
      <c r="C538" t="s">
        <v>2592</v>
      </c>
      <c r="D538" t="s">
        <v>2593</v>
      </c>
      <c r="E538" t="s">
        <v>72</v>
      </c>
      <c r="F538" t="s">
        <v>41</v>
      </c>
      <c r="G538" t="s">
        <v>73</v>
      </c>
      <c r="H538" t="s">
        <v>28</v>
      </c>
      <c r="I538" t="s">
        <v>135</v>
      </c>
      <c r="J538" t="s">
        <v>45</v>
      </c>
      <c r="K538" t="s">
        <v>76</v>
      </c>
      <c r="L538" t="s">
        <v>2594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200</v>
      </c>
      <c r="U538" t="s">
        <v>78</v>
      </c>
      <c r="V538" s="1" t="s">
        <v>72</v>
      </c>
      <c r="W538" s="1" t="s">
        <v>41</v>
      </c>
      <c r="X538" s="1" t="s">
        <v>73</v>
      </c>
      <c r="Y538" s="1" t="s">
        <v>28</v>
      </c>
      <c r="Z538" s="1" t="s">
        <v>135</v>
      </c>
      <c r="AA538" s="1" t="s">
        <v>45</v>
      </c>
      <c r="AB538" s="1" t="s">
        <v>76</v>
      </c>
      <c r="AC538" s="1" t="s">
        <v>56</v>
      </c>
      <c r="AD538" s="1" t="s">
        <v>200</v>
      </c>
      <c r="AE538" s="1" t="s">
        <v>78</v>
      </c>
      <c r="AF538" s="5">
        <f t="shared" si="32"/>
        <v>45757</v>
      </c>
      <c r="AG538" s="5">
        <f t="shared" si="32"/>
        <v>45764</v>
      </c>
      <c r="AH538" s="5" t="b">
        <f t="shared" si="33"/>
        <v>1</v>
      </c>
      <c r="AI538" s="5" t="b">
        <f t="shared" si="33"/>
        <v>1</v>
      </c>
      <c r="AJ538" t="str">
        <f t="shared" si="34"/>
        <v>OK</v>
      </c>
      <c r="AK538">
        <f t="shared" si="35"/>
        <v>7</v>
      </c>
    </row>
    <row r="539" spans="1:37">
      <c r="A539" t="s">
        <v>2595</v>
      </c>
      <c r="B539" t="s">
        <v>2038</v>
      </c>
      <c r="C539" t="s">
        <v>2596</v>
      </c>
      <c r="D539" t="s">
        <v>2597</v>
      </c>
      <c r="E539" t="s">
        <v>72</v>
      </c>
      <c r="F539" t="s">
        <v>41</v>
      </c>
      <c r="G539" t="s">
        <v>27</v>
      </c>
      <c r="H539" t="s">
        <v>323</v>
      </c>
      <c r="I539" t="s">
        <v>324</v>
      </c>
      <c r="J539" t="s">
        <v>30</v>
      </c>
      <c r="K539" t="s">
        <v>54</v>
      </c>
      <c r="L539" t="s">
        <v>2598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200</v>
      </c>
      <c r="U539" t="s">
        <v>78</v>
      </c>
      <c r="V539" s="1" t="s">
        <v>72</v>
      </c>
      <c r="W539" s="1" t="s">
        <v>41</v>
      </c>
      <c r="X539" s="1" t="s">
        <v>27</v>
      </c>
      <c r="Y539" s="1" t="s">
        <v>323</v>
      </c>
      <c r="Z539" s="1" t="s">
        <v>324</v>
      </c>
      <c r="AA539" s="1" t="s">
        <v>30</v>
      </c>
      <c r="AB539" s="1" t="s">
        <v>54</v>
      </c>
      <c r="AC539" s="1" t="s">
        <v>48</v>
      </c>
      <c r="AD539" s="1" t="s">
        <v>200</v>
      </c>
      <c r="AE539" s="1" t="s">
        <v>78</v>
      </c>
      <c r="AF539" s="5">
        <f t="shared" si="32"/>
        <v>45313</v>
      </c>
      <c r="AG539" s="5">
        <f t="shared" si="32"/>
        <v>45321</v>
      </c>
      <c r="AH539" s="5" t="b">
        <f t="shared" si="33"/>
        <v>1</v>
      </c>
      <c r="AI539" s="5" t="b">
        <f t="shared" si="33"/>
        <v>1</v>
      </c>
      <c r="AJ539" t="str">
        <f t="shared" si="34"/>
        <v>OK</v>
      </c>
      <c r="AK539">
        <f t="shared" si="35"/>
        <v>8</v>
      </c>
    </row>
    <row r="540" spans="1:37">
      <c r="A540" t="s">
        <v>2599</v>
      </c>
      <c r="B540" t="s">
        <v>2266</v>
      </c>
      <c r="C540" t="s">
        <v>2600</v>
      </c>
      <c r="D540" t="s">
        <v>2601</v>
      </c>
      <c r="E540" t="s">
        <v>210</v>
      </c>
      <c r="F540" t="s">
        <v>41</v>
      </c>
      <c r="G540" t="s">
        <v>42</v>
      </c>
      <c r="H540" t="s">
        <v>311</v>
      </c>
      <c r="I540" t="s">
        <v>312</v>
      </c>
      <c r="J540" t="s">
        <v>45</v>
      </c>
      <c r="K540" t="s">
        <v>46</v>
      </c>
      <c r="L540" t="s">
        <v>2602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  <c r="V540" s="1" t="s">
        <v>210</v>
      </c>
      <c r="W540" s="1" t="s">
        <v>41</v>
      </c>
      <c r="X540" s="1" t="s">
        <v>42</v>
      </c>
      <c r="Y540" s="1" t="s">
        <v>311</v>
      </c>
      <c r="Z540" s="1" t="s">
        <v>312</v>
      </c>
      <c r="AA540" s="1" t="s">
        <v>45</v>
      </c>
      <c r="AB540" s="1" t="s">
        <v>46</v>
      </c>
      <c r="AC540" s="1" t="s">
        <v>33</v>
      </c>
      <c r="AD540" s="1" t="s">
        <v>34</v>
      </c>
      <c r="AE540" s="1" t="s">
        <v>35</v>
      </c>
      <c r="AF540" s="5" t="e">
        <f t="shared" si="32"/>
        <v>#N/A</v>
      </c>
      <c r="AG540" s="5">
        <f t="shared" si="32"/>
        <v>45301</v>
      </c>
      <c r="AH540" s="5" t="b">
        <f t="shared" si="33"/>
        <v>0</v>
      </c>
      <c r="AI540" s="5" t="b">
        <f t="shared" si="33"/>
        <v>1</v>
      </c>
      <c r="AJ540" t="e">
        <f t="shared" si="34"/>
        <v>#N/A</v>
      </c>
      <c r="AK540" t="e">
        <f t="shared" si="35"/>
        <v>#N/A</v>
      </c>
    </row>
    <row r="541" spans="1:37">
      <c r="A541" t="s">
        <v>2603</v>
      </c>
      <c r="B541" t="s">
        <v>1216</v>
      </c>
      <c r="C541" t="s">
        <v>2415</v>
      </c>
      <c r="D541" t="s">
        <v>2604</v>
      </c>
      <c r="E541" t="s">
        <v>2605</v>
      </c>
      <c r="F541" t="s">
        <v>41</v>
      </c>
      <c r="G541" t="s">
        <v>62</v>
      </c>
      <c r="H541" t="s">
        <v>339</v>
      </c>
      <c r="I541" t="s">
        <v>340</v>
      </c>
      <c r="J541" t="s">
        <v>45</v>
      </c>
      <c r="K541" t="s">
        <v>76</v>
      </c>
      <c r="L541" t="s">
        <v>2606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  <c r="V541" s="1" t="s">
        <v>40</v>
      </c>
      <c r="W541" s="1" t="s">
        <v>41</v>
      </c>
      <c r="X541" s="1" t="s">
        <v>62</v>
      </c>
      <c r="Y541" s="1" t="s">
        <v>339</v>
      </c>
      <c r="Z541" s="1" t="s">
        <v>340</v>
      </c>
      <c r="AA541" s="1" t="s">
        <v>45</v>
      </c>
      <c r="AB541" s="1" t="s">
        <v>76</v>
      </c>
      <c r="AC541" s="1" t="s">
        <v>67</v>
      </c>
      <c r="AD541" s="1" t="s">
        <v>34</v>
      </c>
      <c r="AE541" s="1" t="s">
        <v>78</v>
      </c>
      <c r="AF541" s="5">
        <f t="shared" si="32"/>
        <v>45842</v>
      </c>
      <c r="AG541" s="5">
        <f t="shared" si="32"/>
        <v>45842</v>
      </c>
      <c r="AH541" s="5" t="b">
        <f t="shared" si="33"/>
        <v>1</v>
      </c>
      <c r="AI541" s="5" t="b">
        <f t="shared" si="33"/>
        <v>1</v>
      </c>
      <c r="AJ541" t="str">
        <f t="shared" si="34"/>
        <v>OK</v>
      </c>
      <c r="AK541">
        <f t="shared" si="35"/>
        <v>0</v>
      </c>
    </row>
    <row r="542" spans="1:37">
      <c r="A542" t="s">
        <v>2607</v>
      </c>
      <c r="B542" t="s">
        <v>2608</v>
      </c>
      <c r="C542" t="s">
        <v>2343</v>
      </c>
      <c r="D542" t="s">
        <v>2609</v>
      </c>
      <c r="E542" t="s">
        <v>366</v>
      </c>
      <c r="F542" t="s">
        <v>26</v>
      </c>
      <c r="G542" t="s">
        <v>73</v>
      </c>
      <c r="H542" t="s">
        <v>235</v>
      </c>
      <c r="I542" t="s">
        <v>236</v>
      </c>
      <c r="J542" t="s">
        <v>45</v>
      </c>
      <c r="K542" t="s">
        <v>65</v>
      </c>
      <c r="L542" t="s">
        <v>2610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  <c r="V542" s="1" t="s">
        <v>366</v>
      </c>
      <c r="W542" s="1" t="s">
        <v>26</v>
      </c>
      <c r="X542" s="1" t="s">
        <v>73</v>
      </c>
      <c r="Y542" s="1" t="s">
        <v>235</v>
      </c>
      <c r="Z542" s="1" t="s">
        <v>236</v>
      </c>
      <c r="AA542" s="1" t="s">
        <v>45</v>
      </c>
      <c r="AB542" s="1" t="s">
        <v>65</v>
      </c>
      <c r="AC542" s="1" t="s">
        <v>67</v>
      </c>
      <c r="AD542" s="1" t="s">
        <v>34</v>
      </c>
      <c r="AE542" s="1" t="s">
        <v>35</v>
      </c>
      <c r="AF542" s="5" t="e">
        <f t="shared" si="32"/>
        <v>#N/A</v>
      </c>
      <c r="AG542" s="5">
        <f t="shared" si="32"/>
        <v>45345</v>
      </c>
      <c r="AH542" s="5" t="b">
        <f t="shared" si="33"/>
        <v>0</v>
      </c>
      <c r="AI542" s="5" t="b">
        <f t="shared" si="33"/>
        <v>1</v>
      </c>
      <c r="AJ542" t="e">
        <f t="shared" si="34"/>
        <v>#N/A</v>
      </c>
      <c r="AK542" t="e">
        <f t="shared" si="35"/>
        <v>#N/A</v>
      </c>
    </row>
    <row r="543" spans="1:37">
      <c r="A543" t="s">
        <v>2611</v>
      </c>
      <c r="B543" t="s">
        <v>2612</v>
      </c>
      <c r="C543" t="s">
        <v>2613</v>
      </c>
      <c r="D543" t="s">
        <v>2614</v>
      </c>
      <c r="E543" t="s">
        <v>168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2615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  <c r="V543" s="1" t="s">
        <v>168</v>
      </c>
      <c r="W543" s="1" t="s">
        <v>26</v>
      </c>
      <c r="X543" s="1" t="s">
        <v>73</v>
      </c>
      <c r="Y543" s="1" t="s">
        <v>74</v>
      </c>
      <c r="Z543" s="1" t="s">
        <v>75</v>
      </c>
      <c r="AA543" s="1" t="s">
        <v>86</v>
      </c>
      <c r="AB543" s="1" t="s">
        <v>94</v>
      </c>
      <c r="AC543" s="1" t="s">
        <v>48</v>
      </c>
      <c r="AD543" s="1" t="s">
        <v>34</v>
      </c>
      <c r="AE543" s="1" t="s">
        <v>125</v>
      </c>
      <c r="AF543" s="5">
        <f t="shared" si="32"/>
        <v>45876</v>
      </c>
      <c r="AG543" s="5">
        <f t="shared" si="32"/>
        <v>45847</v>
      </c>
      <c r="AH543" s="5" t="b">
        <f t="shared" si="33"/>
        <v>1</v>
      </c>
      <c r="AI543" s="5" t="b">
        <f t="shared" si="33"/>
        <v>1</v>
      </c>
      <c r="AJ543" t="str">
        <f t="shared" si="34"/>
        <v>Invalid: Ship before Order</v>
      </c>
      <c r="AK543" t="e">
        <f t="shared" si="35"/>
        <v>#NUM!</v>
      </c>
    </row>
    <row r="544" spans="1:37">
      <c r="A544" t="s">
        <v>2616</v>
      </c>
      <c r="B544" t="s">
        <v>2617</v>
      </c>
      <c r="C544" t="s">
        <v>2618</v>
      </c>
      <c r="D544" t="s">
        <v>2619</v>
      </c>
      <c r="E544" t="s">
        <v>148</v>
      </c>
      <c r="F544" t="s">
        <v>115</v>
      </c>
      <c r="G544" t="s">
        <v>62</v>
      </c>
      <c r="H544" t="s">
        <v>242</v>
      </c>
      <c r="I544" t="s">
        <v>243</v>
      </c>
      <c r="J544" t="s">
        <v>45</v>
      </c>
      <c r="K544" t="s">
        <v>204</v>
      </c>
      <c r="L544" t="s">
        <v>2620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2621</v>
      </c>
      <c r="V544" s="1" t="s">
        <v>148</v>
      </c>
      <c r="W544" s="1" t="s">
        <v>115</v>
      </c>
      <c r="X544" s="1" t="s">
        <v>62</v>
      </c>
      <c r="Y544" s="1" t="s">
        <v>242</v>
      </c>
      <c r="Z544" s="1" t="s">
        <v>243</v>
      </c>
      <c r="AA544" s="1" t="s">
        <v>45</v>
      </c>
      <c r="AB544" s="1" t="s">
        <v>204</v>
      </c>
      <c r="AC544" s="1" t="s">
        <v>33</v>
      </c>
      <c r="AD544" s="1" t="s">
        <v>34</v>
      </c>
      <c r="AE544" s="1" t="s">
        <v>78</v>
      </c>
      <c r="AF544" s="5">
        <f t="shared" si="32"/>
        <v>45552</v>
      </c>
      <c r="AG544" s="5">
        <f t="shared" si="32"/>
        <v>45558</v>
      </c>
      <c r="AH544" s="5" t="b">
        <f t="shared" si="33"/>
        <v>1</v>
      </c>
      <c r="AI544" s="5" t="b">
        <f t="shared" si="33"/>
        <v>1</v>
      </c>
      <c r="AJ544" t="str">
        <f t="shared" si="34"/>
        <v>OK</v>
      </c>
      <c r="AK544">
        <f t="shared" si="35"/>
        <v>6</v>
      </c>
    </row>
    <row r="545" spans="1:37">
      <c r="A545" t="s">
        <v>2622</v>
      </c>
      <c r="B545" t="s">
        <v>2623</v>
      </c>
      <c r="C545" t="s">
        <v>400</v>
      </c>
      <c r="D545" t="s">
        <v>2624</v>
      </c>
      <c r="E545" t="s">
        <v>40</v>
      </c>
      <c r="F545" t="s">
        <v>26</v>
      </c>
      <c r="G545" t="s">
        <v>42</v>
      </c>
      <c r="H545" t="s">
        <v>186</v>
      </c>
      <c r="I545" t="s">
        <v>187</v>
      </c>
      <c r="J545" t="s">
        <v>86</v>
      </c>
      <c r="K545" t="s">
        <v>94</v>
      </c>
      <c r="L545" t="s">
        <v>2625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  <c r="V545" s="1" t="s">
        <v>40</v>
      </c>
      <c r="W545" s="1" t="s">
        <v>26</v>
      </c>
      <c r="X545" s="1" t="s">
        <v>42</v>
      </c>
      <c r="Y545" s="1" t="s">
        <v>186</v>
      </c>
      <c r="Z545" s="1" t="s">
        <v>187</v>
      </c>
      <c r="AA545" s="1" t="s">
        <v>86</v>
      </c>
      <c r="AB545" s="1" t="s">
        <v>94</v>
      </c>
      <c r="AC545" s="1" t="s">
        <v>48</v>
      </c>
      <c r="AD545" s="1" t="s">
        <v>34</v>
      </c>
      <c r="AE545" s="1" t="s">
        <v>35</v>
      </c>
      <c r="AF545" s="5">
        <f t="shared" si="32"/>
        <v>45487</v>
      </c>
      <c r="AG545" s="5" t="e">
        <f t="shared" si="32"/>
        <v>#N/A</v>
      </c>
      <c r="AH545" s="5" t="b">
        <f t="shared" si="33"/>
        <v>1</v>
      </c>
      <c r="AI545" s="5" t="b">
        <f t="shared" si="33"/>
        <v>0</v>
      </c>
      <c r="AJ545" t="e">
        <f t="shared" si="34"/>
        <v>#N/A</v>
      </c>
      <c r="AK545" t="e">
        <f t="shared" si="35"/>
        <v>#N/A</v>
      </c>
    </row>
    <row r="546" spans="1:37">
      <c r="A546" t="s">
        <v>2626</v>
      </c>
      <c r="B546" t="s">
        <v>2627</v>
      </c>
      <c r="C546" t="s">
        <v>2060</v>
      </c>
      <c r="D546" t="s">
        <v>2628</v>
      </c>
      <c r="E546" t="s">
        <v>72</v>
      </c>
      <c r="F546" t="s">
        <v>26</v>
      </c>
      <c r="G546" t="s">
        <v>62</v>
      </c>
      <c r="H546" t="s">
        <v>242</v>
      </c>
      <c r="I546" t="s">
        <v>243</v>
      </c>
      <c r="J546" t="s">
        <v>30</v>
      </c>
      <c r="K546" t="s">
        <v>54</v>
      </c>
      <c r="L546" t="s">
        <v>2629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  <c r="V546" s="1" t="s">
        <v>72</v>
      </c>
      <c r="W546" s="1" t="s">
        <v>26</v>
      </c>
      <c r="X546" s="1" t="s">
        <v>62</v>
      </c>
      <c r="Y546" s="1" t="s">
        <v>242</v>
      </c>
      <c r="Z546" s="1" t="s">
        <v>243</v>
      </c>
      <c r="AA546" s="1" t="s">
        <v>30</v>
      </c>
      <c r="AB546" s="1" t="s">
        <v>54</v>
      </c>
      <c r="AC546" s="1" t="s">
        <v>48</v>
      </c>
      <c r="AD546" s="1" t="s">
        <v>34</v>
      </c>
      <c r="AE546" s="1" t="s">
        <v>78</v>
      </c>
      <c r="AF546" s="5">
        <f t="shared" si="32"/>
        <v>45686</v>
      </c>
      <c r="AG546" s="5">
        <f t="shared" si="32"/>
        <v>45693</v>
      </c>
      <c r="AH546" s="5" t="b">
        <f t="shared" si="33"/>
        <v>1</v>
      </c>
      <c r="AI546" s="5" t="b">
        <f t="shared" si="33"/>
        <v>1</v>
      </c>
      <c r="AJ546" t="str">
        <f t="shared" si="34"/>
        <v>OK</v>
      </c>
      <c r="AK546">
        <f t="shared" si="35"/>
        <v>7</v>
      </c>
    </row>
    <row r="547" spans="1:37">
      <c r="A547" t="s">
        <v>2630</v>
      </c>
      <c r="B547" t="s">
        <v>2631</v>
      </c>
      <c r="C547" t="s">
        <v>2632</v>
      </c>
      <c r="D547" t="s">
        <v>2633</v>
      </c>
      <c r="E547" t="s">
        <v>366</v>
      </c>
      <c r="F547" t="s">
        <v>41</v>
      </c>
      <c r="G547" t="s">
        <v>42</v>
      </c>
      <c r="H547" t="s">
        <v>311</v>
      </c>
      <c r="I547" t="s">
        <v>312</v>
      </c>
      <c r="J547" t="s">
        <v>30</v>
      </c>
      <c r="K547" t="s">
        <v>156</v>
      </c>
      <c r="L547" t="s">
        <v>2634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  <c r="V547" s="1" t="s">
        <v>366</v>
      </c>
      <c r="W547" s="1" t="s">
        <v>41</v>
      </c>
      <c r="X547" s="1" t="s">
        <v>42</v>
      </c>
      <c r="Y547" s="1" t="s">
        <v>311</v>
      </c>
      <c r="Z547" s="1" t="s">
        <v>312</v>
      </c>
      <c r="AA547" s="1" t="s">
        <v>30</v>
      </c>
      <c r="AB547" s="1" t="s">
        <v>156</v>
      </c>
      <c r="AC547" s="1" t="s">
        <v>48</v>
      </c>
      <c r="AD547" s="1" t="s">
        <v>34</v>
      </c>
      <c r="AE547" s="1" t="s">
        <v>35</v>
      </c>
      <c r="AF547" s="5">
        <f t="shared" si="32"/>
        <v>45439</v>
      </c>
      <c r="AG547" s="5">
        <f t="shared" si="32"/>
        <v>45442</v>
      </c>
      <c r="AH547" s="5" t="b">
        <f t="shared" si="33"/>
        <v>1</v>
      </c>
      <c r="AI547" s="5" t="b">
        <f t="shared" si="33"/>
        <v>1</v>
      </c>
      <c r="AJ547" t="str">
        <f t="shared" si="34"/>
        <v>OK</v>
      </c>
      <c r="AK547">
        <f t="shared" si="35"/>
        <v>3</v>
      </c>
    </row>
    <row r="548" spans="1:37">
      <c r="A548" t="s">
        <v>2635</v>
      </c>
      <c r="B548" t="s">
        <v>2636</v>
      </c>
      <c r="C548" t="s">
        <v>1491</v>
      </c>
      <c r="D548" t="s">
        <v>2637</v>
      </c>
      <c r="E548" t="s">
        <v>61</v>
      </c>
      <c r="F548" t="s">
        <v>108</v>
      </c>
      <c r="G548" t="s">
        <v>73</v>
      </c>
      <c r="H548" t="s">
        <v>235</v>
      </c>
      <c r="I548" t="s">
        <v>236</v>
      </c>
      <c r="J548" t="s">
        <v>2638</v>
      </c>
      <c r="K548" t="s">
        <v>31</v>
      </c>
      <c r="L548" t="s">
        <v>2639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  <c r="V548" s="1" t="s">
        <v>61</v>
      </c>
      <c r="W548" s="1" t="s">
        <v>108</v>
      </c>
      <c r="X548" s="1" t="s">
        <v>73</v>
      </c>
      <c r="Y548" s="1" t="s">
        <v>235</v>
      </c>
      <c r="Z548" s="1" t="s">
        <v>236</v>
      </c>
      <c r="AA548" s="1" t="s">
        <v>30</v>
      </c>
      <c r="AB548" s="1" t="s">
        <v>31</v>
      </c>
      <c r="AC548" s="1" t="s">
        <v>56</v>
      </c>
      <c r="AD548" s="1" t="s">
        <v>34</v>
      </c>
      <c r="AE548" s="1" t="s">
        <v>35</v>
      </c>
      <c r="AF548" s="5">
        <f t="shared" si="32"/>
        <v>45883</v>
      </c>
      <c r="AG548" s="5">
        <f t="shared" si="32"/>
        <v>45891</v>
      </c>
      <c r="AH548" s="5" t="b">
        <f t="shared" si="33"/>
        <v>1</v>
      </c>
      <c r="AI548" s="5" t="b">
        <f t="shared" si="33"/>
        <v>1</v>
      </c>
      <c r="AJ548" t="str">
        <f t="shared" si="34"/>
        <v>OK</v>
      </c>
      <c r="AK548">
        <f t="shared" si="35"/>
        <v>8</v>
      </c>
    </row>
    <row r="549" spans="1:37">
      <c r="A549" t="s">
        <v>2640</v>
      </c>
      <c r="B549" t="s">
        <v>2641</v>
      </c>
      <c r="C549" t="s">
        <v>2642</v>
      </c>
      <c r="D549" t="s">
        <v>2643</v>
      </c>
      <c r="E549" t="s">
        <v>93</v>
      </c>
      <c r="F549" t="s">
        <v>41</v>
      </c>
      <c r="G549" t="s">
        <v>27</v>
      </c>
      <c r="H549" t="s">
        <v>174</v>
      </c>
      <c r="I549" t="s">
        <v>175</v>
      </c>
      <c r="J549" t="s">
        <v>86</v>
      </c>
      <c r="K549" t="s">
        <v>94</v>
      </c>
      <c r="L549" t="s">
        <v>2644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  <c r="V549" s="1" t="s">
        <v>93</v>
      </c>
      <c r="W549" s="1" t="s">
        <v>41</v>
      </c>
      <c r="X549" s="1" t="s">
        <v>27</v>
      </c>
      <c r="Y549" s="1" t="s">
        <v>174</v>
      </c>
      <c r="Z549" s="1" t="s">
        <v>175</v>
      </c>
      <c r="AA549" s="1" t="s">
        <v>86</v>
      </c>
      <c r="AB549" s="1" t="s">
        <v>94</v>
      </c>
      <c r="AC549" s="1" t="s">
        <v>67</v>
      </c>
      <c r="AD549" s="1" t="s">
        <v>34</v>
      </c>
      <c r="AE549" s="1" t="s">
        <v>35</v>
      </c>
      <c r="AF549" s="5">
        <f t="shared" si="32"/>
        <v>45428</v>
      </c>
      <c r="AG549" s="5">
        <f t="shared" si="32"/>
        <v>45435</v>
      </c>
      <c r="AH549" s="5" t="b">
        <f t="shared" si="33"/>
        <v>1</v>
      </c>
      <c r="AI549" s="5" t="b">
        <f t="shared" si="33"/>
        <v>1</v>
      </c>
      <c r="AJ549" t="str">
        <f t="shared" si="34"/>
        <v>OK</v>
      </c>
      <c r="AK549">
        <f t="shared" si="35"/>
        <v>7</v>
      </c>
    </row>
    <row r="550" spans="1:37">
      <c r="A550" t="s">
        <v>2645</v>
      </c>
      <c r="B550" t="s">
        <v>274</v>
      </c>
      <c r="C550" t="s">
        <v>273</v>
      </c>
      <c r="D550" t="s">
        <v>2646</v>
      </c>
      <c r="E550" t="s">
        <v>180</v>
      </c>
      <c r="F550" t="s">
        <v>108</v>
      </c>
      <c r="G550" t="s">
        <v>42</v>
      </c>
      <c r="H550" t="s">
        <v>186</v>
      </c>
      <c r="I550" t="s">
        <v>187</v>
      </c>
      <c r="J550" t="s">
        <v>45</v>
      </c>
      <c r="K550" t="s">
        <v>204</v>
      </c>
      <c r="L550" t="s">
        <v>2647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137</v>
      </c>
      <c r="U550" t="s">
        <v>78</v>
      </c>
      <c r="V550" s="1" t="s">
        <v>180</v>
      </c>
      <c r="W550" s="1" t="s">
        <v>108</v>
      </c>
      <c r="X550" s="1" t="s">
        <v>42</v>
      </c>
      <c r="Y550" s="1" t="s">
        <v>186</v>
      </c>
      <c r="Z550" s="1" t="s">
        <v>187</v>
      </c>
      <c r="AA550" s="1" t="s">
        <v>45</v>
      </c>
      <c r="AB550" s="1" t="s">
        <v>204</v>
      </c>
      <c r="AC550" s="1" t="s">
        <v>48</v>
      </c>
      <c r="AD550" s="1" t="s">
        <v>137</v>
      </c>
      <c r="AE550" s="1" t="s">
        <v>78</v>
      </c>
      <c r="AF550" s="5">
        <f t="shared" si="32"/>
        <v>45441</v>
      </c>
      <c r="AG550" s="5" t="e">
        <f t="shared" si="32"/>
        <v>#N/A</v>
      </c>
      <c r="AH550" s="5" t="b">
        <f t="shared" si="33"/>
        <v>1</v>
      </c>
      <c r="AI550" s="5" t="b">
        <f t="shared" si="33"/>
        <v>0</v>
      </c>
      <c r="AJ550" t="e">
        <f t="shared" si="34"/>
        <v>#N/A</v>
      </c>
      <c r="AK550" t="e">
        <f t="shared" si="35"/>
        <v>#N/A</v>
      </c>
    </row>
    <row r="551" spans="1:37">
      <c r="A551" t="s">
        <v>2648</v>
      </c>
      <c r="B551" t="s">
        <v>2649</v>
      </c>
      <c r="C551" t="s">
        <v>2650</v>
      </c>
      <c r="D551" t="s">
        <v>2651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2652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  <c r="V551" s="1" t="s">
        <v>40</v>
      </c>
      <c r="W551" s="1" t="s">
        <v>108</v>
      </c>
      <c r="X551" s="1" t="s">
        <v>62</v>
      </c>
      <c r="Y551" s="1" t="s">
        <v>63</v>
      </c>
      <c r="Z551" s="1" t="s">
        <v>64</v>
      </c>
      <c r="AA551" s="1" t="s">
        <v>30</v>
      </c>
      <c r="AB551" s="1" t="s">
        <v>54</v>
      </c>
      <c r="AC551" s="1" t="s">
        <v>33</v>
      </c>
      <c r="AD551" s="1" t="s">
        <v>34</v>
      </c>
      <c r="AE551" s="1" t="s">
        <v>35</v>
      </c>
      <c r="AF551" s="5">
        <f t="shared" si="32"/>
        <v>45941</v>
      </c>
      <c r="AG551" s="5">
        <f t="shared" si="32"/>
        <v>45943</v>
      </c>
      <c r="AH551" s="5" t="b">
        <f t="shared" si="33"/>
        <v>1</v>
      </c>
      <c r="AI551" s="5" t="b">
        <f t="shared" si="33"/>
        <v>1</v>
      </c>
      <c r="AJ551" t="str">
        <f t="shared" si="34"/>
        <v>OK</v>
      </c>
      <c r="AK551">
        <f t="shared" si="35"/>
        <v>2</v>
      </c>
    </row>
    <row r="552" spans="1:37">
      <c r="A552" t="s">
        <v>2653</v>
      </c>
      <c r="B552" t="s">
        <v>538</v>
      </c>
      <c r="C552" t="s">
        <v>2654</v>
      </c>
      <c r="D552" t="s">
        <v>2655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2656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  <c r="V552" s="1" t="s">
        <v>40</v>
      </c>
      <c r="W552" s="1" t="s">
        <v>115</v>
      </c>
      <c r="X552" s="1" t="s">
        <v>42</v>
      </c>
      <c r="Y552" s="1" t="s">
        <v>43</v>
      </c>
      <c r="Z552" s="1" t="s">
        <v>44</v>
      </c>
      <c r="AA552" s="1" t="s">
        <v>86</v>
      </c>
      <c r="AB552" s="1" t="s">
        <v>87</v>
      </c>
      <c r="AC552" s="1" t="s">
        <v>67</v>
      </c>
      <c r="AD552" s="1" t="s">
        <v>34</v>
      </c>
      <c r="AE552" s="1" t="s">
        <v>35</v>
      </c>
      <c r="AF552" s="5">
        <f t="shared" si="32"/>
        <v>45330</v>
      </c>
      <c r="AG552" s="5">
        <f t="shared" si="32"/>
        <v>45514</v>
      </c>
      <c r="AH552" s="5" t="b">
        <f t="shared" si="33"/>
        <v>1</v>
      </c>
      <c r="AI552" s="5" t="b">
        <f t="shared" si="33"/>
        <v>1</v>
      </c>
      <c r="AJ552" t="str">
        <f t="shared" si="34"/>
        <v>OK</v>
      </c>
      <c r="AK552">
        <f t="shared" si="35"/>
        <v>184</v>
      </c>
    </row>
    <row r="553" spans="1:37">
      <c r="A553" t="s">
        <v>2657</v>
      </c>
      <c r="B553" t="s">
        <v>2089</v>
      </c>
      <c r="C553" t="s">
        <v>2658</v>
      </c>
      <c r="D553" t="s">
        <v>2659</v>
      </c>
      <c r="E553" t="s">
        <v>168</v>
      </c>
      <c r="F553" t="s">
        <v>26</v>
      </c>
      <c r="G553" t="s">
        <v>42</v>
      </c>
      <c r="H553" t="s">
        <v>311</v>
      </c>
      <c r="I553" t="s">
        <v>312</v>
      </c>
      <c r="J553" t="s">
        <v>45</v>
      </c>
      <c r="K553" t="s">
        <v>76</v>
      </c>
      <c r="L553" t="s">
        <v>2660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  <c r="V553" s="1" t="s">
        <v>168</v>
      </c>
      <c r="W553" s="1" t="s">
        <v>26</v>
      </c>
      <c r="X553" s="1" t="s">
        <v>42</v>
      </c>
      <c r="Y553" s="1" t="s">
        <v>311</v>
      </c>
      <c r="Z553" s="1" t="s">
        <v>312</v>
      </c>
      <c r="AA553" s="1" t="s">
        <v>45</v>
      </c>
      <c r="AB553" s="1" t="s">
        <v>76</v>
      </c>
      <c r="AC553" s="1" t="s">
        <v>33</v>
      </c>
      <c r="AD553" s="1" t="s">
        <v>34</v>
      </c>
      <c r="AE553" s="1" t="s">
        <v>35</v>
      </c>
      <c r="AF553" s="5" t="e">
        <f t="shared" si="32"/>
        <v>#N/A</v>
      </c>
      <c r="AG553" s="5">
        <f t="shared" si="32"/>
        <v>45349</v>
      </c>
      <c r="AH553" s="5" t="b">
        <f t="shared" si="33"/>
        <v>0</v>
      </c>
      <c r="AI553" s="5" t="b">
        <f t="shared" si="33"/>
        <v>1</v>
      </c>
      <c r="AJ553" t="e">
        <f t="shared" si="34"/>
        <v>#N/A</v>
      </c>
      <c r="AK553" t="e">
        <f t="shared" si="35"/>
        <v>#N/A</v>
      </c>
    </row>
    <row r="554" spans="1:37">
      <c r="A554" t="s">
        <v>2661</v>
      </c>
      <c r="B554" t="s">
        <v>190</v>
      </c>
      <c r="C554" t="s">
        <v>343</v>
      </c>
      <c r="D554" t="s">
        <v>2662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2663</v>
      </c>
      <c r="M554" t="s">
        <v>67</v>
      </c>
      <c r="N554">
        <v>8</v>
      </c>
      <c r="O554">
        <v>312.52999999999997</v>
      </c>
      <c r="P554" t="s">
        <v>681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  <c r="V554" s="1" t="s">
        <v>72</v>
      </c>
      <c r="W554" s="1" t="s">
        <v>108</v>
      </c>
      <c r="X554" s="1" t="s">
        <v>42</v>
      </c>
      <c r="Y554" s="1" t="s">
        <v>121</v>
      </c>
      <c r="Z554" s="1" t="s">
        <v>122</v>
      </c>
      <c r="AA554" s="1" t="s">
        <v>86</v>
      </c>
      <c r="AB554" s="1" t="s">
        <v>94</v>
      </c>
      <c r="AC554" s="1" t="s">
        <v>67</v>
      </c>
      <c r="AD554" s="1" t="s">
        <v>34</v>
      </c>
      <c r="AE554" s="1" t="s">
        <v>35</v>
      </c>
      <c r="AF554" s="5" t="e">
        <f t="shared" si="32"/>
        <v>#N/A</v>
      </c>
      <c r="AG554" s="5">
        <f t="shared" si="32"/>
        <v>45687</v>
      </c>
      <c r="AH554" s="5" t="b">
        <f t="shared" si="33"/>
        <v>0</v>
      </c>
      <c r="AI554" s="5" t="b">
        <f t="shared" si="33"/>
        <v>1</v>
      </c>
      <c r="AJ554" t="e">
        <f t="shared" si="34"/>
        <v>#N/A</v>
      </c>
      <c r="AK554" t="e">
        <f t="shared" si="35"/>
        <v>#N/A</v>
      </c>
    </row>
    <row r="555" spans="1:37">
      <c r="A555" t="s">
        <v>2664</v>
      </c>
      <c r="B555" t="s">
        <v>2665</v>
      </c>
      <c r="C555" t="s">
        <v>2666</v>
      </c>
      <c r="D555" t="s">
        <v>2667</v>
      </c>
      <c r="E555" t="s">
        <v>162</v>
      </c>
      <c r="F555" t="s">
        <v>41</v>
      </c>
      <c r="G555" t="s">
        <v>73</v>
      </c>
      <c r="H555" t="s">
        <v>235</v>
      </c>
      <c r="I555" t="s">
        <v>236</v>
      </c>
      <c r="J555" t="s">
        <v>30</v>
      </c>
      <c r="K555" t="s">
        <v>156</v>
      </c>
      <c r="L555" t="s">
        <v>2668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  <c r="V555" s="1" t="s">
        <v>162</v>
      </c>
      <c r="W555" s="1" t="s">
        <v>41</v>
      </c>
      <c r="X555" s="1" t="s">
        <v>73</v>
      </c>
      <c r="Y555" s="1" t="s">
        <v>235</v>
      </c>
      <c r="Z555" s="1" t="s">
        <v>236</v>
      </c>
      <c r="AA555" s="1" t="s">
        <v>30</v>
      </c>
      <c r="AB555" s="1" t="s">
        <v>156</v>
      </c>
      <c r="AC555" s="1" t="s">
        <v>56</v>
      </c>
      <c r="AD555" s="1" t="s">
        <v>34</v>
      </c>
      <c r="AE555" s="1" t="s">
        <v>35</v>
      </c>
      <c r="AF555" s="5">
        <f t="shared" si="32"/>
        <v>45772</v>
      </c>
      <c r="AG555" s="5">
        <f t="shared" si="32"/>
        <v>45775</v>
      </c>
      <c r="AH555" s="5" t="b">
        <f t="shared" si="33"/>
        <v>1</v>
      </c>
      <c r="AI555" s="5" t="b">
        <f t="shared" si="33"/>
        <v>1</v>
      </c>
      <c r="AJ555" t="str">
        <f t="shared" si="34"/>
        <v>OK</v>
      </c>
      <c r="AK555">
        <f t="shared" si="35"/>
        <v>3</v>
      </c>
    </row>
    <row r="556" spans="1:37">
      <c r="A556" t="s">
        <v>2669</v>
      </c>
      <c r="B556" t="s">
        <v>2670</v>
      </c>
      <c r="C556" t="s">
        <v>2671</v>
      </c>
      <c r="D556" t="s">
        <v>2672</v>
      </c>
      <c r="E556" t="s">
        <v>61</v>
      </c>
      <c r="F556" t="s">
        <v>26</v>
      </c>
      <c r="H556" t="s">
        <v>311</v>
      </c>
      <c r="I556" t="s">
        <v>312</v>
      </c>
      <c r="J556" t="s">
        <v>45</v>
      </c>
      <c r="K556" t="s">
        <v>65</v>
      </c>
      <c r="L556" t="s">
        <v>2673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  <c r="V556" s="1" t="s">
        <v>61</v>
      </c>
      <c r="W556" s="1" t="s">
        <v>26</v>
      </c>
      <c r="X556" s="1" t="s">
        <v>4119</v>
      </c>
      <c r="Y556" s="1" t="s">
        <v>311</v>
      </c>
      <c r="Z556" s="1" t="s">
        <v>312</v>
      </c>
      <c r="AA556" s="1" t="s">
        <v>45</v>
      </c>
      <c r="AB556" s="1" t="s">
        <v>65</v>
      </c>
      <c r="AC556" s="1" t="s">
        <v>67</v>
      </c>
      <c r="AD556" s="1" t="s">
        <v>34</v>
      </c>
      <c r="AE556" s="1" t="s">
        <v>35</v>
      </c>
      <c r="AF556" s="5">
        <f t="shared" si="32"/>
        <v>45577</v>
      </c>
      <c r="AG556" s="5">
        <f t="shared" si="32"/>
        <v>45582</v>
      </c>
      <c r="AH556" s="5" t="b">
        <f t="shared" si="33"/>
        <v>1</v>
      </c>
      <c r="AI556" s="5" t="b">
        <f t="shared" si="33"/>
        <v>1</v>
      </c>
      <c r="AJ556" t="str">
        <f t="shared" si="34"/>
        <v>OK</v>
      </c>
      <c r="AK556">
        <f t="shared" si="35"/>
        <v>5</v>
      </c>
    </row>
    <row r="557" spans="1:37">
      <c r="A557" t="s">
        <v>2674</v>
      </c>
      <c r="B557" t="s">
        <v>882</v>
      </c>
      <c r="C557" t="s">
        <v>2675</v>
      </c>
      <c r="D557" t="s">
        <v>2676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156</v>
      </c>
      <c r="L557" t="s">
        <v>2677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  <c r="V557" s="1" t="s">
        <v>72</v>
      </c>
      <c r="W557" s="1" t="s">
        <v>41</v>
      </c>
      <c r="X557" s="1" t="s">
        <v>62</v>
      </c>
      <c r="Y557" s="1" t="s">
        <v>63</v>
      </c>
      <c r="Z557" s="1" t="s">
        <v>64</v>
      </c>
      <c r="AA557" s="1" t="s">
        <v>30</v>
      </c>
      <c r="AB557" s="1" t="s">
        <v>156</v>
      </c>
      <c r="AC557" s="1" t="s">
        <v>67</v>
      </c>
      <c r="AD557" s="1" t="s">
        <v>34</v>
      </c>
      <c r="AE557" s="1" t="s">
        <v>35</v>
      </c>
      <c r="AF557" s="5">
        <f t="shared" si="32"/>
        <v>45749</v>
      </c>
      <c r="AG557" s="5">
        <f t="shared" si="32"/>
        <v>45698</v>
      </c>
      <c r="AH557" s="5" t="b">
        <f t="shared" si="33"/>
        <v>1</v>
      </c>
      <c r="AI557" s="5" t="b">
        <f t="shared" si="33"/>
        <v>1</v>
      </c>
      <c r="AJ557" t="str">
        <f t="shared" si="34"/>
        <v>Invalid: Ship before Order</v>
      </c>
      <c r="AK557" t="e">
        <f t="shared" si="35"/>
        <v>#NUM!</v>
      </c>
    </row>
    <row r="558" spans="1:37">
      <c r="A558" t="s">
        <v>2678</v>
      </c>
      <c r="B558" t="s">
        <v>1553</v>
      </c>
      <c r="C558" t="s">
        <v>2095</v>
      </c>
      <c r="D558" t="s">
        <v>2679</v>
      </c>
      <c r="E558" t="s">
        <v>93</v>
      </c>
      <c r="F558" t="s">
        <v>26</v>
      </c>
      <c r="G558" t="s">
        <v>27</v>
      </c>
      <c r="H558" t="s">
        <v>323</v>
      </c>
      <c r="I558" t="s">
        <v>324</v>
      </c>
      <c r="J558" t="s">
        <v>45</v>
      </c>
      <c r="K558" t="s">
        <v>46</v>
      </c>
      <c r="L558" t="s">
        <v>2680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  <c r="V558" s="1" t="s">
        <v>93</v>
      </c>
      <c r="W558" s="1" t="s">
        <v>26</v>
      </c>
      <c r="X558" s="1" t="s">
        <v>27</v>
      </c>
      <c r="Y558" s="1" t="s">
        <v>323</v>
      </c>
      <c r="Z558" s="1" t="s">
        <v>324</v>
      </c>
      <c r="AA558" s="1" t="s">
        <v>45</v>
      </c>
      <c r="AB558" s="1" t="s">
        <v>46</v>
      </c>
      <c r="AC558" s="1" t="s">
        <v>56</v>
      </c>
      <c r="AD558" s="1" t="s">
        <v>34</v>
      </c>
      <c r="AE558" s="1" t="s">
        <v>125</v>
      </c>
      <c r="AF558" s="5">
        <f t="shared" si="32"/>
        <v>45466</v>
      </c>
      <c r="AG558" s="5">
        <f t="shared" si="32"/>
        <v>45472</v>
      </c>
      <c r="AH558" s="5" t="b">
        <f t="shared" si="33"/>
        <v>1</v>
      </c>
      <c r="AI558" s="5" t="b">
        <f t="shared" si="33"/>
        <v>1</v>
      </c>
      <c r="AJ558" t="str">
        <f t="shared" si="34"/>
        <v>OK</v>
      </c>
      <c r="AK558">
        <f t="shared" si="35"/>
        <v>6</v>
      </c>
    </row>
    <row r="559" spans="1:37">
      <c r="A559" t="s">
        <v>2681</v>
      </c>
      <c r="B559" t="s">
        <v>2682</v>
      </c>
      <c r="C559" t="s">
        <v>2683</v>
      </c>
      <c r="D559" t="s">
        <v>2684</v>
      </c>
      <c r="E559" t="s">
        <v>83</v>
      </c>
      <c r="F559" t="s">
        <v>115</v>
      </c>
      <c r="G559" t="s">
        <v>27</v>
      </c>
      <c r="H559" t="s">
        <v>323</v>
      </c>
      <c r="I559" t="s">
        <v>324</v>
      </c>
      <c r="J559" t="s">
        <v>86</v>
      </c>
      <c r="K559" t="s">
        <v>223</v>
      </c>
      <c r="L559" t="s">
        <v>2685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  <c r="V559" s="1" t="s">
        <v>83</v>
      </c>
      <c r="W559" s="1" t="s">
        <v>115</v>
      </c>
      <c r="X559" s="1" t="s">
        <v>27</v>
      </c>
      <c r="Y559" s="1" t="s">
        <v>323</v>
      </c>
      <c r="Z559" s="1" t="s">
        <v>324</v>
      </c>
      <c r="AA559" s="1" t="s">
        <v>86</v>
      </c>
      <c r="AB559" s="1" t="s">
        <v>223</v>
      </c>
      <c r="AC559" s="1" t="s">
        <v>56</v>
      </c>
      <c r="AD559" s="1" t="s">
        <v>34</v>
      </c>
      <c r="AE559" s="1" t="s">
        <v>78</v>
      </c>
      <c r="AF559" s="5">
        <f t="shared" si="32"/>
        <v>45420</v>
      </c>
      <c r="AG559" s="5" t="e">
        <f t="shared" si="32"/>
        <v>#N/A</v>
      </c>
      <c r="AH559" s="5" t="b">
        <f t="shared" si="33"/>
        <v>1</v>
      </c>
      <c r="AI559" s="5" t="b">
        <f t="shared" si="33"/>
        <v>0</v>
      </c>
      <c r="AJ559" t="e">
        <f t="shared" si="34"/>
        <v>#N/A</v>
      </c>
      <c r="AK559" t="e">
        <f t="shared" si="35"/>
        <v>#N/A</v>
      </c>
    </row>
    <row r="560" spans="1:37">
      <c r="A560" t="s">
        <v>2686</v>
      </c>
      <c r="B560" t="s">
        <v>2687</v>
      </c>
      <c r="C560" t="s">
        <v>2688</v>
      </c>
      <c r="D560" t="s">
        <v>2689</v>
      </c>
      <c r="E560" t="s">
        <v>107</v>
      </c>
      <c r="F560" t="s">
        <v>108</v>
      </c>
      <c r="G560" t="s">
        <v>27</v>
      </c>
      <c r="H560" t="s">
        <v>154</v>
      </c>
      <c r="I560" t="s">
        <v>155</v>
      </c>
      <c r="J560" t="s">
        <v>86</v>
      </c>
      <c r="K560" t="s">
        <v>382</v>
      </c>
      <c r="L560" t="s">
        <v>2690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  <c r="V560" s="1" t="s">
        <v>107</v>
      </c>
      <c r="W560" s="1" t="s">
        <v>108</v>
      </c>
      <c r="X560" s="1" t="s">
        <v>27</v>
      </c>
      <c r="Y560" s="1" t="s">
        <v>154</v>
      </c>
      <c r="Z560" s="1" t="s">
        <v>155</v>
      </c>
      <c r="AA560" s="1" t="s">
        <v>86</v>
      </c>
      <c r="AB560" s="1" t="s">
        <v>382</v>
      </c>
      <c r="AC560" s="1" t="s">
        <v>56</v>
      </c>
      <c r="AD560" s="1" t="s">
        <v>34</v>
      </c>
      <c r="AE560" s="1" t="s">
        <v>35</v>
      </c>
      <c r="AF560" s="5">
        <f t="shared" si="32"/>
        <v>45904</v>
      </c>
      <c r="AG560" s="5">
        <f t="shared" si="32"/>
        <v>45904</v>
      </c>
      <c r="AH560" s="5" t="b">
        <f t="shared" si="33"/>
        <v>1</v>
      </c>
      <c r="AI560" s="5" t="b">
        <f t="shared" si="33"/>
        <v>1</v>
      </c>
      <c r="AJ560" t="str">
        <f t="shared" si="34"/>
        <v>OK</v>
      </c>
      <c r="AK560">
        <f t="shared" si="35"/>
        <v>0</v>
      </c>
    </row>
    <row r="561" spans="1:37">
      <c r="A561" t="s">
        <v>2691</v>
      </c>
      <c r="B561" t="s">
        <v>2257</v>
      </c>
      <c r="C561" t="s">
        <v>2692</v>
      </c>
      <c r="D561" t="s">
        <v>2693</v>
      </c>
      <c r="E561" t="s">
        <v>210</v>
      </c>
      <c r="F561" t="s">
        <v>108</v>
      </c>
      <c r="G561" t="s">
        <v>42</v>
      </c>
      <c r="H561" t="s">
        <v>186</v>
      </c>
      <c r="I561" t="s">
        <v>187</v>
      </c>
      <c r="J561" t="s">
        <v>86</v>
      </c>
      <c r="K561" t="s">
        <v>94</v>
      </c>
      <c r="L561" t="s">
        <v>2694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  <c r="V561" s="1" t="s">
        <v>210</v>
      </c>
      <c r="W561" s="1" t="s">
        <v>108</v>
      </c>
      <c r="X561" s="1" t="s">
        <v>42</v>
      </c>
      <c r="Y561" s="1" t="s">
        <v>186</v>
      </c>
      <c r="Z561" s="1" t="s">
        <v>187</v>
      </c>
      <c r="AA561" s="1" t="s">
        <v>86</v>
      </c>
      <c r="AB561" s="1" t="s">
        <v>94</v>
      </c>
      <c r="AC561" s="1" t="s">
        <v>33</v>
      </c>
      <c r="AD561" s="1" t="s">
        <v>34</v>
      </c>
      <c r="AE561" s="1" t="s">
        <v>125</v>
      </c>
      <c r="AF561" s="5">
        <f t="shared" si="32"/>
        <v>45930</v>
      </c>
      <c r="AG561" s="5">
        <f t="shared" si="32"/>
        <v>45937</v>
      </c>
      <c r="AH561" s="5" t="b">
        <f t="shared" si="33"/>
        <v>1</v>
      </c>
      <c r="AI561" s="5" t="b">
        <f t="shared" si="33"/>
        <v>1</v>
      </c>
      <c r="AJ561" t="str">
        <f t="shared" si="34"/>
        <v>OK</v>
      </c>
      <c r="AK561">
        <f t="shared" si="35"/>
        <v>7</v>
      </c>
    </row>
    <row r="562" spans="1:37">
      <c r="A562" t="s">
        <v>2695</v>
      </c>
      <c r="B562" t="s">
        <v>2696</v>
      </c>
      <c r="C562" t="s">
        <v>1058</v>
      </c>
      <c r="D562" t="s">
        <v>2697</v>
      </c>
      <c r="E562" t="s">
        <v>61</v>
      </c>
      <c r="F562" t="s">
        <v>26</v>
      </c>
      <c r="G562" t="s">
        <v>73</v>
      </c>
      <c r="H562" t="s">
        <v>249</v>
      </c>
      <c r="I562" t="s">
        <v>250</v>
      </c>
      <c r="J562" t="s">
        <v>30</v>
      </c>
      <c r="K562" t="s">
        <v>156</v>
      </c>
      <c r="L562" t="s">
        <v>2698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  <c r="V562" s="1" t="s">
        <v>61</v>
      </c>
      <c r="W562" s="1" t="s">
        <v>26</v>
      </c>
      <c r="X562" s="1" t="s">
        <v>73</v>
      </c>
      <c r="Y562" s="1" t="s">
        <v>249</v>
      </c>
      <c r="Z562" s="1" t="s">
        <v>250</v>
      </c>
      <c r="AA562" s="1" t="s">
        <v>30</v>
      </c>
      <c r="AB562" s="1" t="s">
        <v>156</v>
      </c>
      <c r="AC562" s="1" t="s">
        <v>67</v>
      </c>
      <c r="AD562" s="1" t="s">
        <v>34</v>
      </c>
      <c r="AE562" s="1" t="s">
        <v>78</v>
      </c>
      <c r="AF562" s="5">
        <f t="shared" si="32"/>
        <v>45307</v>
      </c>
      <c r="AG562" s="5" t="e">
        <f t="shared" si="32"/>
        <v>#N/A</v>
      </c>
      <c r="AH562" s="5" t="b">
        <f t="shared" si="33"/>
        <v>1</v>
      </c>
      <c r="AI562" s="5" t="b">
        <f t="shared" si="33"/>
        <v>0</v>
      </c>
      <c r="AJ562" t="e">
        <f t="shared" si="34"/>
        <v>#N/A</v>
      </c>
      <c r="AK562" t="e">
        <f t="shared" si="35"/>
        <v>#N/A</v>
      </c>
    </row>
    <row r="563" spans="1:37">
      <c r="A563" t="s">
        <v>2699</v>
      </c>
      <c r="B563" t="s">
        <v>762</v>
      </c>
      <c r="C563" t="s">
        <v>2700</v>
      </c>
      <c r="D563" t="s">
        <v>2701</v>
      </c>
      <c r="E563" t="s">
        <v>107</v>
      </c>
      <c r="F563" t="s">
        <v>26</v>
      </c>
      <c r="G563" t="s">
        <v>27</v>
      </c>
      <c r="H563" t="s">
        <v>154</v>
      </c>
      <c r="I563" t="s">
        <v>155</v>
      </c>
      <c r="J563" t="s">
        <v>86</v>
      </c>
      <c r="K563" t="s">
        <v>94</v>
      </c>
      <c r="L563" t="s">
        <v>2702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137</v>
      </c>
      <c r="U563" t="s">
        <v>125</v>
      </c>
      <c r="V563" s="1" t="s">
        <v>107</v>
      </c>
      <c r="W563" s="1" t="s">
        <v>26</v>
      </c>
      <c r="X563" s="1" t="s">
        <v>27</v>
      </c>
      <c r="Y563" s="1" t="s">
        <v>154</v>
      </c>
      <c r="Z563" s="1" t="s">
        <v>155</v>
      </c>
      <c r="AA563" s="1" t="s">
        <v>86</v>
      </c>
      <c r="AB563" s="1" t="s">
        <v>94</v>
      </c>
      <c r="AC563" s="1" t="s">
        <v>56</v>
      </c>
      <c r="AD563" s="1" t="s">
        <v>137</v>
      </c>
      <c r="AE563" s="1" t="s">
        <v>125</v>
      </c>
      <c r="AF563" s="5">
        <f t="shared" si="32"/>
        <v>45852</v>
      </c>
      <c r="AG563" s="5">
        <f t="shared" si="32"/>
        <v>45856</v>
      </c>
      <c r="AH563" s="5" t="b">
        <f t="shared" si="33"/>
        <v>1</v>
      </c>
      <c r="AI563" s="5" t="b">
        <f t="shared" si="33"/>
        <v>1</v>
      </c>
      <c r="AJ563" t="str">
        <f t="shared" si="34"/>
        <v>OK</v>
      </c>
      <c r="AK563">
        <f t="shared" si="35"/>
        <v>4</v>
      </c>
    </row>
    <row r="564" spans="1:37">
      <c r="A564" t="s">
        <v>2703</v>
      </c>
      <c r="B564" t="s">
        <v>2704</v>
      </c>
      <c r="C564" t="s">
        <v>2641</v>
      </c>
      <c r="D564" t="s">
        <v>2705</v>
      </c>
      <c r="E564" t="s">
        <v>25</v>
      </c>
      <c r="F564" t="s">
        <v>26</v>
      </c>
      <c r="G564" t="s">
        <v>27</v>
      </c>
      <c r="H564" t="s">
        <v>154</v>
      </c>
      <c r="I564" t="s">
        <v>155</v>
      </c>
      <c r="J564" t="s">
        <v>30</v>
      </c>
      <c r="K564" t="s">
        <v>198</v>
      </c>
      <c r="L564" t="s">
        <v>2706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200</v>
      </c>
      <c r="U564" t="s">
        <v>125</v>
      </c>
      <c r="V564" s="1" t="s">
        <v>25</v>
      </c>
      <c r="W564" s="1" t="s">
        <v>26</v>
      </c>
      <c r="X564" s="1" t="s">
        <v>27</v>
      </c>
      <c r="Y564" s="1" t="s">
        <v>154</v>
      </c>
      <c r="Z564" s="1" t="s">
        <v>155</v>
      </c>
      <c r="AA564" s="1" t="s">
        <v>30</v>
      </c>
      <c r="AB564" s="1" t="s">
        <v>198</v>
      </c>
      <c r="AC564" s="1" t="s">
        <v>48</v>
      </c>
      <c r="AD564" s="1" t="s">
        <v>200</v>
      </c>
      <c r="AE564" s="1" t="s">
        <v>125</v>
      </c>
      <c r="AF564" s="5">
        <f t="shared" si="32"/>
        <v>45422</v>
      </c>
      <c r="AG564" s="5">
        <f t="shared" si="32"/>
        <v>45428</v>
      </c>
      <c r="AH564" s="5" t="b">
        <f t="shared" si="33"/>
        <v>1</v>
      </c>
      <c r="AI564" s="5" t="b">
        <f t="shared" si="33"/>
        <v>1</v>
      </c>
      <c r="AJ564" t="str">
        <f t="shared" si="34"/>
        <v>OK</v>
      </c>
      <c r="AK564">
        <f t="shared" si="35"/>
        <v>6</v>
      </c>
    </row>
    <row r="565" spans="1:37">
      <c r="A565" t="s">
        <v>2707</v>
      </c>
      <c r="B565" t="s">
        <v>2708</v>
      </c>
      <c r="C565" t="s">
        <v>1784</v>
      </c>
      <c r="D565" t="s">
        <v>2709</v>
      </c>
      <c r="E565" t="s">
        <v>61</v>
      </c>
      <c r="F565" t="s">
        <v>108</v>
      </c>
      <c r="G565" t="s">
        <v>73</v>
      </c>
      <c r="H565" t="s">
        <v>249</v>
      </c>
      <c r="I565" t="s">
        <v>250</v>
      </c>
      <c r="J565" t="s">
        <v>45</v>
      </c>
      <c r="K565" t="s">
        <v>46</v>
      </c>
      <c r="L565" t="s">
        <v>2710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137</v>
      </c>
      <c r="U565" t="s">
        <v>78</v>
      </c>
      <c r="V565" s="1" t="s">
        <v>61</v>
      </c>
      <c r="W565" s="1" t="s">
        <v>108</v>
      </c>
      <c r="X565" s="1" t="s">
        <v>73</v>
      </c>
      <c r="Y565" s="1" t="s">
        <v>249</v>
      </c>
      <c r="Z565" s="1" t="s">
        <v>250</v>
      </c>
      <c r="AA565" s="1" t="s">
        <v>45</v>
      </c>
      <c r="AB565" s="1" t="s">
        <v>46</v>
      </c>
      <c r="AC565" s="1" t="s">
        <v>67</v>
      </c>
      <c r="AD565" s="1" t="s">
        <v>137</v>
      </c>
      <c r="AE565" s="1" t="s">
        <v>78</v>
      </c>
      <c r="AF565" s="5">
        <f t="shared" si="32"/>
        <v>45418</v>
      </c>
      <c r="AG565" s="5">
        <f t="shared" si="32"/>
        <v>45631</v>
      </c>
      <c r="AH565" s="5" t="b">
        <f t="shared" si="33"/>
        <v>1</v>
      </c>
      <c r="AI565" s="5" t="b">
        <f t="shared" si="33"/>
        <v>1</v>
      </c>
      <c r="AJ565" t="str">
        <f t="shared" si="34"/>
        <v>OK</v>
      </c>
      <c r="AK565">
        <f t="shared" si="35"/>
        <v>213</v>
      </c>
    </row>
    <row r="566" spans="1:37">
      <c r="A566" t="s">
        <v>2711</v>
      </c>
      <c r="B566" t="s">
        <v>105</v>
      </c>
      <c r="C566" t="s">
        <v>2712</v>
      </c>
      <c r="D566" t="s">
        <v>2713</v>
      </c>
      <c r="E566" t="s">
        <v>168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2714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  <c r="V566" s="1" t="s">
        <v>168</v>
      </c>
      <c r="W566" s="1" t="s">
        <v>108</v>
      </c>
      <c r="X566" s="1" t="s">
        <v>62</v>
      </c>
      <c r="Y566" s="1" t="s">
        <v>100</v>
      </c>
      <c r="Z566" s="1" t="s">
        <v>101</v>
      </c>
      <c r="AA566" s="1" t="s">
        <v>45</v>
      </c>
      <c r="AB566" s="1" t="s">
        <v>46</v>
      </c>
      <c r="AC566" s="1" t="s">
        <v>56</v>
      </c>
      <c r="AD566" s="1" t="s">
        <v>34</v>
      </c>
      <c r="AE566" s="1" t="s">
        <v>35</v>
      </c>
      <c r="AF566" s="5">
        <f t="shared" si="32"/>
        <v>45606</v>
      </c>
      <c r="AG566" s="5" t="e">
        <f t="shared" si="32"/>
        <v>#N/A</v>
      </c>
      <c r="AH566" s="5" t="b">
        <f t="shared" si="33"/>
        <v>1</v>
      </c>
      <c r="AI566" s="5" t="b">
        <f t="shared" si="33"/>
        <v>0</v>
      </c>
      <c r="AJ566" t="e">
        <f t="shared" si="34"/>
        <v>#N/A</v>
      </c>
      <c r="AK566" t="e">
        <f t="shared" si="35"/>
        <v>#N/A</v>
      </c>
    </row>
    <row r="567" spans="1:37">
      <c r="A567" t="s">
        <v>2715</v>
      </c>
      <c r="B567" t="s">
        <v>2716</v>
      </c>
      <c r="C567" t="s">
        <v>240</v>
      </c>
      <c r="D567" t="s">
        <v>2717</v>
      </c>
      <c r="E567" t="s">
        <v>40</v>
      </c>
      <c r="F567" t="s">
        <v>108</v>
      </c>
      <c r="G567" t="s">
        <v>27</v>
      </c>
      <c r="H567" t="s">
        <v>506</v>
      </c>
      <c r="I567" t="s">
        <v>507</v>
      </c>
      <c r="J567" t="s">
        <v>86</v>
      </c>
      <c r="K567" t="s">
        <v>223</v>
      </c>
      <c r="L567" t="s">
        <v>2718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  <c r="V567" s="1" t="s">
        <v>40</v>
      </c>
      <c r="W567" s="1" t="s">
        <v>108</v>
      </c>
      <c r="X567" s="1" t="s">
        <v>27</v>
      </c>
      <c r="Y567" s="1" t="s">
        <v>506</v>
      </c>
      <c r="Z567" s="1" t="s">
        <v>507</v>
      </c>
      <c r="AA567" s="1" t="s">
        <v>86</v>
      </c>
      <c r="AB567" s="1" t="s">
        <v>223</v>
      </c>
      <c r="AC567" s="1" t="s">
        <v>67</v>
      </c>
      <c r="AD567" s="1" t="s">
        <v>124</v>
      </c>
      <c r="AE567" s="1" t="s">
        <v>78</v>
      </c>
      <c r="AF567" s="5">
        <f t="shared" si="32"/>
        <v>45876</v>
      </c>
      <c r="AG567" s="5" t="e">
        <f t="shared" si="32"/>
        <v>#N/A</v>
      </c>
      <c r="AH567" s="5" t="b">
        <f t="shared" si="33"/>
        <v>1</v>
      </c>
      <c r="AI567" s="5" t="b">
        <f t="shared" si="33"/>
        <v>0</v>
      </c>
      <c r="AJ567" t="e">
        <f t="shared" si="34"/>
        <v>#N/A</v>
      </c>
      <c r="AK567" t="e">
        <f t="shared" si="35"/>
        <v>#N/A</v>
      </c>
    </row>
    <row r="568" spans="1:37">
      <c r="A568" t="s">
        <v>2719</v>
      </c>
      <c r="B568" t="s">
        <v>2438</v>
      </c>
      <c r="C568" t="s">
        <v>2720</v>
      </c>
      <c r="D568" t="s">
        <v>2721</v>
      </c>
      <c r="E568" t="s">
        <v>168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2722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200</v>
      </c>
      <c r="U568" t="s">
        <v>125</v>
      </c>
      <c r="V568" s="1" t="s">
        <v>168</v>
      </c>
      <c r="W568" s="1" t="s">
        <v>41</v>
      </c>
      <c r="X568" s="1" t="s">
        <v>73</v>
      </c>
      <c r="Y568" s="1" t="s">
        <v>74</v>
      </c>
      <c r="Z568" s="1" t="s">
        <v>75</v>
      </c>
      <c r="AA568" s="1" t="s">
        <v>30</v>
      </c>
      <c r="AB568" s="1" t="s">
        <v>31</v>
      </c>
      <c r="AC568" s="1" t="s">
        <v>48</v>
      </c>
      <c r="AD568" s="1" t="s">
        <v>200</v>
      </c>
      <c r="AE568" s="1" t="s">
        <v>125</v>
      </c>
      <c r="AF568" s="5">
        <f t="shared" si="32"/>
        <v>45515</v>
      </c>
      <c r="AG568" s="5">
        <f t="shared" si="32"/>
        <v>45523</v>
      </c>
      <c r="AH568" s="5" t="b">
        <f t="shared" si="33"/>
        <v>1</v>
      </c>
      <c r="AI568" s="5" t="b">
        <f t="shared" si="33"/>
        <v>1</v>
      </c>
      <c r="AJ568" t="str">
        <f t="shared" si="34"/>
        <v>OK</v>
      </c>
      <c r="AK568">
        <f t="shared" si="35"/>
        <v>8</v>
      </c>
    </row>
    <row r="569" spans="1:37">
      <c r="A569" t="s">
        <v>2723</v>
      </c>
      <c r="B569" t="s">
        <v>2724</v>
      </c>
      <c r="C569" t="s">
        <v>2725</v>
      </c>
      <c r="D569" t="s">
        <v>2726</v>
      </c>
      <c r="E569" t="s">
        <v>61</v>
      </c>
      <c r="F569" t="s">
        <v>115</v>
      </c>
      <c r="G569" t="s">
        <v>27</v>
      </c>
      <c r="H569" t="s">
        <v>174</v>
      </c>
      <c r="I569" t="s">
        <v>175</v>
      </c>
      <c r="J569" t="s">
        <v>45</v>
      </c>
      <c r="K569" t="s">
        <v>65</v>
      </c>
      <c r="L569" t="s">
        <v>900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  <c r="V569" s="1" t="s">
        <v>61</v>
      </c>
      <c r="W569" s="1" t="s">
        <v>115</v>
      </c>
      <c r="X569" s="1" t="s">
        <v>27</v>
      </c>
      <c r="Y569" s="1" t="s">
        <v>174</v>
      </c>
      <c r="Z569" s="1" t="s">
        <v>175</v>
      </c>
      <c r="AA569" s="1" t="s">
        <v>45</v>
      </c>
      <c r="AB569" s="1" t="s">
        <v>65</v>
      </c>
      <c r="AC569" s="1" t="s">
        <v>48</v>
      </c>
      <c r="AD569" s="1" t="s">
        <v>34</v>
      </c>
      <c r="AE569" s="1" t="s">
        <v>35</v>
      </c>
      <c r="AF569" s="5">
        <f t="shared" si="32"/>
        <v>45328</v>
      </c>
      <c r="AG569" s="5">
        <f t="shared" si="32"/>
        <v>45567</v>
      </c>
      <c r="AH569" s="5" t="b">
        <f t="shared" si="33"/>
        <v>1</v>
      </c>
      <c r="AI569" s="5" t="b">
        <f t="shared" si="33"/>
        <v>1</v>
      </c>
      <c r="AJ569" t="str">
        <f t="shared" si="34"/>
        <v>OK</v>
      </c>
      <c r="AK569">
        <f t="shared" si="35"/>
        <v>239</v>
      </c>
    </row>
    <row r="570" spans="1:37">
      <c r="A570" t="s">
        <v>2727</v>
      </c>
      <c r="B570" t="s">
        <v>1719</v>
      </c>
      <c r="C570" t="s">
        <v>2728</v>
      </c>
      <c r="D570" t="s">
        <v>2729</v>
      </c>
      <c r="E570" t="s">
        <v>366</v>
      </c>
      <c r="F570" t="s">
        <v>108</v>
      </c>
      <c r="G570" t="s">
        <v>27</v>
      </c>
      <c r="H570" t="s">
        <v>154</v>
      </c>
      <c r="I570" t="s">
        <v>155</v>
      </c>
      <c r="J570" t="s">
        <v>86</v>
      </c>
      <c r="K570" t="s">
        <v>382</v>
      </c>
      <c r="L570" t="s">
        <v>2730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  <c r="V570" s="1" t="s">
        <v>366</v>
      </c>
      <c r="W570" s="1" t="s">
        <v>108</v>
      </c>
      <c r="X570" s="1" t="s">
        <v>27</v>
      </c>
      <c r="Y570" s="1" t="s">
        <v>154</v>
      </c>
      <c r="Z570" s="1" t="s">
        <v>155</v>
      </c>
      <c r="AA570" s="1" t="s">
        <v>86</v>
      </c>
      <c r="AB570" s="1" t="s">
        <v>382</v>
      </c>
      <c r="AC570" s="1" t="s">
        <v>48</v>
      </c>
      <c r="AD570" s="1" t="s">
        <v>34</v>
      </c>
      <c r="AE570" s="1" t="s">
        <v>35</v>
      </c>
      <c r="AF570" s="5">
        <f t="shared" si="32"/>
        <v>45312</v>
      </c>
      <c r="AG570" s="5">
        <f t="shared" si="32"/>
        <v>45315</v>
      </c>
      <c r="AH570" s="5" t="b">
        <f t="shared" si="33"/>
        <v>1</v>
      </c>
      <c r="AI570" s="5" t="b">
        <f t="shared" si="33"/>
        <v>1</v>
      </c>
      <c r="AJ570" t="str">
        <f t="shared" si="34"/>
        <v>OK</v>
      </c>
      <c r="AK570">
        <f t="shared" si="35"/>
        <v>3</v>
      </c>
    </row>
    <row r="571" spans="1:37">
      <c r="A571" t="s">
        <v>2731</v>
      </c>
      <c r="B571" t="s">
        <v>2732</v>
      </c>
      <c r="C571" t="s">
        <v>2733</v>
      </c>
      <c r="D571" t="s">
        <v>2734</v>
      </c>
      <c r="E571" t="s">
        <v>148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2735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  <c r="V571" s="1" t="s">
        <v>148</v>
      </c>
      <c r="W571" s="1" t="s">
        <v>115</v>
      </c>
      <c r="X571" s="1" t="s">
        <v>73</v>
      </c>
      <c r="Y571" s="1" t="s">
        <v>74</v>
      </c>
      <c r="Z571" s="1" t="s">
        <v>75</v>
      </c>
      <c r="AA571" s="1" t="s">
        <v>45</v>
      </c>
      <c r="AB571" s="1" t="s">
        <v>65</v>
      </c>
      <c r="AC571" s="1" t="s">
        <v>67</v>
      </c>
      <c r="AD571" s="1" t="s">
        <v>124</v>
      </c>
      <c r="AE571" s="1" t="s">
        <v>125</v>
      </c>
      <c r="AF571" s="5">
        <f t="shared" si="32"/>
        <v>45908</v>
      </c>
      <c r="AG571" s="5">
        <f t="shared" si="32"/>
        <v>45910</v>
      </c>
      <c r="AH571" s="5" t="b">
        <f t="shared" si="33"/>
        <v>1</v>
      </c>
      <c r="AI571" s="5" t="b">
        <f t="shared" si="33"/>
        <v>1</v>
      </c>
      <c r="AJ571" t="str">
        <f t="shared" si="34"/>
        <v>OK</v>
      </c>
      <c r="AK571">
        <f t="shared" si="35"/>
        <v>2</v>
      </c>
    </row>
    <row r="572" spans="1:37">
      <c r="A572" t="s">
        <v>2736</v>
      </c>
      <c r="B572" t="s">
        <v>921</v>
      </c>
      <c r="C572" t="s">
        <v>698</v>
      </c>
      <c r="D572" t="s">
        <v>2737</v>
      </c>
      <c r="E572" t="s">
        <v>61</v>
      </c>
      <c r="F572" t="s">
        <v>26</v>
      </c>
      <c r="G572" t="s">
        <v>42</v>
      </c>
      <c r="H572" t="s">
        <v>311</v>
      </c>
      <c r="I572" t="s">
        <v>312</v>
      </c>
      <c r="J572" t="s">
        <v>45</v>
      </c>
      <c r="K572" t="s">
        <v>65</v>
      </c>
      <c r="L572" t="s">
        <v>2738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200</v>
      </c>
      <c r="U572" t="s">
        <v>125</v>
      </c>
      <c r="V572" s="1" t="s">
        <v>61</v>
      </c>
      <c r="W572" s="1" t="s">
        <v>26</v>
      </c>
      <c r="X572" s="1" t="s">
        <v>42</v>
      </c>
      <c r="Y572" s="1" t="s">
        <v>311</v>
      </c>
      <c r="Z572" s="1" t="s">
        <v>312</v>
      </c>
      <c r="AA572" s="1" t="s">
        <v>45</v>
      </c>
      <c r="AB572" s="1" t="s">
        <v>65</v>
      </c>
      <c r="AC572" s="1" t="s">
        <v>33</v>
      </c>
      <c r="AD572" s="1" t="s">
        <v>200</v>
      </c>
      <c r="AE572" s="1" t="s">
        <v>125</v>
      </c>
      <c r="AF572" s="5">
        <f t="shared" si="32"/>
        <v>45887</v>
      </c>
      <c r="AG572" s="5">
        <f t="shared" si="32"/>
        <v>45891</v>
      </c>
      <c r="AH572" s="5" t="b">
        <f t="shared" si="33"/>
        <v>1</v>
      </c>
      <c r="AI572" s="5" t="b">
        <f t="shared" si="33"/>
        <v>1</v>
      </c>
      <c r="AJ572" t="str">
        <f t="shared" si="34"/>
        <v>OK</v>
      </c>
      <c r="AK572">
        <f t="shared" si="35"/>
        <v>4</v>
      </c>
    </row>
    <row r="573" spans="1:37">
      <c r="A573" t="s">
        <v>2739</v>
      </c>
      <c r="B573" t="s">
        <v>2675</v>
      </c>
      <c r="C573" t="s">
        <v>2740</v>
      </c>
      <c r="D573" t="s">
        <v>2741</v>
      </c>
      <c r="E573" t="s">
        <v>142</v>
      </c>
      <c r="F573" t="s">
        <v>41</v>
      </c>
      <c r="G573" t="s">
        <v>27</v>
      </c>
      <c r="H573" t="s">
        <v>174</v>
      </c>
      <c r="I573" t="s">
        <v>175</v>
      </c>
      <c r="J573" t="s">
        <v>86</v>
      </c>
      <c r="K573" t="s">
        <v>223</v>
      </c>
      <c r="L573" t="s">
        <v>2742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200</v>
      </c>
      <c r="U573" t="s">
        <v>125</v>
      </c>
      <c r="V573" s="1" t="s">
        <v>142</v>
      </c>
      <c r="W573" s="1" t="s">
        <v>41</v>
      </c>
      <c r="X573" s="1" t="s">
        <v>27</v>
      </c>
      <c r="Y573" s="1" t="s">
        <v>174</v>
      </c>
      <c r="Z573" s="1" t="s">
        <v>175</v>
      </c>
      <c r="AA573" s="1" t="s">
        <v>86</v>
      </c>
      <c r="AB573" s="1" t="s">
        <v>223</v>
      </c>
      <c r="AC573" s="1" t="s">
        <v>4119</v>
      </c>
      <c r="AD573" s="1" t="s">
        <v>200</v>
      </c>
      <c r="AE573" s="1" t="s">
        <v>125</v>
      </c>
      <c r="AF573" s="5">
        <f t="shared" si="32"/>
        <v>45698</v>
      </c>
      <c r="AG573" s="5">
        <f t="shared" si="32"/>
        <v>45702</v>
      </c>
      <c r="AH573" s="5" t="b">
        <f t="shared" si="33"/>
        <v>1</v>
      </c>
      <c r="AI573" s="5" t="b">
        <f t="shared" si="33"/>
        <v>1</v>
      </c>
      <c r="AJ573" t="str">
        <f t="shared" si="34"/>
        <v>OK</v>
      </c>
      <c r="AK573">
        <f t="shared" si="35"/>
        <v>4</v>
      </c>
    </row>
    <row r="574" spans="1:37">
      <c r="A574" t="s">
        <v>2743</v>
      </c>
      <c r="B574" t="s">
        <v>2744</v>
      </c>
      <c r="C574" t="s">
        <v>2745</v>
      </c>
      <c r="D574" t="s">
        <v>2746</v>
      </c>
      <c r="E574" t="s">
        <v>210</v>
      </c>
      <c r="F574" t="s">
        <v>108</v>
      </c>
      <c r="G574" t="s">
        <v>27</v>
      </c>
      <c r="H574" t="s">
        <v>506</v>
      </c>
      <c r="I574" t="s">
        <v>507</v>
      </c>
      <c r="J574" t="s">
        <v>86</v>
      </c>
      <c r="K574" t="s">
        <v>223</v>
      </c>
      <c r="L574" t="s">
        <v>2747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  <c r="V574" s="1" t="s">
        <v>210</v>
      </c>
      <c r="W574" s="1" t="s">
        <v>108</v>
      </c>
      <c r="X574" s="1" t="s">
        <v>27</v>
      </c>
      <c r="Y574" s="1" t="s">
        <v>506</v>
      </c>
      <c r="Z574" s="1" t="s">
        <v>507</v>
      </c>
      <c r="AA574" s="1" t="s">
        <v>86</v>
      </c>
      <c r="AB574" s="1" t="s">
        <v>223</v>
      </c>
      <c r="AC574" s="1" t="s">
        <v>67</v>
      </c>
      <c r="AD574" s="1" t="s">
        <v>34</v>
      </c>
      <c r="AE574" s="1" t="s">
        <v>35</v>
      </c>
      <c r="AF574" s="5">
        <f t="shared" si="32"/>
        <v>45293</v>
      </c>
      <c r="AG574" s="5">
        <f t="shared" si="32"/>
        <v>45536</v>
      </c>
      <c r="AH574" s="5" t="b">
        <f t="shared" si="33"/>
        <v>1</v>
      </c>
      <c r="AI574" s="5" t="b">
        <f t="shared" si="33"/>
        <v>1</v>
      </c>
      <c r="AJ574" t="str">
        <f t="shared" si="34"/>
        <v>OK</v>
      </c>
      <c r="AK574">
        <f t="shared" si="35"/>
        <v>243</v>
      </c>
    </row>
    <row r="575" spans="1:37">
      <c r="A575" t="s">
        <v>2748</v>
      </c>
      <c r="B575" t="s">
        <v>2749</v>
      </c>
      <c r="C575" t="s">
        <v>2750</v>
      </c>
      <c r="D575" t="s">
        <v>2751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223</v>
      </c>
      <c r="L575" t="s">
        <v>2752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  <c r="V575" s="1" t="s">
        <v>53</v>
      </c>
      <c r="W575" s="1" t="s">
        <v>26</v>
      </c>
      <c r="X575" s="1" t="s">
        <v>62</v>
      </c>
      <c r="Y575" s="1" t="s">
        <v>100</v>
      </c>
      <c r="Z575" s="1" t="s">
        <v>101</v>
      </c>
      <c r="AA575" s="1" t="s">
        <v>86</v>
      </c>
      <c r="AB575" s="1" t="s">
        <v>223</v>
      </c>
      <c r="AC575" s="1" t="s">
        <v>67</v>
      </c>
      <c r="AD575" s="1" t="s">
        <v>34</v>
      </c>
      <c r="AE575" s="1" t="s">
        <v>35</v>
      </c>
      <c r="AF575" s="5">
        <f t="shared" si="32"/>
        <v>45922</v>
      </c>
      <c r="AG575" s="5">
        <f t="shared" si="32"/>
        <v>45926</v>
      </c>
      <c r="AH575" s="5" t="b">
        <f t="shared" si="33"/>
        <v>1</v>
      </c>
      <c r="AI575" s="5" t="b">
        <f t="shared" si="33"/>
        <v>1</v>
      </c>
      <c r="AJ575" t="str">
        <f t="shared" si="34"/>
        <v>OK</v>
      </c>
      <c r="AK575">
        <f t="shared" si="35"/>
        <v>4</v>
      </c>
    </row>
    <row r="576" spans="1:37">
      <c r="A576" t="s">
        <v>2753</v>
      </c>
      <c r="B576" t="s">
        <v>2754</v>
      </c>
      <c r="C576" t="s">
        <v>1645</v>
      </c>
      <c r="D576" t="s">
        <v>1226</v>
      </c>
      <c r="E576" t="s">
        <v>210</v>
      </c>
      <c r="F576" t="s">
        <v>115</v>
      </c>
      <c r="G576" t="s">
        <v>27</v>
      </c>
      <c r="H576" t="s">
        <v>154</v>
      </c>
      <c r="I576" t="s">
        <v>155</v>
      </c>
      <c r="J576" t="s">
        <v>86</v>
      </c>
      <c r="K576" t="s">
        <v>382</v>
      </c>
      <c r="L576" t="s">
        <v>2755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  <c r="V576" s="1" t="s">
        <v>210</v>
      </c>
      <c r="W576" s="1" t="s">
        <v>115</v>
      </c>
      <c r="X576" s="1" t="s">
        <v>27</v>
      </c>
      <c r="Y576" s="1" t="s">
        <v>154</v>
      </c>
      <c r="Z576" s="1" t="s">
        <v>155</v>
      </c>
      <c r="AA576" s="1" t="s">
        <v>86</v>
      </c>
      <c r="AB576" s="1" t="s">
        <v>382</v>
      </c>
      <c r="AC576" s="1" t="s">
        <v>67</v>
      </c>
      <c r="AD576" s="1" t="s">
        <v>34</v>
      </c>
      <c r="AE576" s="1" t="s">
        <v>35</v>
      </c>
      <c r="AF576" s="5">
        <f t="shared" si="32"/>
        <v>45342</v>
      </c>
      <c r="AG576" s="5" t="e">
        <f t="shared" si="32"/>
        <v>#N/A</v>
      </c>
      <c r="AH576" s="5" t="b">
        <f t="shared" si="33"/>
        <v>1</v>
      </c>
      <c r="AI576" s="5" t="b">
        <f t="shared" si="33"/>
        <v>0</v>
      </c>
      <c r="AJ576" t="e">
        <f t="shared" si="34"/>
        <v>#N/A</v>
      </c>
      <c r="AK576" t="e">
        <f t="shared" si="35"/>
        <v>#N/A</v>
      </c>
    </row>
    <row r="577" spans="1:37">
      <c r="A577" t="s">
        <v>2756</v>
      </c>
      <c r="B577" t="s">
        <v>2757</v>
      </c>
      <c r="C577" t="s">
        <v>2758</v>
      </c>
      <c r="D577" t="s">
        <v>2759</v>
      </c>
      <c r="E577" t="s">
        <v>168</v>
      </c>
      <c r="F577" t="s">
        <v>115</v>
      </c>
      <c r="G577" t="s">
        <v>62</v>
      </c>
      <c r="H577" t="s">
        <v>242</v>
      </c>
      <c r="I577" t="s">
        <v>243</v>
      </c>
      <c r="J577" t="s">
        <v>45</v>
      </c>
      <c r="K577" t="s">
        <v>65</v>
      </c>
      <c r="L577" t="s">
        <v>2760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200</v>
      </c>
      <c r="U577" t="s">
        <v>125</v>
      </c>
      <c r="V577" s="1" t="s">
        <v>168</v>
      </c>
      <c r="W577" s="1" t="s">
        <v>115</v>
      </c>
      <c r="X577" s="1" t="s">
        <v>62</v>
      </c>
      <c r="Y577" s="1" t="s">
        <v>242</v>
      </c>
      <c r="Z577" s="1" t="s">
        <v>243</v>
      </c>
      <c r="AA577" s="1" t="s">
        <v>45</v>
      </c>
      <c r="AB577" s="1" t="s">
        <v>65</v>
      </c>
      <c r="AC577" s="1" t="s">
        <v>48</v>
      </c>
      <c r="AD577" s="1" t="s">
        <v>200</v>
      </c>
      <c r="AE577" s="1" t="s">
        <v>125</v>
      </c>
      <c r="AF577" s="5">
        <f t="shared" si="32"/>
        <v>45727</v>
      </c>
      <c r="AG577" s="5">
        <f t="shared" si="32"/>
        <v>45730</v>
      </c>
      <c r="AH577" s="5" t="b">
        <f t="shared" si="33"/>
        <v>1</v>
      </c>
      <c r="AI577" s="5" t="b">
        <f t="shared" si="33"/>
        <v>1</v>
      </c>
      <c r="AJ577" t="str">
        <f t="shared" si="34"/>
        <v>OK</v>
      </c>
      <c r="AK577">
        <f t="shared" si="35"/>
        <v>3</v>
      </c>
    </row>
    <row r="578" spans="1:37">
      <c r="A578" t="s">
        <v>2761</v>
      </c>
      <c r="B578" t="s">
        <v>2762</v>
      </c>
      <c r="C578" t="s">
        <v>2763</v>
      </c>
      <c r="D578" t="s">
        <v>2764</v>
      </c>
      <c r="E578" t="s">
        <v>180</v>
      </c>
      <c r="F578" t="s">
        <v>115</v>
      </c>
      <c r="H578" t="s">
        <v>186</v>
      </c>
      <c r="I578" t="s">
        <v>187</v>
      </c>
      <c r="J578" t="s">
        <v>30</v>
      </c>
      <c r="K578" t="s">
        <v>198</v>
      </c>
      <c r="L578" t="s">
        <v>2765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  <c r="V578" s="1" t="s">
        <v>180</v>
      </c>
      <c r="W578" s="1" t="s">
        <v>115</v>
      </c>
      <c r="X578" s="1" t="s">
        <v>4119</v>
      </c>
      <c r="Y578" s="1" t="s">
        <v>186</v>
      </c>
      <c r="Z578" s="1" t="s">
        <v>187</v>
      </c>
      <c r="AA578" s="1" t="s">
        <v>30</v>
      </c>
      <c r="AB578" s="1" t="s">
        <v>198</v>
      </c>
      <c r="AC578" s="1" t="s">
        <v>67</v>
      </c>
      <c r="AD578" s="1" t="s">
        <v>124</v>
      </c>
      <c r="AE578" s="1" t="s">
        <v>125</v>
      </c>
      <c r="AF578" s="5" t="e">
        <f t="shared" si="32"/>
        <v>#N/A</v>
      </c>
      <c r="AG578" s="5">
        <f t="shared" si="32"/>
        <v>45345</v>
      </c>
      <c r="AH578" s="5" t="b">
        <f t="shared" si="33"/>
        <v>0</v>
      </c>
      <c r="AI578" s="5" t="b">
        <f t="shared" si="33"/>
        <v>1</v>
      </c>
      <c r="AJ578" t="e">
        <f t="shared" si="34"/>
        <v>#N/A</v>
      </c>
      <c r="AK578" t="e">
        <f t="shared" si="35"/>
        <v>#N/A</v>
      </c>
    </row>
    <row r="579" spans="1:37">
      <c r="A579" t="s">
        <v>2766</v>
      </c>
      <c r="B579" t="s">
        <v>435</v>
      </c>
      <c r="C579" t="s">
        <v>2767</v>
      </c>
      <c r="D579" t="s">
        <v>2768</v>
      </c>
      <c r="E579" t="s">
        <v>142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2769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  <c r="V579" s="1" t="s">
        <v>142</v>
      </c>
      <c r="W579" s="1" t="s">
        <v>108</v>
      </c>
      <c r="X579" s="1" t="s">
        <v>73</v>
      </c>
      <c r="Y579" s="1" t="s">
        <v>84</v>
      </c>
      <c r="Z579" s="1" t="s">
        <v>85</v>
      </c>
      <c r="AA579" s="1" t="s">
        <v>45</v>
      </c>
      <c r="AB579" s="1" t="s">
        <v>65</v>
      </c>
      <c r="AC579" s="1" t="s">
        <v>67</v>
      </c>
      <c r="AD579" s="1" t="s">
        <v>34</v>
      </c>
      <c r="AE579" s="1" t="s">
        <v>35</v>
      </c>
      <c r="AF579" s="5">
        <f t="shared" ref="AF579:AG642" si="36">IFERROR(DATEVALUE(B579),IFERROR(DATE(VALUE(RIGHT(B579,4)),VALUE(MID(SUBSTITUTE(B579,"-","/"),6,2)),VALUE(LEFT(B579,2))),NA()))</f>
        <v>45897</v>
      </c>
      <c r="AG579" s="5">
        <f t="shared" si="36"/>
        <v>45903</v>
      </c>
      <c r="AH579" s="5" t="b">
        <f t="shared" ref="AH579:AI642" si="37">ISNUMBER(AF579)</f>
        <v>1</v>
      </c>
      <c r="AI579" s="5" t="b">
        <f t="shared" si="37"/>
        <v>1</v>
      </c>
      <c r="AJ579" t="str">
        <f t="shared" ref="AJ579:AJ642" si="38">IF(AG579&lt;AF579,"Invalid: Ship before Order","OK")</f>
        <v>OK</v>
      </c>
      <c r="AK579">
        <f t="shared" ref="AK579:AK642" si="39">DATEDIF(AF579, AG579, "D")</f>
        <v>6</v>
      </c>
    </row>
    <row r="580" spans="1:37">
      <c r="A580" t="s">
        <v>2770</v>
      </c>
      <c r="B580" t="s">
        <v>2771</v>
      </c>
      <c r="C580" t="s">
        <v>2772</v>
      </c>
      <c r="D580" t="s">
        <v>417</v>
      </c>
      <c r="E580" t="s">
        <v>93</v>
      </c>
      <c r="F580" t="s">
        <v>41</v>
      </c>
      <c r="G580" t="s">
        <v>73</v>
      </c>
      <c r="H580" t="s">
        <v>235</v>
      </c>
      <c r="I580" t="s">
        <v>236</v>
      </c>
      <c r="J580" t="s">
        <v>86</v>
      </c>
      <c r="K580" t="s">
        <v>94</v>
      </c>
      <c r="L580" t="s">
        <v>2773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  <c r="V580" s="1" t="s">
        <v>93</v>
      </c>
      <c r="W580" s="1" t="s">
        <v>41</v>
      </c>
      <c r="X580" s="1" t="s">
        <v>73</v>
      </c>
      <c r="Y580" s="1" t="s">
        <v>235</v>
      </c>
      <c r="Z580" s="1" t="s">
        <v>236</v>
      </c>
      <c r="AA580" s="1" t="s">
        <v>86</v>
      </c>
      <c r="AB580" s="1" t="s">
        <v>94</v>
      </c>
      <c r="AC580" s="1" t="s">
        <v>56</v>
      </c>
      <c r="AD580" s="1" t="s">
        <v>34</v>
      </c>
      <c r="AE580" s="1" t="s">
        <v>35</v>
      </c>
      <c r="AF580" s="5">
        <f t="shared" si="36"/>
        <v>45343</v>
      </c>
      <c r="AG580" s="5" t="e">
        <f t="shared" si="36"/>
        <v>#N/A</v>
      </c>
      <c r="AH580" s="5" t="b">
        <f t="shared" si="37"/>
        <v>1</v>
      </c>
      <c r="AI580" s="5" t="b">
        <f t="shared" si="37"/>
        <v>0</v>
      </c>
      <c r="AJ580" t="e">
        <f t="shared" si="38"/>
        <v>#N/A</v>
      </c>
      <c r="AK580" t="e">
        <f t="shared" si="39"/>
        <v>#N/A</v>
      </c>
    </row>
    <row r="581" spans="1:37">
      <c r="A581" t="s">
        <v>2774</v>
      </c>
      <c r="B581" t="s">
        <v>2775</v>
      </c>
      <c r="C581" t="s">
        <v>2776</v>
      </c>
      <c r="D581" t="s">
        <v>2777</v>
      </c>
      <c r="E581" t="s">
        <v>162</v>
      </c>
      <c r="F581" t="s">
        <v>41</v>
      </c>
      <c r="G581" t="s">
        <v>62</v>
      </c>
      <c r="H581" t="s">
        <v>339</v>
      </c>
      <c r="I581" t="s">
        <v>340</v>
      </c>
      <c r="J581" t="s">
        <v>30</v>
      </c>
      <c r="K581" t="s">
        <v>156</v>
      </c>
      <c r="L581" t="s">
        <v>2778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  <c r="V581" s="1" t="s">
        <v>162</v>
      </c>
      <c r="W581" s="1" t="s">
        <v>41</v>
      </c>
      <c r="X581" s="1" t="s">
        <v>62</v>
      </c>
      <c r="Y581" s="1" t="s">
        <v>339</v>
      </c>
      <c r="Z581" s="1" t="s">
        <v>340</v>
      </c>
      <c r="AA581" s="1" t="s">
        <v>30</v>
      </c>
      <c r="AB581" s="1" t="s">
        <v>156</v>
      </c>
      <c r="AC581" s="1" t="s">
        <v>48</v>
      </c>
      <c r="AD581" s="1" t="s">
        <v>34</v>
      </c>
      <c r="AE581" s="1" t="s">
        <v>35</v>
      </c>
      <c r="AF581" s="5" t="e">
        <f t="shared" si="36"/>
        <v>#N/A</v>
      </c>
      <c r="AG581" s="5">
        <f t="shared" si="36"/>
        <v>45467</v>
      </c>
      <c r="AH581" s="5" t="b">
        <f t="shared" si="37"/>
        <v>0</v>
      </c>
      <c r="AI581" s="5" t="b">
        <f t="shared" si="37"/>
        <v>1</v>
      </c>
      <c r="AJ581" t="e">
        <f t="shared" si="38"/>
        <v>#N/A</v>
      </c>
      <c r="AK581" t="e">
        <f t="shared" si="39"/>
        <v>#N/A</v>
      </c>
    </row>
    <row r="582" spans="1:37">
      <c r="A582" t="s">
        <v>2779</v>
      </c>
      <c r="B582" t="s">
        <v>2780</v>
      </c>
      <c r="C582" t="s">
        <v>1459</v>
      </c>
      <c r="D582" t="s">
        <v>2781</v>
      </c>
      <c r="E582" t="s">
        <v>366</v>
      </c>
      <c r="F582" t="s">
        <v>26</v>
      </c>
      <c r="G582" t="s">
        <v>62</v>
      </c>
      <c r="H582" t="s">
        <v>242</v>
      </c>
      <c r="I582" t="s">
        <v>243</v>
      </c>
      <c r="J582" t="s">
        <v>45</v>
      </c>
      <c r="K582" t="s">
        <v>76</v>
      </c>
      <c r="L582" t="s">
        <v>2782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200</v>
      </c>
      <c r="U582" t="s">
        <v>125</v>
      </c>
      <c r="V582" s="1" t="s">
        <v>366</v>
      </c>
      <c r="W582" s="1" t="s">
        <v>26</v>
      </c>
      <c r="X582" s="1" t="s">
        <v>62</v>
      </c>
      <c r="Y582" s="1" t="s">
        <v>242</v>
      </c>
      <c r="Z582" s="1" t="s">
        <v>243</v>
      </c>
      <c r="AA582" s="1" t="s">
        <v>45</v>
      </c>
      <c r="AB582" s="1" t="s">
        <v>76</v>
      </c>
      <c r="AC582" s="1" t="s">
        <v>67</v>
      </c>
      <c r="AD582" s="1" t="s">
        <v>200</v>
      </c>
      <c r="AE582" s="1" t="s">
        <v>125</v>
      </c>
      <c r="AF582" s="5">
        <f t="shared" si="36"/>
        <v>45811</v>
      </c>
      <c r="AG582" s="5">
        <f t="shared" si="36"/>
        <v>45729</v>
      </c>
      <c r="AH582" s="5" t="b">
        <f t="shared" si="37"/>
        <v>1</v>
      </c>
      <c r="AI582" s="5" t="b">
        <f t="shared" si="37"/>
        <v>1</v>
      </c>
      <c r="AJ582" t="str">
        <f t="shared" si="38"/>
        <v>Invalid: Ship before Order</v>
      </c>
      <c r="AK582" t="e">
        <f t="shared" si="39"/>
        <v>#NUM!</v>
      </c>
    </row>
    <row r="583" spans="1:37">
      <c r="A583" t="s">
        <v>2783</v>
      </c>
      <c r="B583" t="s">
        <v>1343</v>
      </c>
      <c r="C583" t="s">
        <v>2784</v>
      </c>
      <c r="D583" t="s">
        <v>2785</v>
      </c>
      <c r="E583" t="s">
        <v>93</v>
      </c>
      <c r="F583" t="s">
        <v>26</v>
      </c>
      <c r="G583" t="s">
        <v>27</v>
      </c>
      <c r="H583" t="s">
        <v>506</v>
      </c>
      <c r="I583" t="s">
        <v>507</v>
      </c>
      <c r="J583" t="s">
        <v>30</v>
      </c>
      <c r="K583" t="s">
        <v>54</v>
      </c>
      <c r="L583" t="s">
        <v>2786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  <c r="V583" s="1" t="s">
        <v>93</v>
      </c>
      <c r="W583" s="1" t="s">
        <v>26</v>
      </c>
      <c r="X583" s="1" t="s">
        <v>27</v>
      </c>
      <c r="Y583" s="1" t="s">
        <v>506</v>
      </c>
      <c r="Z583" s="1" t="s">
        <v>507</v>
      </c>
      <c r="AA583" s="1" t="s">
        <v>30</v>
      </c>
      <c r="AB583" s="1" t="s">
        <v>54</v>
      </c>
      <c r="AC583" s="1" t="s">
        <v>33</v>
      </c>
      <c r="AD583" s="1" t="s">
        <v>124</v>
      </c>
      <c r="AE583" s="1" t="s">
        <v>125</v>
      </c>
      <c r="AF583" s="5">
        <f t="shared" si="36"/>
        <v>45878</v>
      </c>
      <c r="AG583" s="5">
        <f t="shared" si="36"/>
        <v>45879</v>
      </c>
      <c r="AH583" s="5" t="b">
        <f t="shared" si="37"/>
        <v>1</v>
      </c>
      <c r="AI583" s="5" t="b">
        <f t="shared" si="37"/>
        <v>1</v>
      </c>
      <c r="AJ583" t="str">
        <f t="shared" si="38"/>
        <v>OK</v>
      </c>
      <c r="AK583">
        <f t="shared" si="39"/>
        <v>1</v>
      </c>
    </row>
    <row r="584" spans="1:37">
      <c r="A584" t="s">
        <v>2787</v>
      </c>
      <c r="B584" t="s">
        <v>2788</v>
      </c>
      <c r="C584" t="s">
        <v>2789</v>
      </c>
      <c r="D584" t="s">
        <v>2790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2791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137</v>
      </c>
      <c r="U584" t="s">
        <v>125</v>
      </c>
      <c r="V584" s="1" t="s">
        <v>72</v>
      </c>
      <c r="W584" s="1" t="s">
        <v>26</v>
      </c>
      <c r="X584" s="1" t="s">
        <v>42</v>
      </c>
      <c r="Y584" s="1" t="s">
        <v>43</v>
      </c>
      <c r="Z584" s="1" t="s">
        <v>44</v>
      </c>
      <c r="AA584" s="1" t="s">
        <v>30</v>
      </c>
      <c r="AB584" s="1" t="s">
        <v>54</v>
      </c>
      <c r="AC584" s="1" t="s">
        <v>56</v>
      </c>
      <c r="AD584" s="1" t="s">
        <v>137</v>
      </c>
      <c r="AE584" s="1" t="s">
        <v>125</v>
      </c>
      <c r="AF584" s="5">
        <f t="shared" si="36"/>
        <v>45580</v>
      </c>
      <c r="AG584" s="5">
        <f t="shared" si="36"/>
        <v>45585</v>
      </c>
      <c r="AH584" s="5" t="b">
        <f t="shared" si="37"/>
        <v>1</v>
      </c>
      <c r="AI584" s="5" t="b">
        <f t="shared" si="37"/>
        <v>1</v>
      </c>
      <c r="AJ584" t="str">
        <f t="shared" si="38"/>
        <v>OK</v>
      </c>
      <c r="AK584">
        <f t="shared" si="39"/>
        <v>5</v>
      </c>
    </row>
    <row r="585" spans="1:37">
      <c r="A585" t="s">
        <v>2792</v>
      </c>
      <c r="B585" t="s">
        <v>626</v>
      </c>
      <c r="C585" t="s">
        <v>2793</v>
      </c>
      <c r="D585" t="s">
        <v>2794</v>
      </c>
      <c r="E585" t="s">
        <v>180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156</v>
      </c>
      <c r="L585" t="s">
        <v>2795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200</v>
      </c>
      <c r="U585" t="s">
        <v>125</v>
      </c>
      <c r="V585" s="1" t="s">
        <v>180</v>
      </c>
      <c r="W585" s="1" t="s">
        <v>41</v>
      </c>
      <c r="X585" s="1" t="s">
        <v>42</v>
      </c>
      <c r="Y585" s="1" t="s">
        <v>121</v>
      </c>
      <c r="Z585" s="1" t="s">
        <v>122</v>
      </c>
      <c r="AA585" s="1" t="s">
        <v>30</v>
      </c>
      <c r="AB585" s="1" t="s">
        <v>156</v>
      </c>
      <c r="AC585" s="1" t="s">
        <v>56</v>
      </c>
      <c r="AD585" s="1" t="s">
        <v>200</v>
      </c>
      <c r="AE585" s="1" t="s">
        <v>125</v>
      </c>
      <c r="AF585" s="5">
        <f t="shared" si="36"/>
        <v>45350</v>
      </c>
      <c r="AG585" s="5">
        <f t="shared" si="36"/>
        <v>45350</v>
      </c>
      <c r="AH585" s="5" t="b">
        <f t="shared" si="37"/>
        <v>1</v>
      </c>
      <c r="AI585" s="5" t="b">
        <f t="shared" si="37"/>
        <v>1</v>
      </c>
      <c r="AJ585" t="str">
        <f t="shared" si="38"/>
        <v>OK</v>
      </c>
      <c r="AK585">
        <f t="shared" si="39"/>
        <v>0</v>
      </c>
    </row>
    <row r="586" spans="1:37">
      <c r="A586" t="s">
        <v>2796</v>
      </c>
      <c r="B586" t="s">
        <v>2797</v>
      </c>
      <c r="C586" t="s">
        <v>2798</v>
      </c>
      <c r="D586" t="s">
        <v>2799</v>
      </c>
      <c r="E586" t="s">
        <v>83</v>
      </c>
      <c r="F586" t="s">
        <v>26</v>
      </c>
      <c r="G586" t="s">
        <v>42</v>
      </c>
      <c r="H586" t="s">
        <v>186</v>
      </c>
      <c r="I586" t="s">
        <v>187</v>
      </c>
      <c r="J586" t="s">
        <v>30</v>
      </c>
      <c r="K586" t="s">
        <v>54</v>
      </c>
      <c r="L586" t="s">
        <v>2800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137</v>
      </c>
      <c r="U586" t="s">
        <v>125</v>
      </c>
      <c r="V586" s="1" t="s">
        <v>83</v>
      </c>
      <c r="W586" s="1" t="s">
        <v>26</v>
      </c>
      <c r="X586" s="1" t="s">
        <v>42</v>
      </c>
      <c r="Y586" s="1" t="s">
        <v>186</v>
      </c>
      <c r="Z586" s="1" t="s">
        <v>187</v>
      </c>
      <c r="AA586" s="1" t="s">
        <v>30</v>
      </c>
      <c r="AB586" s="1" t="s">
        <v>54</v>
      </c>
      <c r="AC586" s="1" t="s">
        <v>48</v>
      </c>
      <c r="AD586" s="1" t="s">
        <v>137</v>
      </c>
      <c r="AE586" s="1" t="s">
        <v>125</v>
      </c>
      <c r="AF586" s="5">
        <f t="shared" si="36"/>
        <v>45508</v>
      </c>
      <c r="AG586" s="5">
        <f t="shared" si="36"/>
        <v>45573</v>
      </c>
      <c r="AH586" s="5" t="b">
        <f t="shared" si="37"/>
        <v>1</v>
      </c>
      <c r="AI586" s="5" t="b">
        <f t="shared" si="37"/>
        <v>1</v>
      </c>
      <c r="AJ586" t="str">
        <f t="shared" si="38"/>
        <v>OK</v>
      </c>
      <c r="AK586">
        <f t="shared" si="39"/>
        <v>65</v>
      </c>
    </row>
    <row r="587" spans="1:37">
      <c r="A587" t="s">
        <v>2801</v>
      </c>
      <c r="B587" t="s">
        <v>1688</v>
      </c>
      <c r="C587" t="s">
        <v>2802</v>
      </c>
      <c r="D587" t="s">
        <v>2803</v>
      </c>
      <c r="E587" t="s">
        <v>210</v>
      </c>
      <c r="F587" t="s">
        <v>41</v>
      </c>
      <c r="G587" t="s">
        <v>1050</v>
      </c>
      <c r="H587" t="s">
        <v>74</v>
      </c>
      <c r="I587" t="s">
        <v>75</v>
      </c>
      <c r="J587" t="s">
        <v>86</v>
      </c>
      <c r="K587" t="s">
        <v>223</v>
      </c>
      <c r="L587" t="s">
        <v>2804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  <c r="V587" s="1" t="s">
        <v>210</v>
      </c>
      <c r="W587" s="1" t="s">
        <v>41</v>
      </c>
      <c r="X587" s="1" t="s">
        <v>73</v>
      </c>
      <c r="Y587" s="1" t="s">
        <v>74</v>
      </c>
      <c r="Z587" s="1" t="s">
        <v>75</v>
      </c>
      <c r="AA587" s="1" t="s">
        <v>86</v>
      </c>
      <c r="AB587" s="1" t="s">
        <v>223</v>
      </c>
      <c r="AC587" s="1" t="s">
        <v>56</v>
      </c>
      <c r="AD587" s="1" t="s">
        <v>34</v>
      </c>
      <c r="AE587" s="1" t="s">
        <v>35</v>
      </c>
      <c r="AF587" s="5">
        <f t="shared" si="36"/>
        <v>45830</v>
      </c>
      <c r="AG587" s="5">
        <f t="shared" si="36"/>
        <v>45833</v>
      </c>
      <c r="AH587" s="5" t="b">
        <f t="shared" si="37"/>
        <v>1</v>
      </c>
      <c r="AI587" s="5" t="b">
        <f t="shared" si="37"/>
        <v>1</v>
      </c>
      <c r="AJ587" t="str">
        <f t="shared" si="38"/>
        <v>OK</v>
      </c>
      <c r="AK587">
        <f t="shared" si="39"/>
        <v>3</v>
      </c>
    </row>
    <row r="588" spans="1:37">
      <c r="A588" t="s">
        <v>2805</v>
      </c>
      <c r="B588" t="s">
        <v>2806</v>
      </c>
      <c r="C588" t="s">
        <v>2807</v>
      </c>
      <c r="D588" t="s">
        <v>2808</v>
      </c>
      <c r="E588" t="s">
        <v>40</v>
      </c>
      <c r="F588" t="s">
        <v>115</v>
      </c>
      <c r="G588" t="s">
        <v>27</v>
      </c>
      <c r="H588" t="s">
        <v>154</v>
      </c>
      <c r="I588" t="s">
        <v>155</v>
      </c>
      <c r="J588" t="s">
        <v>30</v>
      </c>
      <c r="K588" t="s">
        <v>198</v>
      </c>
      <c r="L588" t="s">
        <v>2809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  <c r="V588" s="1" t="s">
        <v>40</v>
      </c>
      <c r="W588" s="1" t="s">
        <v>115</v>
      </c>
      <c r="X588" s="1" t="s">
        <v>27</v>
      </c>
      <c r="Y588" s="1" t="s">
        <v>154</v>
      </c>
      <c r="Z588" s="1" t="s">
        <v>155</v>
      </c>
      <c r="AA588" s="1" t="s">
        <v>30</v>
      </c>
      <c r="AB588" s="1" t="s">
        <v>198</v>
      </c>
      <c r="AC588" s="1" t="s">
        <v>33</v>
      </c>
      <c r="AD588" s="1" t="s">
        <v>34</v>
      </c>
      <c r="AE588" s="1" t="s">
        <v>35</v>
      </c>
      <c r="AF588" s="5">
        <f t="shared" si="36"/>
        <v>45995</v>
      </c>
      <c r="AG588" s="5">
        <f t="shared" si="36"/>
        <v>45759</v>
      </c>
      <c r="AH588" s="5" t="b">
        <f t="shared" si="37"/>
        <v>1</v>
      </c>
      <c r="AI588" s="5" t="b">
        <f t="shared" si="37"/>
        <v>1</v>
      </c>
      <c r="AJ588" t="str">
        <f t="shared" si="38"/>
        <v>Invalid: Ship before Order</v>
      </c>
      <c r="AK588" t="e">
        <f t="shared" si="39"/>
        <v>#NUM!</v>
      </c>
    </row>
    <row r="589" spans="1:37">
      <c r="A589" t="s">
        <v>2810</v>
      </c>
      <c r="B589" t="s">
        <v>2811</v>
      </c>
      <c r="C589" t="s">
        <v>2812</v>
      </c>
      <c r="D589" t="s">
        <v>2813</v>
      </c>
      <c r="E589" t="s">
        <v>366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2814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  <c r="V589" s="1" t="s">
        <v>366</v>
      </c>
      <c r="W589" s="1" t="s">
        <v>115</v>
      </c>
      <c r="X589" s="1" t="s">
        <v>73</v>
      </c>
      <c r="Y589" s="1" t="s">
        <v>84</v>
      </c>
      <c r="Z589" s="1" t="s">
        <v>85</v>
      </c>
      <c r="AA589" s="1" t="s">
        <v>86</v>
      </c>
      <c r="AB589" s="1" t="s">
        <v>87</v>
      </c>
      <c r="AC589" s="1" t="s">
        <v>56</v>
      </c>
      <c r="AD589" s="1" t="s">
        <v>124</v>
      </c>
      <c r="AE589" s="1" t="s">
        <v>78</v>
      </c>
      <c r="AF589" s="5" t="e">
        <f t="shared" si="36"/>
        <v>#N/A</v>
      </c>
      <c r="AG589" s="5">
        <f t="shared" si="36"/>
        <v>45869</v>
      </c>
      <c r="AH589" s="5" t="b">
        <f t="shared" si="37"/>
        <v>0</v>
      </c>
      <c r="AI589" s="5" t="b">
        <f t="shared" si="37"/>
        <v>1</v>
      </c>
      <c r="AJ589" t="e">
        <f t="shared" si="38"/>
        <v>#N/A</v>
      </c>
      <c r="AK589" t="e">
        <f t="shared" si="39"/>
        <v>#N/A</v>
      </c>
    </row>
    <row r="590" spans="1:37">
      <c r="A590" t="s">
        <v>2815</v>
      </c>
      <c r="B590" t="s">
        <v>2816</v>
      </c>
      <c r="C590" t="s">
        <v>2817</v>
      </c>
      <c r="D590" t="s">
        <v>2818</v>
      </c>
      <c r="E590" t="s">
        <v>162</v>
      </c>
      <c r="F590" t="s">
        <v>115</v>
      </c>
      <c r="G590" t="s">
        <v>62</v>
      </c>
      <c r="H590" t="s">
        <v>229</v>
      </c>
      <c r="I590" t="s">
        <v>230</v>
      </c>
      <c r="J590" t="s">
        <v>86</v>
      </c>
      <c r="K590" t="s">
        <v>87</v>
      </c>
      <c r="L590" t="s">
        <v>2819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  <c r="V590" s="1" t="s">
        <v>162</v>
      </c>
      <c r="W590" s="1" t="s">
        <v>115</v>
      </c>
      <c r="X590" s="1" t="s">
        <v>62</v>
      </c>
      <c r="Y590" s="1" t="s">
        <v>229</v>
      </c>
      <c r="Z590" s="1" t="s">
        <v>230</v>
      </c>
      <c r="AA590" s="1" t="s">
        <v>86</v>
      </c>
      <c r="AB590" s="1" t="s">
        <v>87</v>
      </c>
      <c r="AC590" s="1" t="s">
        <v>33</v>
      </c>
      <c r="AD590" s="1" t="s">
        <v>124</v>
      </c>
      <c r="AE590" s="1" t="s">
        <v>78</v>
      </c>
      <c r="AF590" s="5">
        <f t="shared" si="36"/>
        <v>45727</v>
      </c>
      <c r="AG590" s="5">
        <f t="shared" si="36"/>
        <v>45731</v>
      </c>
      <c r="AH590" s="5" t="b">
        <f t="shared" si="37"/>
        <v>1</v>
      </c>
      <c r="AI590" s="5" t="b">
        <f t="shared" si="37"/>
        <v>1</v>
      </c>
      <c r="AJ590" t="str">
        <f t="shared" si="38"/>
        <v>OK</v>
      </c>
      <c r="AK590">
        <f t="shared" si="39"/>
        <v>4</v>
      </c>
    </row>
    <row r="591" spans="1:37">
      <c r="A591" t="s">
        <v>2820</v>
      </c>
      <c r="B591" t="s">
        <v>2821</v>
      </c>
      <c r="C591" t="s">
        <v>2822</v>
      </c>
      <c r="D591" t="s">
        <v>2823</v>
      </c>
      <c r="E591" t="s">
        <v>180</v>
      </c>
      <c r="F591" t="s">
        <v>108</v>
      </c>
      <c r="G591" t="s">
        <v>27</v>
      </c>
      <c r="H591" t="s">
        <v>174</v>
      </c>
      <c r="I591" t="s">
        <v>175</v>
      </c>
      <c r="J591" t="s">
        <v>86</v>
      </c>
      <c r="K591" t="s">
        <v>223</v>
      </c>
      <c r="L591" t="s">
        <v>2824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  <c r="V591" s="1" t="s">
        <v>180</v>
      </c>
      <c r="W591" s="1" t="s">
        <v>108</v>
      </c>
      <c r="X591" s="1" t="s">
        <v>27</v>
      </c>
      <c r="Y591" s="1" t="s">
        <v>174</v>
      </c>
      <c r="Z591" s="1" t="s">
        <v>175</v>
      </c>
      <c r="AA591" s="1" t="s">
        <v>86</v>
      </c>
      <c r="AB591" s="1" t="s">
        <v>223</v>
      </c>
      <c r="AC591" s="1" t="s">
        <v>56</v>
      </c>
      <c r="AD591" s="1" t="s">
        <v>34</v>
      </c>
      <c r="AE591" s="1" t="s">
        <v>35</v>
      </c>
      <c r="AF591" s="5">
        <f t="shared" si="36"/>
        <v>45632</v>
      </c>
      <c r="AG591" s="5">
        <f t="shared" si="36"/>
        <v>45638</v>
      </c>
      <c r="AH591" s="5" t="b">
        <f t="shared" si="37"/>
        <v>1</v>
      </c>
      <c r="AI591" s="5" t="b">
        <f t="shared" si="37"/>
        <v>1</v>
      </c>
      <c r="AJ591" t="str">
        <f t="shared" si="38"/>
        <v>OK</v>
      </c>
      <c r="AK591">
        <f t="shared" si="39"/>
        <v>6</v>
      </c>
    </row>
    <row r="592" spans="1:37">
      <c r="A592" t="s">
        <v>2825</v>
      </c>
      <c r="B592" t="s">
        <v>273</v>
      </c>
      <c r="C592" t="s">
        <v>2826</v>
      </c>
      <c r="D592" t="s">
        <v>2827</v>
      </c>
      <c r="E592" t="s">
        <v>162</v>
      </c>
      <c r="F592" t="s">
        <v>115</v>
      </c>
      <c r="G592" t="s">
        <v>27</v>
      </c>
      <c r="H592" t="s">
        <v>506</v>
      </c>
      <c r="I592" t="s">
        <v>507</v>
      </c>
      <c r="J592" t="s">
        <v>45</v>
      </c>
      <c r="K592" t="s">
        <v>76</v>
      </c>
      <c r="L592" t="s">
        <v>2828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137</v>
      </c>
      <c r="U592" t="s">
        <v>78</v>
      </c>
      <c r="V592" s="1" t="s">
        <v>162</v>
      </c>
      <c r="W592" s="1" t="s">
        <v>115</v>
      </c>
      <c r="X592" s="1" t="s">
        <v>27</v>
      </c>
      <c r="Y592" s="1" t="s">
        <v>506</v>
      </c>
      <c r="Z592" s="1" t="s">
        <v>507</v>
      </c>
      <c r="AA592" s="1" t="s">
        <v>45</v>
      </c>
      <c r="AB592" s="1" t="s">
        <v>76</v>
      </c>
      <c r="AC592" s="1" t="s">
        <v>48</v>
      </c>
      <c r="AD592" s="1" t="s">
        <v>137</v>
      </c>
      <c r="AE592" s="1" t="s">
        <v>78</v>
      </c>
      <c r="AF592" s="5" t="e">
        <f t="shared" si="36"/>
        <v>#N/A</v>
      </c>
      <c r="AG592" s="5">
        <f t="shared" si="36"/>
        <v>45441</v>
      </c>
      <c r="AH592" s="5" t="b">
        <f t="shared" si="37"/>
        <v>0</v>
      </c>
      <c r="AI592" s="5" t="b">
        <f t="shared" si="37"/>
        <v>1</v>
      </c>
      <c r="AJ592" t="e">
        <f t="shared" si="38"/>
        <v>#N/A</v>
      </c>
      <c r="AK592" t="e">
        <f t="shared" si="39"/>
        <v>#N/A</v>
      </c>
    </row>
    <row r="593" spans="1:37">
      <c r="A593" t="s">
        <v>2829</v>
      </c>
      <c r="B593" t="s">
        <v>2830</v>
      </c>
      <c r="C593" t="s">
        <v>2831</v>
      </c>
      <c r="D593" t="s">
        <v>2832</v>
      </c>
      <c r="E593" t="s">
        <v>168</v>
      </c>
      <c r="F593" t="s">
        <v>26</v>
      </c>
      <c r="G593" t="s">
        <v>62</v>
      </c>
      <c r="H593" t="s">
        <v>229</v>
      </c>
      <c r="I593" t="s">
        <v>230</v>
      </c>
      <c r="J593" t="s">
        <v>86</v>
      </c>
      <c r="K593" t="s">
        <v>94</v>
      </c>
      <c r="L593" t="s">
        <v>2833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200</v>
      </c>
      <c r="U593" t="s">
        <v>125</v>
      </c>
      <c r="V593" s="1" t="s">
        <v>168</v>
      </c>
      <c r="W593" s="1" t="s">
        <v>26</v>
      </c>
      <c r="X593" s="1" t="s">
        <v>62</v>
      </c>
      <c r="Y593" s="1" t="s">
        <v>229</v>
      </c>
      <c r="Z593" s="1" t="s">
        <v>230</v>
      </c>
      <c r="AA593" s="1" t="s">
        <v>86</v>
      </c>
      <c r="AB593" s="1" t="s">
        <v>94</v>
      </c>
      <c r="AC593" s="1" t="s">
        <v>56</v>
      </c>
      <c r="AD593" s="1" t="s">
        <v>200</v>
      </c>
      <c r="AE593" s="1" t="s">
        <v>125</v>
      </c>
      <c r="AF593" s="5">
        <f t="shared" si="36"/>
        <v>45344</v>
      </c>
      <c r="AG593" s="5" t="e">
        <f t="shared" si="36"/>
        <v>#N/A</v>
      </c>
      <c r="AH593" s="5" t="b">
        <f t="shared" si="37"/>
        <v>1</v>
      </c>
      <c r="AI593" s="5" t="b">
        <f t="shared" si="37"/>
        <v>0</v>
      </c>
      <c r="AJ593" t="e">
        <f t="shared" si="38"/>
        <v>#N/A</v>
      </c>
      <c r="AK593" t="e">
        <f t="shared" si="39"/>
        <v>#N/A</v>
      </c>
    </row>
    <row r="594" spans="1:37">
      <c r="A594" t="s">
        <v>2834</v>
      </c>
      <c r="B594" t="s">
        <v>839</v>
      </c>
      <c r="C594" t="s">
        <v>897</v>
      </c>
      <c r="D594" t="s">
        <v>2835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2836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  <c r="V594" s="1" t="s">
        <v>40</v>
      </c>
      <c r="W594" s="1" t="s">
        <v>26</v>
      </c>
      <c r="X594" s="1" t="s">
        <v>42</v>
      </c>
      <c r="Y594" s="1" t="s">
        <v>121</v>
      </c>
      <c r="Z594" s="1" t="s">
        <v>122</v>
      </c>
      <c r="AA594" s="1" t="s">
        <v>86</v>
      </c>
      <c r="AB594" s="1" t="s">
        <v>87</v>
      </c>
      <c r="AC594" s="1" t="s">
        <v>48</v>
      </c>
      <c r="AD594" s="1" t="s">
        <v>34</v>
      </c>
      <c r="AE594" s="1" t="s">
        <v>35</v>
      </c>
      <c r="AF594" s="5">
        <f t="shared" si="36"/>
        <v>45385</v>
      </c>
      <c r="AG594" s="5">
        <f t="shared" si="36"/>
        <v>45360</v>
      </c>
      <c r="AH594" s="5" t="b">
        <f t="shared" si="37"/>
        <v>1</v>
      </c>
      <c r="AI594" s="5" t="b">
        <f t="shared" si="37"/>
        <v>1</v>
      </c>
      <c r="AJ594" t="str">
        <f t="shared" si="38"/>
        <v>Invalid: Ship before Order</v>
      </c>
      <c r="AK594" t="e">
        <f t="shared" si="39"/>
        <v>#NUM!</v>
      </c>
    </row>
    <row r="595" spans="1:37">
      <c r="A595" t="s">
        <v>2837</v>
      </c>
      <c r="B595" t="s">
        <v>1358</v>
      </c>
      <c r="C595" t="s">
        <v>2838</v>
      </c>
      <c r="D595" t="s">
        <v>2529</v>
      </c>
      <c r="E595" t="s">
        <v>61</v>
      </c>
      <c r="F595" t="s">
        <v>115</v>
      </c>
      <c r="G595" t="s">
        <v>27</v>
      </c>
      <c r="H595" t="s">
        <v>174</v>
      </c>
      <c r="I595" t="s">
        <v>175</v>
      </c>
      <c r="J595" t="s">
        <v>45</v>
      </c>
      <c r="K595" t="s">
        <v>46</v>
      </c>
      <c r="L595" t="s">
        <v>2839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  <c r="V595" s="1" t="s">
        <v>61</v>
      </c>
      <c r="W595" s="1" t="s">
        <v>115</v>
      </c>
      <c r="X595" s="1" t="s">
        <v>27</v>
      </c>
      <c r="Y595" s="1" t="s">
        <v>174</v>
      </c>
      <c r="Z595" s="1" t="s">
        <v>175</v>
      </c>
      <c r="AA595" s="1" t="s">
        <v>45</v>
      </c>
      <c r="AB595" s="1" t="s">
        <v>46</v>
      </c>
      <c r="AC595" s="1" t="s">
        <v>33</v>
      </c>
      <c r="AD595" s="1" t="s">
        <v>34</v>
      </c>
      <c r="AE595" s="1" t="s">
        <v>35</v>
      </c>
      <c r="AF595" s="5">
        <f t="shared" si="36"/>
        <v>45927</v>
      </c>
      <c r="AG595" s="5">
        <f t="shared" si="36"/>
        <v>45929</v>
      </c>
      <c r="AH595" s="5" t="b">
        <f t="shared" si="37"/>
        <v>1</v>
      </c>
      <c r="AI595" s="5" t="b">
        <f t="shared" si="37"/>
        <v>1</v>
      </c>
      <c r="AJ595" t="str">
        <f t="shared" si="38"/>
        <v>OK</v>
      </c>
      <c r="AK595">
        <f t="shared" si="39"/>
        <v>2</v>
      </c>
    </row>
    <row r="596" spans="1:37">
      <c r="A596" t="s">
        <v>2840</v>
      </c>
      <c r="B596" t="s">
        <v>2841</v>
      </c>
      <c r="C596" t="s">
        <v>1135</v>
      </c>
      <c r="D596" t="s">
        <v>2842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2843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  <c r="V596" s="1" t="s">
        <v>25</v>
      </c>
      <c r="W596" s="1" t="s">
        <v>41</v>
      </c>
      <c r="X596" s="1" t="s">
        <v>42</v>
      </c>
      <c r="Y596" s="1" t="s">
        <v>121</v>
      </c>
      <c r="Z596" s="1" t="s">
        <v>122</v>
      </c>
      <c r="AA596" s="1" t="s">
        <v>45</v>
      </c>
      <c r="AB596" s="1" t="s">
        <v>76</v>
      </c>
      <c r="AC596" s="1" t="s">
        <v>56</v>
      </c>
      <c r="AD596" s="1" t="s">
        <v>34</v>
      </c>
      <c r="AE596" s="1" t="s">
        <v>35</v>
      </c>
      <c r="AF596" s="5">
        <f t="shared" si="36"/>
        <v>45554</v>
      </c>
      <c r="AG596" s="5">
        <f t="shared" si="36"/>
        <v>45556</v>
      </c>
      <c r="AH596" s="5" t="b">
        <f t="shared" si="37"/>
        <v>1</v>
      </c>
      <c r="AI596" s="5" t="b">
        <f t="shared" si="37"/>
        <v>1</v>
      </c>
      <c r="AJ596" t="str">
        <f t="shared" si="38"/>
        <v>OK</v>
      </c>
      <c r="AK596">
        <f t="shared" si="39"/>
        <v>2</v>
      </c>
    </row>
    <row r="597" spans="1:37">
      <c r="A597" t="s">
        <v>2844</v>
      </c>
      <c r="B597" t="s">
        <v>2845</v>
      </c>
      <c r="C597" t="s">
        <v>2846</v>
      </c>
      <c r="D597" t="s">
        <v>2847</v>
      </c>
      <c r="E597" t="s">
        <v>40</v>
      </c>
      <c r="F597" t="s">
        <v>108</v>
      </c>
      <c r="G597" t="s">
        <v>27</v>
      </c>
      <c r="H597" t="s">
        <v>174</v>
      </c>
      <c r="I597" t="s">
        <v>175</v>
      </c>
      <c r="J597" t="s">
        <v>86</v>
      </c>
      <c r="K597" t="s">
        <v>223</v>
      </c>
      <c r="L597" t="s">
        <v>2848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  <c r="V597" s="1" t="s">
        <v>40</v>
      </c>
      <c r="W597" s="1" t="s">
        <v>108</v>
      </c>
      <c r="X597" s="1" t="s">
        <v>27</v>
      </c>
      <c r="Y597" s="1" t="s">
        <v>174</v>
      </c>
      <c r="Z597" s="1" t="s">
        <v>175</v>
      </c>
      <c r="AA597" s="1" t="s">
        <v>86</v>
      </c>
      <c r="AB597" s="1" t="s">
        <v>223</v>
      </c>
      <c r="AC597" s="1" t="s">
        <v>56</v>
      </c>
      <c r="AD597" s="1" t="s">
        <v>34</v>
      </c>
      <c r="AE597" s="1" t="s">
        <v>35</v>
      </c>
      <c r="AF597" s="5">
        <f t="shared" si="36"/>
        <v>45699</v>
      </c>
      <c r="AG597" s="5" t="e">
        <f t="shared" si="36"/>
        <v>#N/A</v>
      </c>
      <c r="AH597" s="5" t="b">
        <f t="shared" si="37"/>
        <v>1</v>
      </c>
      <c r="AI597" s="5" t="b">
        <f t="shared" si="37"/>
        <v>0</v>
      </c>
      <c r="AJ597" t="e">
        <f t="shared" si="38"/>
        <v>#N/A</v>
      </c>
      <c r="AK597" t="e">
        <f t="shared" si="39"/>
        <v>#N/A</v>
      </c>
    </row>
    <row r="598" spans="1:37">
      <c r="A598" t="s">
        <v>2849</v>
      </c>
      <c r="B598" t="s">
        <v>1440</v>
      </c>
      <c r="C598" t="s">
        <v>411</v>
      </c>
      <c r="D598" t="s">
        <v>2850</v>
      </c>
      <c r="E598" t="s">
        <v>107</v>
      </c>
      <c r="F598" t="s">
        <v>26</v>
      </c>
      <c r="G598" t="s">
        <v>62</v>
      </c>
      <c r="H598" t="s">
        <v>242</v>
      </c>
      <c r="I598" t="s">
        <v>243</v>
      </c>
      <c r="J598" t="s">
        <v>45</v>
      </c>
      <c r="K598" t="s">
        <v>76</v>
      </c>
      <c r="L598" t="s">
        <v>2851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  <c r="V598" s="1" t="s">
        <v>107</v>
      </c>
      <c r="W598" s="1" t="s">
        <v>26</v>
      </c>
      <c r="X598" s="1" t="s">
        <v>62</v>
      </c>
      <c r="Y598" s="1" t="s">
        <v>242</v>
      </c>
      <c r="Z598" s="1" t="s">
        <v>243</v>
      </c>
      <c r="AA598" s="1" t="s">
        <v>45</v>
      </c>
      <c r="AB598" s="1" t="s">
        <v>76</v>
      </c>
      <c r="AC598" s="1" t="s">
        <v>33</v>
      </c>
      <c r="AD598" s="1" t="s">
        <v>34</v>
      </c>
      <c r="AE598" s="1" t="s">
        <v>35</v>
      </c>
      <c r="AF598" s="5">
        <f t="shared" si="36"/>
        <v>45392</v>
      </c>
      <c r="AG598" s="5">
        <f t="shared" si="36"/>
        <v>45398</v>
      </c>
      <c r="AH598" s="5" t="b">
        <f t="shared" si="37"/>
        <v>1</v>
      </c>
      <c r="AI598" s="5" t="b">
        <f t="shared" si="37"/>
        <v>1</v>
      </c>
      <c r="AJ598" t="str">
        <f t="shared" si="38"/>
        <v>OK</v>
      </c>
      <c r="AK598">
        <f t="shared" si="39"/>
        <v>6</v>
      </c>
    </row>
    <row r="599" spans="1:37">
      <c r="A599" t="s">
        <v>2852</v>
      </c>
      <c r="B599" t="s">
        <v>2853</v>
      </c>
      <c r="C599" t="s">
        <v>488</v>
      </c>
      <c r="D599" t="s">
        <v>2854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2855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  <c r="V599" s="1" t="s">
        <v>107</v>
      </c>
      <c r="W599" s="1" t="s">
        <v>26</v>
      </c>
      <c r="X599" s="1" t="s">
        <v>62</v>
      </c>
      <c r="Y599" s="1" t="s">
        <v>63</v>
      </c>
      <c r="Z599" s="1" t="s">
        <v>64</v>
      </c>
      <c r="AA599" s="1" t="s">
        <v>86</v>
      </c>
      <c r="AB599" s="1" t="s">
        <v>94</v>
      </c>
      <c r="AC599" s="1" t="s">
        <v>48</v>
      </c>
      <c r="AD599" s="1" t="s">
        <v>34</v>
      </c>
      <c r="AE599" s="1" t="s">
        <v>35</v>
      </c>
      <c r="AF599" s="5">
        <f t="shared" si="36"/>
        <v>45846</v>
      </c>
      <c r="AG599" s="5">
        <f t="shared" si="36"/>
        <v>45846</v>
      </c>
      <c r="AH599" s="5" t="b">
        <f t="shared" si="37"/>
        <v>1</v>
      </c>
      <c r="AI599" s="5" t="b">
        <f t="shared" si="37"/>
        <v>1</v>
      </c>
      <c r="AJ599" t="str">
        <f t="shared" si="38"/>
        <v>OK</v>
      </c>
      <c r="AK599">
        <f t="shared" si="39"/>
        <v>0</v>
      </c>
    </row>
    <row r="600" spans="1:37">
      <c r="A600" t="s">
        <v>2856</v>
      </c>
      <c r="B600" t="s">
        <v>2439</v>
      </c>
      <c r="C600" t="s">
        <v>2857</v>
      </c>
      <c r="D600" t="s">
        <v>2858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2859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  <c r="V600" s="1" t="s">
        <v>72</v>
      </c>
      <c r="W600" s="1" t="s">
        <v>108</v>
      </c>
      <c r="X600" s="1" t="s">
        <v>42</v>
      </c>
      <c r="Y600" s="1" t="s">
        <v>121</v>
      </c>
      <c r="Z600" s="1" t="s">
        <v>122</v>
      </c>
      <c r="AA600" s="1" t="s">
        <v>86</v>
      </c>
      <c r="AB600" s="1" t="s">
        <v>94</v>
      </c>
      <c r="AC600" s="1" t="s">
        <v>48</v>
      </c>
      <c r="AD600" s="1" t="s">
        <v>34</v>
      </c>
      <c r="AE600" s="1" t="s">
        <v>35</v>
      </c>
      <c r="AF600" s="5">
        <f t="shared" si="36"/>
        <v>45521</v>
      </c>
      <c r="AG600" s="5">
        <f t="shared" si="36"/>
        <v>45528</v>
      </c>
      <c r="AH600" s="5" t="b">
        <f t="shared" si="37"/>
        <v>1</v>
      </c>
      <c r="AI600" s="5" t="b">
        <f t="shared" si="37"/>
        <v>1</v>
      </c>
      <c r="AJ600" t="str">
        <f t="shared" si="38"/>
        <v>OK</v>
      </c>
      <c r="AK600">
        <f t="shared" si="39"/>
        <v>7</v>
      </c>
    </row>
    <row r="601" spans="1:37">
      <c r="A601" t="s">
        <v>2860</v>
      </c>
      <c r="B601" t="s">
        <v>2861</v>
      </c>
      <c r="C601" t="s">
        <v>1626</v>
      </c>
      <c r="D601" t="s">
        <v>2862</v>
      </c>
      <c r="E601" t="s">
        <v>61</v>
      </c>
      <c r="F601" t="s">
        <v>26</v>
      </c>
      <c r="G601" t="s">
        <v>27</v>
      </c>
      <c r="H601" t="s">
        <v>154</v>
      </c>
      <c r="I601" t="s">
        <v>155</v>
      </c>
      <c r="J601" t="s">
        <v>86</v>
      </c>
      <c r="K601" t="s">
        <v>223</v>
      </c>
      <c r="L601" t="s">
        <v>2863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  <c r="V601" s="1" t="s">
        <v>61</v>
      </c>
      <c r="W601" s="1" t="s">
        <v>26</v>
      </c>
      <c r="X601" s="1" t="s">
        <v>27</v>
      </c>
      <c r="Y601" s="1" t="s">
        <v>154</v>
      </c>
      <c r="Z601" s="1" t="s">
        <v>155</v>
      </c>
      <c r="AA601" s="1" t="s">
        <v>86</v>
      </c>
      <c r="AB601" s="1" t="s">
        <v>223</v>
      </c>
      <c r="AC601" s="1" t="s">
        <v>56</v>
      </c>
      <c r="AD601" s="1" t="s">
        <v>34</v>
      </c>
      <c r="AE601" s="1" t="s">
        <v>35</v>
      </c>
      <c r="AF601" s="5" t="e">
        <f t="shared" si="36"/>
        <v>#N/A</v>
      </c>
      <c r="AG601" s="5">
        <f t="shared" si="36"/>
        <v>45525</v>
      </c>
      <c r="AH601" s="5" t="b">
        <f t="shared" si="37"/>
        <v>0</v>
      </c>
      <c r="AI601" s="5" t="b">
        <f t="shared" si="37"/>
        <v>1</v>
      </c>
      <c r="AJ601" t="e">
        <f t="shared" si="38"/>
        <v>#N/A</v>
      </c>
      <c r="AK601" t="e">
        <f t="shared" si="39"/>
        <v>#N/A</v>
      </c>
    </row>
    <row r="602" spans="1:37">
      <c r="A602" t="s">
        <v>2864</v>
      </c>
      <c r="B602" t="s">
        <v>2865</v>
      </c>
      <c r="C602" t="s">
        <v>2866</v>
      </c>
      <c r="D602" t="s">
        <v>2867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156</v>
      </c>
      <c r="L602" t="s">
        <v>2868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  <c r="V602" s="1" t="s">
        <v>72</v>
      </c>
      <c r="W602" s="1" t="s">
        <v>108</v>
      </c>
      <c r="X602" s="1" t="s">
        <v>73</v>
      </c>
      <c r="Y602" s="1" t="s">
        <v>84</v>
      </c>
      <c r="Z602" s="1" t="s">
        <v>85</v>
      </c>
      <c r="AA602" s="1" t="s">
        <v>30</v>
      </c>
      <c r="AB602" s="1" t="s">
        <v>156</v>
      </c>
      <c r="AC602" s="1" t="s">
        <v>48</v>
      </c>
      <c r="AD602" s="1" t="s">
        <v>34</v>
      </c>
      <c r="AE602" s="1" t="s">
        <v>35</v>
      </c>
      <c r="AF602" s="5">
        <f t="shared" si="36"/>
        <v>45780</v>
      </c>
      <c r="AG602" s="5">
        <f t="shared" si="36"/>
        <v>45728</v>
      </c>
      <c r="AH602" s="5" t="b">
        <f t="shared" si="37"/>
        <v>1</v>
      </c>
      <c r="AI602" s="5" t="b">
        <f t="shared" si="37"/>
        <v>1</v>
      </c>
      <c r="AJ602" t="str">
        <f t="shared" si="38"/>
        <v>Invalid: Ship before Order</v>
      </c>
      <c r="AK602" t="e">
        <f t="shared" si="39"/>
        <v>#NUM!</v>
      </c>
    </row>
    <row r="603" spans="1:37">
      <c r="A603" t="s">
        <v>2869</v>
      </c>
      <c r="B603" t="s">
        <v>2870</v>
      </c>
      <c r="C603" t="s">
        <v>2871</v>
      </c>
      <c r="D603" t="s">
        <v>2872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2873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  <c r="V603" s="1" t="s">
        <v>72</v>
      </c>
      <c r="W603" s="1" t="s">
        <v>115</v>
      </c>
      <c r="X603" s="1" t="s">
        <v>42</v>
      </c>
      <c r="Y603" s="1" t="s">
        <v>121</v>
      </c>
      <c r="Z603" s="1" t="s">
        <v>122</v>
      </c>
      <c r="AA603" s="1" t="s">
        <v>30</v>
      </c>
      <c r="AB603" s="1" t="s">
        <v>31</v>
      </c>
      <c r="AC603" s="1" t="s">
        <v>33</v>
      </c>
      <c r="AD603" s="1" t="s">
        <v>34</v>
      </c>
      <c r="AE603" s="1" t="s">
        <v>35</v>
      </c>
      <c r="AF603" s="5">
        <f t="shared" si="36"/>
        <v>45317</v>
      </c>
      <c r="AG603" s="5">
        <f t="shared" si="36"/>
        <v>45322</v>
      </c>
      <c r="AH603" s="5" t="b">
        <f t="shared" si="37"/>
        <v>1</v>
      </c>
      <c r="AI603" s="5" t="b">
        <f t="shared" si="37"/>
        <v>1</v>
      </c>
      <c r="AJ603" t="str">
        <f t="shared" si="38"/>
        <v>OK</v>
      </c>
      <c r="AK603">
        <f t="shared" si="39"/>
        <v>5</v>
      </c>
    </row>
    <row r="604" spans="1:37">
      <c r="A604" t="s">
        <v>2874</v>
      </c>
      <c r="B604" t="s">
        <v>2875</v>
      </c>
      <c r="C604" t="s">
        <v>2876</v>
      </c>
      <c r="D604" t="s">
        <v>2877</v>
      </c>
      <c r="E604" t="s">
        <v>162</v>
      </c>
      <c r="F604" t="s">
        <v>26</v>
      </c>
      <c r="G604" t="s">
        <v>42</v>
      </c>
      <c r="H604" t="s">
        <v>311</v>
      </c>
      <c r="I604" t="s">
        <v>312</v>
      </c>
      <c r="J604" t="s">
        <v>86</v>
      </c>
      <c r="K604" t="s">
        <v>94</v>
      </c>
      <c r="L604" t="s">
        <v>2878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  <c r="V604" s="1" t="s">
        <v>162</v>
      </c>
      <c r="W604" s="1" t="s">
        <v>26</v>
      </c>
      <c r="X604" s="1" t="s">
        <v>42</v>
      </c>
      <c r="Y604" s="1" t="s">
        <v>311</v>
      </c>
      <c r="Z604" s="1" t="s">
        <v>312</v>
      </c>
      <c r="AA604" s="1" t="s">
        <v>86</v>
      </c>
      <c r="AB604" s="1" t="s">
        <v>94</v>
      </c>
      <c r="AC604" s="1" t="s">
        <v>33</v>
      </c>
      <c r="AD604" s="1" t="s">
        <v>34</v>
      </c>
      <c r="AE604" s="1" t="s">
        <v>35</v>
      </c>
      <c r="AF604" s="5" t="e">
        <f t="shared" si="36"/>
        <v>#N/A</v>
      </c>
      <c r="AG604" s="5">
        <f t="shared" si="36"/>
        <v>45595</v>
      </c>
      <c r="AH604" s="5" t="b">
        <f t="shared" si="37"/>
        <v>0</v>
      </c>
      <c r="AI604" s="5" t="b">
        <f t="shared" si="37"/>
        <v>1</v>
      </c>
      <c r="AJ604" t="e">
        <f t="shared" si="38"/>
        <v>#N/A</v>
      </c>
      <c r="AK604" t="e">
        <f t="shared" si="39"/>
        <v>#N/A</v>
      </c>
    </row>
    <row r="605" spans="1:37">
      <c r="A605" t="s">
        <v>2879</v>
      </c>
      <c r="B605" t="s">
        <v>2880</v>
      </c>
      <c r="C605" t="s">
        <v>592</v>
      </c>
      <c r="D605" t="s">
        <v>480</v>
      </c>
      <c r="E605" t="s">
        <v>83</v>
      </c>
      <c r="F605" t="s">
        <v>108</v>
      </c>
      <c r="G605" t="s">
        <v>42</v>
      </c>
      <c r="H605" t="s">
        <v>186</v>
      </c>
      <c r="I605" t="s">
        <v>187</v>
      </c>
      <c r="J605" t="s">
        <v>86</v>
      </c>
      <c r="K605" t="s">
        <v>87</v>
      </c>
      <c r="L605" t="s">
        <v>2881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137</v>
      </c>
      <c r="U605" t="s">
        <v>78</v>
      </c>
      <c r="V605" s="1" t="s">
        <v>83</v>
      </c>
      <c r="W605" s="1" t="s">
        <v>108</v>
      </c>
      <c r="X605" s="1" t="s">
        <v>42</v>
      </c>
      <c r="Y605" s="1" t="s">
        <v>186</v>
      </c>
      <c r="Z605" s="1" t="s">
        <v>187</v>
      </c>
      <c r="AA605" s="1" t="s">
        <v>86</v>
      </c>
      <c r="AB605" s="1" t="s">
        <v>87</v>
      </c>
      <c r="AC605" s="1" t="s">
        <v>56</v>
      </c>
      <c r="AD605" s="1" t="s">
        <v>137</v>
      </c>
      <c r="AE605" s="1" t="s">
        <v>78</v>
      </c>
      <c r="AF605" s="5">
        <f t="shared" si="36"/>
        <v>45660</v>
      </c>
      <c r="AG605" s="5">
        <f t="shared" si="36"/>
        <v>45962</v>
      </c>
      <c r="AH605" s="5" t="b">
        <f t="shared" si="37"/>
        <v>1</v>
      </c>
      <c r="AI605" s="5" t="b">
        <f t="shared" si="37"/>
        <v>1</v>
      </c>
      <c r="AJ605" t="str">
        <f t="shared" si="38"/>
        <v>OK</v>
      </c>
      <c r="AK605">
        <f t="shared" si="39"/>
        <v>302</v>
      </c>
    </row>
    <row r="606" spans="1:37">
      <c r="A606" t="s">
        <v>2882</v>
      </c>
      <c r="B606" t="s">
        <v>2883</v>
      </c>
      <c r="C606" t="s">
        <v>2884</v>
      </c>
      <c r="D606" t="s">
        <v>2885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198</v>
      </c>
      <c r="L606" t="s">
        <v>2886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  <c r="V606" s="1" t="s">
        <v>72</v>
      </c>
      <c r="W606" s="1" t="s">
        <v>26</v>
      </c>
      <c r="X606" s="1" t="s">
        <v>73</v>
      </c>
      <c r="Y606" s="1" t="s">
        <v>84</v>
      </c>
      <c r="Z606" s="1" t="s">
        <v>85</v>
      </c>
      <c r="AA606" s="1" t="s">
        <v>30</v>
      </c>
      <c r="AB606" s="1" t="s">
        <v>198</v>
      </c>
      <c r="AC606" s="1" t="s">
        <v>48</v>
      </c>
      <c r="AD606" s="1" t="s">
        <v>34</v>
      </c>
      <c r="AE606" s="1" t="s">
        <v>35</v>
      </c>
      <c r="AF606" s="5">
        <f t="shared" si="36"/>
        <v>45779</v>
      </c>
      <c r="AG606" s="5">
        <f t="shared" si="36"/>
        <v>45694</v>
      </c>
      <c r="AH606" s="5" t="b">
        <f t="shared" si="37"/>
        <v>1</v>
      </c>
      <c r="AI606" s="5" t="b">
        <f t="shared" si="37"/>
        <v>1</v>
      </c>
      <c r="AJ606" t="str">
        <f t="shared" si="38"/>
        <v>Invalid: Ship before Order</v>
      </c>
      <c r="AK606" t="e">
        <f t="shared" si="39"/>
        <v>#NUM!</v>
      </c>
    </row>
    <row r="607" spans="1:37">
      <c r="A607" t="s">
        <v>2887</v>
      </c>
      <c r="B607" t="s">
        <v>2613</v>
      </c>
      <c r="C607" t="s">
        <v>2888</v>
      </c>
      <c r="D607" t="s">
        <v>2889</v>
      </c>
      <c r="E607" t="s">
        <v>366</v>
      </c>
      <c r="F607" t="s">
        <v>108</v>
      </c>
      <c r="G607" t="s">
        <v>73</v>
      </c>
      <c r="H607" t="s">
        <v>249</v>
      </c>
      <c r="I607" t="s">
        <v>250</v>
      </c>
      <c r="J607" t="s">
        <v>45</v>
      </c>
      <c r="K607" t="s">
        <v>65</v>
      </c>
      <c r="L607" t="s">
        <v>2890</v>
      </c>
      <c r="M607" t="s">
        <v>33</v>
      </c>
      <c r="N607">
        <v>5</v>
      </c>
      <c r="O607">
        <v>1680.01</v>
      </c>
      <c r="P607" t="s">
        <v>1170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  <c r="V607" s="1" t="s">
        <v>366</v>
      </c>
      <c r="W607" s="1" t="s">
        <v>108</v>
      </c>
      <c r="X607" s="1" t="s">
        <v>73</v>
      </c>
      <c r="Y607" s="1" t="s">
        <v>249</v>
      </c>
      <c r="Z607" s="1" t="s">
        <v>250</v>
      </c>
      <c r="AA607" s="1" t="s">
        <v>45</v>
      </c>
      <c r="AB607" s="1" t="s">
        <v>65</v>
      </c>
      <c r="AC607" s="1" t="s">
        <v>33</v>
      </c>
      <c r="AD607" s="1" t="s">
        <v>34</v>
      </c>
      <c r="AE607" s="1" t="s">
        <v>78</v>
      </c>
      <c r="AF607" s="5">
        <f t="shared" si="36"/>
        <v>45847</v>
      </c>
      <c r="AG607" s="5">
        <f t="shared" si="36"/>
        <v>45851</v>
      </c>
      <c r="AH607" s="5" t="b">
        <f t="shared" si="37"/>
        <v>1</v>
      </c>
      <c r="AI607" s="5" t="b">
        <f t="shared" si="37"/>
        <v>1</v>
      </c>
      <c r="AJ607" t="str">
        <f t="shared" si="38"/>
        <v>OK</v>
      </c>
      <c r="AK607">
        <f t="shared" si="39"/>
        <v>4</v>
      </c>
    </row>
    <row r="608" spans="1:37">
      <c r="A608" t="s">
        <v>2891</v>
      </c>
      <c r="B608" t="s">
        <v>2892</v>
      </c>
      <c r="C608" t="s">
        <v>2528</v>
      </c>
      <c r="D608" t="s">
        <v>2893</v>
      </c>
      <c r="E608" t="s">
        <v>148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2894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  <c r="V608" s="1" t="s">
        <v>148</v>
      </c>
      <c r="W608" s="1" t="s">
        <v>115</v>
      </c>
      <c r="X608" s="1" t="s">
        <v>73</v>
      </c>
      <c r="Y608" s="1" t="s">
        <v>84</v>
      </c>
      <c r="Z608" s="1" t="s">
        <v>85</v>
      </c>
      <c r="AA608" s="1" t="s">
        <v>86</v>
      </c>
      <c r="AB608" s="1" t="s">
        <v>94</v>
      </c>
      <c r="AC608" s="1" t="s">
        <v>48</v>
      </c>
      <c r="AD608" s="1" t="s">
        <v>34</v>
      </c>
      <c r="AE608" s="1" t="s">
        <v>35</v>
      </c>
      <c r="AF608" s="5">
        <f t="shared" si="36"/>
        <v>45710</v>
      </c>
      <c r="AG608" s="5">
        <f t="shared" si="36"/>
        <v>45716</v>
      </c>
      <c r="AH608" s="5" t="b">
        <f t="shared" si="37"/>
        <v>1</v>
      </c>
      <c r="AI608" s="5" t="b">
        <f t="shared" si="37"/>
        <v>1</v>
      </c>
      <c r="AJ608" t="str">
        <f t="shared" si="38"/>
        <v>OK</v>
      </c>
      <c r="AK608">
        <f t="shared" si="39"/>
        <v>6</v>
      </c>
    </row>
    <row r="609" spans="1:37">
      <c r="A609" t="s">
        <v>2895</v>
      </c>
      <c r="B609" t="s">
        <v>2846</v>
      </c>
      <c r="C609" t="s">
        <v>2892</v>
      </c>
      <c r="D609" t="s">
        <v>2896</v>
      </c>
      <c r="E609" t="s">
        <v>168</v>
      </c>
      <c r="F609" t="s">
        <v>115</v>
      </c>
      <c r="G609" t="s">
        <v>42</v>
      </c>
      <c r="H609" t="s">
        <v>186</v>
      </c>
      <c r="I609" t="s">
        <v>187</v>
      </c>
      <c r="J609" t="s">
        <v>30</v>
      </c>
      <c r="K609" t="s">
        <v>156</v>
      </c>
      <c r="L609" t="s">
        <v>2897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  <c r="V609" s="1" t="s">
        <v>168</v>
      </c>
      <c r="W609" s="1" t="s">
        <v>115</v>
      </c>
      <c r="X609" s="1" t="s">
        <v>42</v>
      </c>
      <c r="Y609" s="1" t="s">
        <v>186</v>
      </c>
      <c r="Z609" s="1" t="s">
        <v>187</v>
      </c>
      <c r="AA609" s="1" t="s">
        <v>30</v>
      </c>
      <c r="AB609" s="1" t="s">
        <v>156</v>
      </c>
      <c r="AC609" s="1" t="s">
        <v>48</v>
      </c>
      <c r="AD609" s="1" t="s">
        <v>34</v>
      </c>
      <c r="AE609" s="1" t="s">
        <v>35</v>
      </c>
      <c r="AF609" s="5" t="e">
        <f t="shared" si="36"/>
        <v>#N/A</v>
      </c>
      <c r="AG609" s="5">
        <f t="shared" si="36"/>
        <v>45710</v>
      </c>
      <c r="AH609" s="5" t="b">
        <f t="shared" si="37"/>
        <v>0</v>
      </c>
      <c r="AI609" s="5" t="b">
        <f t="shared" si="37"/>
        <v>1</v>
      </c>
      <c r="AJ609" t="e">
        <f t="shared" si="38"/>
        <v>#N/A</v>
      </c>
      <c r="AK609" t="e">
        <f t="shared" si="39"/>
        <v>#N/A</v>
      </c>
    </row>
    <row r="610" spans="1:37">
      <c r="A610" t="s">
        <v>2898</v>
      </c>
      <c r="B610" t="s">
        <v>2152</v>
      </c>
      <c r="C610" t="s">
        <v>1553</v>
      </c>
      <c r="D610" t="s">
        <v>2574</v>
      </c>
      <c r="E610" t="s">
        <v>25</v>
      </c>
      <c r="F610" t="s">
        <v>115</v>
      </c>
      <c r="G610" t="s">
        <v>73</v>
      </c>
      <c r="H610" t="s">
        <v>249</v>
      </c>
      <c r="I610" t="s">
        <v>250</v>
      </c>
      <c r="J610" t="s">
        <v>45</v>
      </c>
      <c r="K610" t="s">
        <v>65</v>
      </c>
      <c r="L610" t="s">
        <v>2899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  <c r="V610" s="1" t="s">
        <v>25</v>
      </c>
      <c r="W610" s="1" t="s">
        <v>115</v>
      </c>
      <c r="X610" s="1" t="s">
        <v>73</v>
      </c>
      <c r="Y610" s="1" t="s">
        <v>249</v>
      </c>
      <c r="Z610" s="1" t="s">
        <v>250</v>
      </c>
      <c r="AA610" s="1" t="s">
        <v>45</v>
      </c>
      <c r="AB610" s="1" t="s">
        <v>65</v>
      </c>
      <c r="AC610" s="1" t="s">
        <v>33</v>
      </c>
      <c r="AD610" s="1" t="s">
        <v>34</v>
      </c>
      <c r="AE610" s="1" t="s">
        <v>35</v>
      </c>
      <c r="AF610" s="5">
        <f t="shared" si="36"/>
        <v>45464</v>
      </c>
      <c r="AG610" s="5">
        <f t="shared" si="36"/>
        <v>45466</v>
      </c>
      <c r="AH610" s="5" t="b">
        <f t="shared" si="37"/>
        <v>1</v>
      </c>
      <c r="AI610" s="5" t="b">
        <f t="shared" si="37"/>
        <v>1</v>
      </c>
      <c r="AJ610" t="str">
        <f t="shared" si="38"/>
        <v>OK</v>
      </c>
      <c r="AK610">
        <f t="shared" si="39"/>
        <v>2</v>
      </c>
    </row>
    <row r="611" spans="1:37">
      <c r="A611" t="s">
        <v>2900</v>
      </c>
      <c r="B611" t="s">
        <v>2055</v>
      </c>
      <c r="C611" t="s">
        <v>1176</v>
      </c>
      <c r="D611" t="s">
        <v>2901</v>
      </c>
      <c r="E611" t="s">
        <v>168</v>
      </c>
      <c r="F611" t="s">
        <v>115</v>
      </c>
      <c r="G611" t="s">
        <v>62</v>
      </c>
      <c r="H611" t="s">
        <v>229</v>
      </c>
      <c r="I611" t="s">
        <v>230</v>
      </c>
      <c r="J611" t="s">
        <v>45</v>
      </c>
      <c r="K611" t="s">
        <v>76</v>
      </c>
      <c r="L611" t="s">
        <v>2902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  <c r="V611" s="1" t="s">
        <v>168</v>
      </c>
      <c r="W611" s="1" t="s">
        <v>115</v>
      </c>
      <c r="X611" s="1" t="s">
        <v>62</v>
      </c>
      <c r="Y611" s="1" t="s">
        <v>229</v>
      </c>
      <c r="Z611" s="1" t="s">
        <v>230</v>
      </c>
      <c r="AA611" s="1" t="s">
        <v>45</v>
      </c>
      <c r="AB611" s="1" t="s">
        <v>76</v>
      </c>
      <c r="AC611" s="1" t="s">
        <v>67</v>
      </c>
      <c r="AD611" s="1" t="s">
        <v>34</v>
      </c>
      <c r="AE611" s="1" t="s">
        <v>35</v>
      </c>
      <c r="AF611" s="5">
        <f t="shared" si="36"/>
        <v>45665</v>
      </c>
      <c r="AG611" s="5">
        <f t="shared" si="36"/>
        <v>45992</v>
      </c>
      <c r="AH611" s="5" t="b">
        <f t="shared" si="37"/>
        <v>1</v>
      </c>
      <c r="AI611" s="5" t="b">
        <f t="shared" si="37"/>
        <v>1</v>
      </c>
      <c r="AJ611" t="str">
        <f t="shared" si="38"/>
        <v>OK</v>
      </c>
      <c r="AK611">
        <f t="shared" si="39"/>
        <v>327</v>
      </c>
    </row>
    <row r="612" spans="1:37">
      <c r="A612" t="s">
        <v>2903</v>
      </c>
      <c r="B612" t="s">
        <v>2904</v>
      </c>
      <c r="C612" t="s">
        <v>2905</v>
      </c>
      <c r="D612" t="s">
        <v>2080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2906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  <c r="V612" s="1" t="s">
        <v>25</v>
      </c>
      <c r="W612" s="1" t="s">
        <v>115</v>
      </c>
      <c r="X612" s="1" t="s">
        <v>73</v>
      </c>
      <c r="Y612" s="1" t="s">
        <v>84</v>
      </c>
      <c r="Z612" s="1" t="s">
        <v>85</v>
      </c>
      <c r="AA612" s="1" t="s">
        <v>45</v>
      </c>
      <c r="AB612" s="1" t="s">
        <v>76</v>
      </c>
      <c r="AC612" s="1" t="s">
        <v>67</v>
      </c>
      <c r="AD612" s="1" t="s">
        <v>34</v>
      </c>
      <c r="AE612" s="1" t="s">
        <v>35</v>
      </c>
      <c r="AF612" s="5">
        <f t="shared" si="36"/>
        <v>45432</v>
      </c>
      <c r="AG612" s="5">
        <f t="shared" si="36"/>
        <v>45432</v>
      </c>
      <c r="AH612" s="5" t="b">
        <f t="shared" si="37"/>
        <v>1</v>
      </c>
      <c r="AI612" s="5" t="b">
        <f t="shared" si="37"/>
        <v>1</v>
      </c>
      <c r="AJ612" t="str">
        <f t="shared" si="38"/>
        <v>OK</v>
      </c>
      <c r="AK612">
        <f t="shared" si="39"/>
        <v>0</v>
      </c>
    </row>
    <row r="613" spans="1:37">
      <c r="A613" t="s">
        <v>2907</v>
      </c>
      <c r="B613" t="s">
        <v>2612</v>
      </c>
      <c r="C613" t="s">
        <v>2908</v>
      </c>
      <c r="D613" t="s">
        <v>2909</v>
      </c>
      <c r="E613" t="s">
        <v>72</v>
      </c>
      <c r="F613" t="s">
        <v>41</v>
      </c>
      <c r="G613" t="s">
        <v>27</v>
      </c>
      <c r="H613" t="s">
        <v>28</v>
      </c>
      <c r="I613" t="s">
        <v>29</v>
      </c>
      <c r="J613" t="s">
        <v>30</v>
      </c>
      <c r="K613" t="s">
        <v>198</v>
      </c>
      <c r="L613" t="s">
        <v>2910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  <c r="V613" s="1" t="s">
        <v>72</v>
      </c>
      <c r="W613" s="1" t="s">
        <v>41</v>
      </c>
      <c r="X613" s="1" t="s">
        <v>27</v>
      </c>
      <c r="Y613" s="1" t="s">
        <v>28</v>
      </c>
      <c r="Z613" s="1" t="s">
        <v>29</v>
      </c>
      <c r="AA613" s="1" t="s">
        <v>30</v>
      </c>
      <c r="AB613" s="1" t="s">
        <v>198</v>
      </c>
      <c r="AC613" s="1" t="s">
        <v>48</v>
      </c>
      <c r="AD613" s="1" t="s">
        <v>34</v>
      </c>
      <c r="AE613" s="1" t="s">
        <v>35</v>
      </c>
      <c r="AF613" s="5">
        <f t="shared" si="36"/>
        <v>45876</v>
      </c>
      <c r="AG613" s="5">
        <f t="shared" si="36"/>
        <v>45853</v>
      </c>
      <c r="AH613" s="5" t="b">
        <f t="shared" si="37"/>
        <v>1</v>
      </c>
      <c r="AI613" s="5" t="b">
        <f t="shared" si="37"/>
        <v>1</v>
      </c>
      <c r="AJ613" t="str">
        <f t="shared" si="38"/>
        <v>Invalid: Ship before Order</v>
      </c>
      <c r="AK613" t="e">
        <f t="shared" si="39"/>
        <v>#NUM!</v>
      </c>
    </row>
    <row r="614" spans="1:37">
      <c r="A614" t="s">
        <v>2911</v>
      </c>
      <c r="B614" t="s">
        <v>2912</v>
      </c>
      <c r="C614" t="s">
        <v>2913</v>
      </c>
      <c r="D614" t="s">
        <v>2914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223</v>
      </c>
      <c r="L614" t="s">
        <v>2915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  <c r="V614" s="1" t="s">
        <v>107</v>
      </c>
      <c r="W614" s="1" t="s">
        <v>26</v>
      </c>
      <c r="X614" s="1" t="s">
        <v>4119</v>
      </c>
      <c r="Y614" s="1" t="s">
        <v>43</v>
      </c>
      <c r="Z614" s="1" t="s">
        <v>44</v>
      </c>
      <c r="AA614" s="1" t="s">
        <v>86</v>
      </c>
      <c r="AB614" s="1" t="s">
        <v>223</v>
      </c>
      <c r="AC614" s="1" t="s">
        <v>67</v>
      </c>
      <c r="AD614" s="1" t="s">
        <v>34</v>
      </c>
      <c r="AE614" s="1" t="s">
        <v>35</v>
      </c>
      <c r="AF614" s="5">
        <f t="shared" si="36"/>
        <v>45753</v>
      </c>
      <c r="AG614" s="5" t="e">
        <f t="shared" si="36"/>
        <v>#N/A</v>
      </c>
      <c r="AH614" s="5" t="b">
        <f t="shared" si="37"/>
        <v>1</v>
      </c>
      <c r="AI614" s="5" t="b">
        <f t="shared" si="37"/>
        <v>0</v>
      </c>
      <c r="AJ614" t="e">
        <f t="shared" si="38"/>
        <v>#N/A</v>
      </c>
      <c r="AK614" t="e">
        <f t="shared" si="39"/>
        <v>#N/A</v>
      </c>
    </row>
    <row r="615" spans="1:37">
      <c r="A615" t="s">
        <v>2916</v>
      </c>
      <c r="B615" t="s">
        <v>2448</v>
      </c>
      <c r="C615" t="s">
        <v>2917</v>
      </c>
      <c r="D615" t="s">
        <v>2918</v>
      </c>
      <c r="E615" t="s">
        <v>210</v>
      </c>
      <c r="F615" t="s">
        <v>115</v>
      </c>
      <c r="G615" t="s">
        <v>73</v>
      </c>
      <c r="H615" t="s">
        <v>235</v>
      </c>
      <c r="I615" t="s">
        <v>236</v>
      </c>
      <c r="J615" t="s">
        <v>86</v>
      </c>
      <c r="K615" t="s">
        <v>382</v>
      </c>
      <c r="L615" t="s">
        <v>2919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  <c r="V615" s="1" t="s">
        <v>210</v>
      </c>
      <c r="W615" s="1" t="s">
        <v>115</v>
      </c>
      <c r="X615" s="1" t="s">
        <v>73</v>
      </c>
      <c r="Y615" s="1" t="s">
        <v>235</v>
      </c>
      <c r="Z615" s="1" t="s">
        <v>236</v>
      </c>
      <c r="AA615" s="1" t="s">
        <v>86</v>
      </c>
      <c r="AB615" s="1" t="s">
        <v>382</v>
      </c>
      <c r="AC615" s="1" t="s">
        <v>48</v>
      </c>
      <c r="AD615" s="1" t="s">
        <v>34</v>
      </c>
      <c r="AE615" s="1" t="s">
        <v>35</v>
      </c>
      <c r="AF615" s="5">
        <f t="shared" si="36"/>
        <v>45570</v>
      </c>
      <c r="AG615" s="5">
        <f t="shared" si="36"/>
        <v>45575</v>
      </c>
      <c r="AH615" s="5" t="b">
        <f t="shared" si="37"/>
        <v>1</v>
      </c>
      <c r="AI615" s="5" t="b">
        <f t="shared" si="37"/>
        <v>1</v>
      </c>
      <c r="AJ615" t="str">
        <f t="shared" si="38"/>
        <v>OK</v>
      </c>
      <c r="AK615">
        <f t="shared" si="39"/>
        <v>5</v>
      </c>
    </row>
    <row r="616" spans="1:37">
      <c r="A616" t="s">
        <v>2920</v>
      </c>
      <c r="B616" t="s">
        <v>2306</v>
      </c>
      <c r="C616" t="s">
        <v>2921</v>
      </c>
      <c r="D616" t="s">
        <v>2922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2923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  <c r="V616" s="1" t="s">
        <v>72</v>
      </c>
      <c r="W616" s="1" t="s">
        <v>115</v>
      </c>
      <c r="X616" s="1" t="s">
        <v>62</v>
      </c>
      <c r="Y616" s="1" t="s">
        <v>63</v>
      </c>
      <c r="Z616" s="1" t="s">
        <v>64</v>
      </c>
      <c r="AA616" s="1" t="s">
        <v>45</v>
      </c>
      <c r="AB616" s="1" t="s">
        <v>76</v>
      </c>
      <c r="AC616" s="1" t="s">
        <v>67</v>
      </c>
      <c r="AD616" s="1" t="s">
        <v>124</v>
      </c>
      <c r="AE616" s="1" t="s">
        <v>78</v>
      </c>
      <c r="AF616" s="5">
        <f t="shared" si="36"/>
        <v>45598</v>
      </c>
      <c r="AG616" s="5" t="e">
        <f t="shared" si="36"/>
        <v>#N/A</v>
      </c>
      <c r="AH616" s="5" t="b">
        <f t="shared" si="37"/>
        <v>1</v>
      </c>
      <c r="AI616" s="5" t="b">
        <f t="shared" si="37"/>
        <v>0</v>
      </c>
      <c r="AJ616" t="e">
        <f t="shared" si="38"/>
        <v>#N/A</v>
      </c>
      <c r="AK616" t="e">
        <f t="shared" si="39"/>
        <v>#N/A</v>
      </c>
    </row>
    <row r="617" spans="1:37">
      <c r="A617" t="s">
        <v>2924</v>
      </c>
      <c r="B617" t="s">
        <v>2925</v>
      </c>
      <c r="C617" t="s">
        <v>2926</v>
      </c>
      <c r="D617" t="s">
        <v>2927</v>
      </c>
      <c r="E617" t="s">
        <v>148</v>
      </c>
      <c r="F617" t="s">
        <v>108</v>
      </c>
      <c r="G617" t="s">
        <v>62</v>
      </c>
      <c r="H617" t="s">
        <v>242</v>
      </c>
      <c r="I617" t="s">
        <v>243</v>
      </c>
      <c r="J617" t="s">
        <v>30</v>
      </c>
      <c r="K617" t="s">
        <v>54</v>
      </c>
      <c r="L617" t="s">
        <v>2928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35</v>
      </c>
      <c r="V617" s="1" t="s">
        <v>148</v>
      </c>
      <c r="W617" s="1" t="s">
        <v>108</v>
      </c>
      <c r="X617" s="1" t="s">
        <v>62</v>
      </c>
      <c r="Y617" s="1" t="s">
        <v>242</v>
      </c>
      <c r="Z617" s="1" t="s">
        <v>243</v>
      </c>
      <c r="AA617" s="1" t="s">
        <v>30</v>
      </c>
      <c r="AB617" s="1" t="s">
        <v>54</v>
      </c>
      <c r="AC617" s="1" t="s">
        <v>33</v>
      </c>
      <c r="AD617" s="1" t="s">
        <v>34</v>
      </c>
      <c r="AE617" s="1" t="s">
        <v>35</v>
      </c>
      <c r="AF617" s="5">
        <f t="shared" si="36"/>
        <v>45569</v>
      </c>
      <c r="AG617" s="5">
        <f t="shared" si="36"/>
        <v>45572</v>
      </c>
      <c r="AH617" s="5" t="b">
        <f t="shared" si="37"/>
        <v>1</v>
      </c>
      <c r="AI617" s="5" t="b">
        <f t="shared" si="37"/>
        <v>1</v>
      </c>
      <c r="AJ617" t="str">
        <f t="shared" si="38"/>
        <v>OK</v>
      </c>
      <c r="AK617">
        <f t="shared" si="39"/>
        <v>3</v>
      </c>
    </row>
    <row r="618" spans="1:37">
      <c r="A618" t="s">
        <v>2929</v>
      </c>
      <c r="B618" t="s">
        <v>2930</v>
      </c>
      <c r="C618" t="s">
        <v>2861</v>
      </c>
      <c r="D618" t="s">
        <v>2931</v>
      </c>
      <c r="E618" t="s">
        <v>366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2932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  <c r="V618" s="1" t="s">
        <v>366</v>
      </c>
      <c r="W618" s="1" t="s">
        <v>26</v>
      </c>
      <c r="X618" s="1" t="s">
        <v>62</v>
      </c>
      <c r="Y618" s="1" t="s">
        <v>63</v>
      </c>
      <c r="Z618" s="1" t="s">
        <v>64</v>
      </c>
      <c r="AA618" s="1" t="s">
        <v>30</v>
      </c>
      <c r="AB618" s="1" t="s">
        <v>31</v>
      </c>
      <c r="AC618" s="1" t="s">
        <v>67</v>
      </c>
      <c r="AD618" s="1" t="s">
        <v>34</v>
      </c>
      <c r="AE618" s="1" t="s">
        <v>35</v>
      </c>
      <c r="AF618" s="5">
        <f t="shared" si="36"/>
        <v>45520</v>
      </c>
      <c r="AG618" s="5" t="e">
        <f t="shared" si="36"/>
        <v>#N/A</v>
      </c>
      <c r="AH618" s="5" t="b">
        <f t="shared" si="37"/>
        <v>1</v>
      </c>
      <c r="AI618" s="5" t="b">
        <f t="shared" si="37"/>
        <v>0</v>
      </c>
      <c r="AJ618" t="e">
        <f t="shared" si="38"/>
        <v>#N/A</v>
      </c>
      <c r="AK618" t="e">
        <f t="shared" si="39"/>
        <v>#N/A</v>
      </c>
    </row>
    <row r="619" spans="1:37">
      <c r="A619" t="s">
        <v>2933</v>
      </c>
      <c r="B619" t="s">
        <v>2934</v>
      </c>
      <c r="C619" t="s">
        <v>974</v>
      </c>
      <c r="D619" t="s">
        <v>2935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223</v>
      </c>
      <c r="L619" t="s">
        <v>2936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  <c r="V619" s="1" t="s">
        <v>40</v>
      </c>
      <c r="W619" s="1" t="s">
        <v>115</v>
      </c>
      <c r="X619" s="1" t="s">
        <v>62</v>
      </c>
      <c r="Y619" s="1" t="s">
        <v>63</v>
      </c>
      <c r="Z619" s="1" t="s">
        <v>64</v>
      </c>
      <c r="AA619" s="1" t="s">
        <v>86</v>
      </c>
      <c r="AB619" s="1" t="s">
        <v>223</v>
      </c>
      <c r="AC619" s="1" t="s">
        <v>67</v>
      </c>
      <c r="AD619" s="1" t="s">
        <v>34</v>
      </c>
      <c r="AE619" s="1" t="s">
        <v>35</v>
      </c>
      <c r="AF619" s="5">
        <f t="shared" si="36"/>
        <v>45564</v>
      </c>
      <c r="AG619" s="5">
        <f t="shared" si="36"/>
        <v>45565</v>
      </c>
      <c r="AH619" s="5" t="b">
        <f t="shared" si="37"/>
        <v>1</v>
      </c>
      <c r="AI619" s="5" t="b">
        <f t="shared" si="37"/>
        <v>1</v>
      </c>
      <c r="AJ619" t="str">
        <f t="shared" si="38"/>
        <v>OK</v>
      </c>
      <c r="AK619">
        <f t="shared" si="39"/>
        <v>1</v>
      </c>
    </row>
    <row r="620" spans="1:37">
      <c r="A620" t="s">
        <v>2937</v>
      </c>
      <c r="B620" t="s">
        <v>2938</v>
      </c>
      <c r="C620" t="s">
        <v>529</v>
      </c>
      <c r="D620" t="s">
        <v>2939</v>
      </c>
      <c r="E620" t="s">
        <v>366</v>
      </c>
      <c r="F620" t="s">
        <v>108</v>
      </c>
      <c r="G620" t="s">
        <v>27</v>
      </c>
      <c r="H620" t="s">
        <v>28</v>
      </c>
      <c r="I620" t="s">
        <v>29</v>
      </c>
      <c r="J620" t="s">
        <v>45</v>
      </c>
      <c r="K620" t="s">
        <v>46</v>
      </c>
      <c r="L620" t="s">
        <v>2940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200</v>
      </c>
      <c r="U620" t="s">
        <v>78</v>
      </c>
      <c r="V620" s="1" t="s">
        <v>366</v>
      </c>
      <c r="W620" s="1" t="s">
        <v>108</v>
      </c>
      <c r="X620" s="1" t="s">
        <v>27</v>
      </c>
      <c r="Y620" s="1" t="s">
        <v>28</v>
      </c>
      <c r="Z620" s="1" t="s">
        <v>29</v>
      </c>
      <c r="AA620" s="1" t="s">
        <v>45</v>
      </c>
      <c r="AB620" s="1" t="s">
        <v>46</v>
      </c>
      <c r="AC620" s="1" t="s">
        <v>48</v>
      </c>
      <c r="AD620" s="1" t="s">
        <v>200</v>
      </c>
      <c r="AE620" s="1" t="s">
        <v>78</v>
      </c>
      <c r="AF620" s="5">
        <f t="shared" si="36"/>
        <v>45496</v>
      </c>
      <c r="AG620" s="5">
        <f t="shared" si="36"/>
        <v>45503</v>
      </c>
      <c r="AH620" s="5" t="b">
        <f t="shared" si="37"/>
        <v>1</v>
      </c>
      <c r="AI620" s="5" t="b">
        <f t="shared" si="37"/>
        <v>1</v>
      </c>
      <c r="AJ620" t="str">
        <f t="shared" si="38"/>
        <v>OK</v>
      </c>
      <c r="AK620">
        <f t="shared" si="39"/>
        <v>7</v>
      </c>
    </row>
    <row r="621" spans="1:37">
      <c r="A621" t="s">
        <v>2941</v>
      </c>
      <c r="B621" t="s">
        <v>911</v>
      </c>
      <c r="C621" t="s">
        <v>2942</v>
      </c>
      <c r="D621" t="s">
        <v>2943</v>
      </c>
      <c r="E621" t="s">
        <v>142</v>
      </c>
      <c r="F621" t="s">
        <v>108</v>
      </c>
      <c r="G621" t="s">
        <v>62</v>
      </c>
      <c r="H621" t="s">
        <v>339</v>
      </c>
      <c r="I621" t="s">
        <v>340</v>
      </c>
      <c r="J621" t="s">
        <v>30</v>
      </c>
      <c r="K621" t="s">
        <v>198</v>
      </c>
      <c r="L621" t="s">
        <v>2944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  <c r="V621" s="1" t="s">
        <v>142</v>
      </c>
      <c r="W621" s="1" t="s">
        <v>108</v>
      </c>
      <c r="X621" s="1" t="s">
        <v>62</v>
      </c>
      <c r="Y621" s="1" t="s">
        <v>339</v>
      </c>
      <c r="Z621" s="1" t="s">
        <v>340</v>
      </c>
      <c r="AA621" s="1" t="s">
        <v>30</v>
      </c>
      <c r="AB621" s="1" t="s">
        <v>198</v>
      </c>
      <c r="AC621" s="1" t="s">
        <v>56</v>
      </c>
      <c r="AD621" s="1" t="s">
        <v>124</v>
      </c>
      <c r="AE621" s="1" t="s">
        <v>125</v>
      </c>
      <c r="AF621" s="5">
        <f t="shared" si="36"/>
        <v>45618</v>
      </c>
      <c r="AG621" s="5">
        <f t="shared" si="36"/>
        <v>45623</v>
      </c>
      <c r="AH621" s="5" t="b">
        <f t="shared" si="37"/>
        <v>1</v>
      </c>
      <c r="AI621" s="5" t="b">
        <f t="shared" si="37"/>
        <v>1</v>
      </c>
      <c r="AJ621" t="str">
        <f t="shared" si="38"/>
        <v>OK</v>
      </c>
      <c r="AK621">
        <f t="shared" si="39"/>
        <v>5</v>
      </c>
    </row>
    <row r="622" spans="1:37">
      <c r="A622" t="s">
        <v>2945</v>
      </c>
      <c r="B622" t="s">
        <v>2946</v>
      </c>
      <c r="C622" t="s">
        <v>2947</v>
      </c>
      <c r="D622" t="s">
        <v>2948</v>
      </c>
      <c r="E622" t="s">
        <v>83</v>
      </c>
      <c r="F622" t="s">
        <v>26</v>
      </c>
      <c r="G622" t="s">
        <v>27</v>
      </c>
      <c r="H622" t="s">
        <v>174</v>
      </c>
      <c r="I622" t="s">
        <v>175</v>
      </c>
      <c r="J622" t="s">
        <v>86</v>
      </c>
      <c r="K622" t="s">
        <v>382</v>
      </c>
      <c r="L622" t="s">
        <v>2949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  <c r="V622" s="1" t="s">
        <v>83</v>
      </c>
      <c r="W622" s="1" t="s">
        <v>26</v>
      </c>
      <c r="X622" s="1" t="s">
        <v>27</v>
      </c>
      <c r="Y622" s="1" t="s">
        <v>174</v>
      </c>
      <c r="Z622" s="1" t="s">
        <v>175</v>
      </c>
      <c r="AA622" s="1" t="s">
        <v>86</v>
      </c>
      <c r="AB622" s="1" t="s">
        <v>382</v>
      </c>
      <c r="AC622" s="1" t="s">
        <v>67</v>
      </c>
      <c r="AD622" s="1" t="s">
        <v>34</v>
      </c>
      <c r="AE622" s="1" t="s">
        <v>35</v>
      </c>
      <c r="AF622" s="5" t="e">
        <f t="shared" si="36"/>
        <v>#N/A</v>
      </c>
      <c r="AG622" s="5">
        <f t="shared" si="36"/>
        <v>45525</v>
      </c>
      <c r="AH622" s="5" t="b">
        <f t="shared" si="37"/>
        <v>0</v>
      </c>
      <c r="AI622" s="5" t="b">
        <f t="shared" si="37"/>
        <v>1</v>
      </c>
      <c r="AJ622" t="e">
        <f t="shared" si="38"/>
        <v>#N/A</v>
      </c>
      <c r="AK622" t="e">
        <f t="shared" si="39"/>
        <v>#N/A</v>
      </c>
    </row>
    <row r="623" spans="1:37">
      <c r="A623" t="s">
        <v>2950</v>
      </c>
      <c r="B623" t="s">
        <v>58</v>
      </c>
      <c r="C623" t="s">
        <v>2951</v>
      </c>
      <c r="D623" t="s">
        <v>2952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2953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  <c r="V623" s="1" t="s">
        <v>107</v>
      </c>
      <c r="W623" s="1" t="s">
        <v>26</v>
      </c>
      <c r="X623" s="1" t="s">
        <v>73</v>
      </c>
      <c r="Y623" s="1" t="s">
        <v>74</v>
      </c>
      <c r="Z623" s="1" t="s">
        <v>75</v>
      </c>
      <c r="AA623" s="1" t="s">
        <v>45</v>
      </c>
      <c r="AB623" s="1" t="s">
        <v>76</v>
      </c>
      <c r="AC623" s="1" t="s">
        <v>48</v>
      </c>
      <c r="AD623" s="1" t="s">
        <v>34</v>
      </c>
      <c r="AE623" s="1" t="s">
        <v>35</v>
      </c>
      <c r="AF623" s="5" t="e">
        <f t="shared" si="36"/>
        <v>#N/A</v>
      </c>
      <c r="AG623" s="5">
        <f t="shared" si="36"/>
        <v>45455</v>
      </c>
      <c r="AH623" s="5" t="b">
        <f t="shared" si="37"/>
        <v>0</v>
      </c>
      <c r="AI623" s="5" t="b">
        <f t="shared" si="37"/>
        <v>1</v>
      </c>
      <c r="AJ623" t="e">
        <f t="shared" si="38"/>
        <v>#N/A</v>
      </c>
      <c r="AK623" t="e">
        <f t="shared" si="39"/>
        <v>#N/A</v>
      </c>
    </row>
    <row r="624" spans="1:37">
      <c r="A624" t="s">
        <v>2954</v>
      </c>
      <c r="B624" t="s">
        <v>2955</v>
      </c>
      <c r="C624" t="s">
        <v>2956</v>
      </c>
      <c r="D624" t="s">
        <v>2957</v>
      </c>
      <c r="E624" t="s">
        <v>83</v>
      </c>
      <c r="F624" t="s">
        <v>26</v>
      </c>
      <c r="G624" t="s">
        <v>42</v>
      </c>
      <c r="H624" t="s">
        <v>186</v>
      </c>
      <c r="I624" t="s">
        <v>187</v>
      </c>
      <c r="J624" t="s">
        <v>30</v>
      </c>
      <c r="K624" t="s">
        <v>156</v>
      </c>
      <c r="L624" t="s">
        <v>2958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  <c r="V624" s="1" t="s">
        <v>83</v>
      </c>
      <c r="W624" s="1" t="s">
        <v>26</v>
      </c>
      <c r="X624" s="1" t="s">
        <v>42</v>
      </c>
      <c r="Y624" s="1" t="s">
        <v>186</v>
      </c>
      <c r="Z624" s="1" t="s">
        <v>187</v>
      </c>
      <c r="AA624" s="1" t="s">
        <v>30</v>
      </c>
      <c r="AB624" s="1" t="s">
        <v>156</v>
      </c>
      <c r="AC624" s="1" t="s">
        <v>67</v>
      </c>
      <c r="AD624" s="1" t="s">
        <v>34</v>
      </c>
      <c r="AE624" s="1" t="s">
        <v>35</v>
      </c>
      <c r="AF624" s="5" t="e">
        <f t="shared" si="36"/>
        <v>#N/A</v>
      </c>
      <c r="AG624" s="5">
        <f t="shared" si="36"/>
        <v>45694</v>
      </c>
      <c r="AH624" s="5" t="b">
        <f t="shared" si="37"/>
        <v>0</v>
      </c>
      <c r="AI624" s="5" t="b">
        <f t="shared" si="37"/>
        <v>1</v>
      </c>
      <c r="AJ624" t="e">
        <f t="shared" si="38"/>
        <v>#N/A</v>
      </c>
      <c r="AK624" t="e">
        <f t="shared" si="39"/>
        <v>#N/A</v>
      </c>
    </row>
    <row r="625" spans="1:37">
      <c r="A625" t="s">
        <v>2959</v>
      </c>
      <c r="B625" t="s">
        <v>2960</v>
      </c>
      <c r="C625" t="s">
        <v>2961</v>
      </c>
      <c r="D625" t="s">
        <v>2962</v>
      </c>
      <c r="E625" t="s">
        <v>83</v>
      </c>
      <c r="F625" t="s">
        <v>115</v>
      </c>
      <c r="G625" t="s">
        <v>27</v>
      </c>
      <c r="H625" t="s">
        <v>154</v>
      </c>
      <c r="I625" t="s">
        <v>155</v>
      </c>
      <c r="J625" t="s">
        <v>30</v>
      </c>
      <c r="K625" t="s">
        <v>156</v>
      </c>
      <c r="L625" t="s">
        <v>2963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  <c r="V625" s="1" t="s">
        <v>83</v>
      </c>
      <c r="W625" s="1" t="s">
        <v>115</v>
      </c>
      <c r="X625" s="1" t="s">
        <v>27</v>
      </c>
      <c r="Y625" s="1" t="s">
        <v>154</v>
      </c>
      <c r="Z625" s="1" t="s">
        <v>155</v>
      </c>
      <c r="AA625" s="1" t="s">
        <v>30</v>
      </c>
      <c r="AB625" s="1" t="s">
        <v>156</v>
      </c>
      <c r="AC625" s="1" t="s">
        <v>33</v>
      </c>
      <c r="AD625" s="1" t="s">
        <v>34</v>
      </c>
      <c r="AE625" s="1" t="s">
        <v>35</v>
      </c>
      <c r="AF625" s="5">
        <f t="shared" si="36"/>
        <v>45512</v>
      </c>
      <c r="AG625" s="5">
        <f t="shared" si="36"/>
        <v>45518</v>
      </c>
      <c r="AH625" s="5" t="b">
        <f t="shared" si="37"/>
        <v>1</v>
      </c>
      <c r="AI625" s="5" t="b">
        <f t="shared" si="37"/>
        <v>1</v>
      </c>
      <c r="AJ625" t="str">
        <f t="shared" si="38"/>
        <v>OK</v>
      </c>
      <c r="AK625">
        <f t="shared" si="39"/>
        <v>6</v>
      </c>
    </row>
    <row r="626" spans="1:37">
      <c r="A626" t="s">
        <v>2964</v>
      </c>
      <c r="B626" t="s">
        <v>2965</v>
      </c>
      <c r="C626" t="s">
        <v>2966</v>
      </c>
      <c r="D626" t="s">
        <v>2967</v>
      </c>
      <c r="E626" t="s">
        <v>93</v>
      </c>
      <c r="F626" t="s">
        <v>115</v>
      </c>
      <c r="G626" t="s">
        <v>42</v>
      </c>
      <c r="H626" t="s">
        <v>216</v>
      </c>
      <c r="I626" t="s">
        <v>217</v>
      </c>
      <c r="J626" t="s">
        <v>45</v>
      </c>
      <c r="K626" t="s">
        <v>76</v>
      </c>
      <c r="L626" t="s">
        <v>2968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  <c r="V626" s="1" t="s">
        <v>93</v>
      </c>
      <c r="W626" s="1" t="s">
        <v>115</v>
      </c>
      <c r="X626" s="1" t="s">
        <v>42</v>
      </c>
      <c r="Y626" s="1" t="s">
        <v>216</v>
      </c>
      <c r="Z626" s="1" t="s">
        <v>217</v>
      </c>
      <c r="AA626" s="1" t="s">
        <v>45</v>
      </c>
      <c r="AB626" s="1" t="s">
        <v>76</v>
      </c>
      <c r="AC626" s="1" t="s">
        <v>56</v>
      </c>
      <c r="AD626" s="1" t="s">
        <v>34</v>
      </c>
      <c r="AE626" s="1" t="s">
        <v>35</v>
      </c>
      <c r="AF626" s="5">
        <f t="shared" si="36"/>
        <v>45321</v>
      </c>
      <c r="AG626" s="5">
        <f t="shared" si="36"/>
        <v>45323</v>
      </c>
      <c r="AH626" s="5" t="b">
        <f t="shared" si="37"/>
        <v>1</v>
      </c>
      <c r="AI626" s="5" t="b">
        <f t="shared" si="37"/>
        <v>1</v>
      </c>
      <c r="AJ626" t="str">
        <f t="shared" si="38"/>
        <v>OK</v>
      </c>
      <c r="AK626">
        <f t="shared" si="39"/>
        <v>2</v>
      </c>
    </row>
    <row r="627" spans="1:37">
      <c r="A627" t="s">
        <v>2969</v>
      </c>
      <c r="B627" t="s">
        <v>2970</v>
      </c>
      <c r="C627" t="s">
        <v>1404</v>
      </c>
      <c r="D627" t="s">
        <v>2971</v>
      </c>
      <c r="E627" t="s">
        <v>210</v>
      </c>
      <c r="F627" t="s">
        <v>108</v>
      </c>
      <c r="G627" t="s">
        <v>73</v>
      </c>
      <c r="H627" t="s">
        <v>28</v>
      </c>
      <c r="I627" t="s">
        <v>135</v>
      </c>
      <c r="J627" t="s">
        <v>45</v>
      </c>
      <c r="K627" t="s">
        <v>76</v>
      </c>
      <c r="L627" t="s">
        <v>2972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  <c r="V627" s="1" t="s">
        <v>210</v>
      </c>
      <c r="W627" s="1" t="s">
        <v>108</v>
      </c>
      <c r="X627" s="1" t="s">
        <v>73</v>
      </c>
      <c r="Y627" s="1" t="s">
        <v>28</v>
      </c>
      <c r="Z627" s="1" t="s">
        <v>135</v>
      </c>
      <c r="AA627" s="1" t="s">
        <v>45</v>
      </c>
      <c r="AB627" s="1" t="s">
        <v>76</v>
      </c>
      <c r="AC627" s="1" t="s">
        <v>48</v>
      </c>
      <c r="AD627" s="1" t="s">
        <v>34</v>
      </c>
      <c r="AE627" s="1" t="s">
        <v>35</v>
      </c>
      <c r="AF627" s="5">
        <f t="shared" si="36"/>
        <v>45641</v>
      </c>
      <c r="AG627" s="5">
        <f t="shared" si="36"/>
        <v>45647</v>
      </c>
      <c r="AH627" s="5" t="b">
        <f t="shared" si="37"/>
        <v>1</v>
      </c>
      <c r="AI627" s="5" t="b">
        <f t="shared" si="37"/>
        <v>1</v>
      </c>
      <c r="AJ627" t="str">
        <f t="shared" si="38"/>
        <v>OK</v>
      </c>
      <c r="AK627">
        <f t="shared" si="39"/>
        <v>6</v>
      </c>
    </row>
    <row r="628" spans="1:37">
      <c r="A628" t="s">
        <v>2973</v>
      </c>
      <c r="B628" t="s">
        <v>1389</v>
      </c>
      <c r="C628" t="s">
        <v>2974</v>
      </c>
      <c r="D628" t="s">
        <v>2975</v>
      </c>
      <c r="E628" t="s">
        <v>168</v>
      </c>
      <c r="F628" t="s">
        <v>115</v>
      </c>
      <c r="G628" t="s">
        <v>42</v>
      </c>
      <c r="H628" t="s">
        <v>216</v>
      </c>
      <c r="I628" t="s">
        <v>217</v>
      </c>
      <c r="J628" t="s">
        <v>86</v>
      </c>
      <c r="K628" t="s">
        <v>382</v>
      </c>
      <c r="L628" t="s">
        <v>2976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137</v>
      </c>
      <c r="U628" t="s">
        <v>125</v>
      </c>
      <c r="V628" s="1" t="s">
        <v>168</v>
      </c>
      <c r="W628" s="1" t="s">
        <v>115</v>
      </c>
      <c r="X628" s="1" t="s">
        <v>42</v>
      </c>
      <c r="Y628" s="1" t="s">
        <v>216</v>
      </c>
      <c r="Z628" s="1" t="s">
        <v>217</v>
      </c>
      <c r="AA628" s="1" t="s">
        <v>86</v>
      </c>
      <c r="AB628" s="1" t="s">
        <v>382</v>
      </c>
      <c r="AC628" s="1" t="s">
        <v>67</v>
      </c>
      <c r="AD628" s="1" t="s">
        <v>137</v>
      </c>
      <c r="AE628" s="1" t="s">
        <v>125</v>
      </c>
      <c r="AF628" s="5">
        <f t="shared" si="36"/>
        <v>45753</v>
      </c>
      <c r="AG628" s="5">
        <f t="shared" si="36"/>
        <v>45815</v>
      </c>
      <c r="AH628" s="5" t="b">
        <f t="shared" si="37"/>
        <v>1</v>
      </c>
      <c r="AI628" s="5" t="b">
        <f t="shared" si="37"/>
        <v>1</v>
      </c>
      <c r="AJ628" t="str">
        <f t="shared" si="38"/>
        <v>OK</v>
      </c>
      <c r="AK628">
        <f t="shared" si="39"/>
        <v>62</v>
      </c>
    </row>
    <row r="629" spans="1:37">
      <c r="A629" t="s">
        <v>2977</v>
      </c>
      <c r="B629" t="s">
        <v>1414</v>
      </c>
      <c r="C629" t="s">
        <v>1775</v>
      </c>
      <c r="D629" t="s">
        <v>2978</v>
      </c>
      <c r="E629" t="s">
        <v>25</v>
      </c>
      <c r="F629" t="s">
        <v>41</v>
      </c>
      <c r="G629" t="s">
        <v>62</v>
      </c>
      <c r="H629" t="s">
        <v>242</v>
      </c>
      <c r="I629" t="s">
        <v>243</v>
      </c>
      <c r="J629" t="s">
        <v>86</v>
      </c>
      <c r="K629" t="s">
        <v>223</v>
      </c>
      <c r="L629" t="s">
        <v>2979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137</v>
      </c>
      <c r="U629" t="s">
        <v>78</v>
      </c>
      <c r="V629" s="1" t="s">
        <v>25</v>
      </c>
      <c r="W629" s="1" t="s">
        <v>41</v>
      </c>
      <c r="X629" s="1" t="s">
        <v>62</v>
      </c>
      <c r="Y629" s="1" t="s">
        <v>242</v>
      </c>
      <c r="Z629" s="1" t="s">
        <v>243</v>
      </c>
      <c r="AA629" s="1" t="s">
        <v>86</v>
      </c>
      <c r="AB629" s="1" t="s">
        <v>223</v>
      </c>
      <c r="AC629" s="1" t="s">
        <v>33</v>
      </c>
      <c r="AD629" s="1" t="s">
        <v>137</v>
      </c>
      <c r="AE629" s="1" t="s">
        <v>78</v>
      </c>
      <c r="AF629" s="5">
        <f t="shared" si="36"/>
        <v>45701</v>
      </c>
      <c r="AG629" s="5" t="e">
        <f t="shared" si="36"/>
        <v>#N/A</v>
      </c>
      <c r="AH629" s="5" t="b">
        <f t="shared" si="37"/>
        <v>1</v>
      </c>
      <c r="AI629" s="5" t="b">
        <f t="shared" si="37"/>
        <v>0</v>
      </c>
      <c r="AJ629" t="e">
        <f t="shared" si="38"/>
        <v>#N/A</v>
      </c>
      <c r="AK629" t="e">
        <f t="shared" si="39"/>
        <v>#N/A</v>
      </c>
    </row>
    <row r="630" spans="1:37">
      <c r="A630" t="s">
        <v>2980</v>
      </c>
      <c r="B630" t="s">
        <v>2553</v>
      </c>
      <c r="C630" t="s">
        <v>2981</v>
      </c>
      <c r="D630" t="s">
        <v>2982</v>
      </c>
      <c r="E630" t="s">
        <v>72</v>
      </c>
      <c r="F630" t="s">
        <v>115</v>
      </c>
      <c r="G630" t="s">
        <v>42</v>
      </c>
      <c r="H630" t="s">
        <v>311</v>
      </c>
      <c r="I630" t="s">
        <v>312</v>
      </c>
      <c r="J630" t="s">
        <v>86</v>
      </c>
      <c r="K630" t="s">
        <v>87</v>
      </c>
      <c r="L630" t="s">
        <v>2983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  <c r="V630" s="1" t="s">
        <v>72</v>
      </c>
      <c r="W630" s="1" t="s">
        <v>115</v>
      </c>
      <c r="X630" s="1" t="s">
        <v>42</v>
      </c>
      <c r="Y630" s="1" t="s">
        <v>311</v>
      </c>
      <c r="Z630" s="1" t="s">
        <v>312</v>
      </c>
      <c r="AA630" s="1" t="s">
        <v>86</v>
      </c>
      <c r="AB630" s="1" t="s">
        <v>87</v>
      </c>
      <c r="AC630" s="1" t="s">
        <v>48</v>
      </c>
      <c r="AD630" s="1" t="s">
        <v>34</v>
      </c>
      <c r="AE630" s="1" t="s">
        <v>35</v>
      </c>
      <c r="AF630" s="5">
        <f t="shared" si="36"/>
        <v>45935</v>
      </c>
      <c r="AG630" s="5">
        <f t="shared" si="36"/>
        <v>45942</v>
      </c>
      <c r="AH630" s="5" t="b">
        <f t="shared" si="37"/>
        <v>1</v>
      </c>
      <c r="AI630" s="5" t="b">
        <f t="shared" si="37"/>
        <v>1</v>
      </c>
      <c r="AJ630" t="str">
        <f t="shared" si="38"/>
        <v>OK</v>
      </c>
      <c r="AK630">
        <f t="shared" si="39"/>
        <v>7</v>
      </c>
    </row>
    <row r="631" spans="1:37">
      <c r="A631" t="s">
        <v>2984</v>
      </c>
      <c r="B631" t="s">
        <v>573</v>
      </c>
      <c r="C631" t="s">
        <v>2985</v>
      </c>
      <c r="D631" t="s">
        <v>2986</v>
      </c>
      <c r="E631" t="s">
        <v>61</v>
      </c>
      <c r="F631" t="s">
        <v>115</v>
      </c>
      <c r="G631" t="s">
        <v>73</v>
      </c>
      <c r="H631" t="s">
        <v>235</v>
      </c>
      <c r="I631" t="s">
        <v>236</v>
      </c>
      <c r="J631" t="s">
        <v>45</v>
      </c>
      <c r="K631" t="s">
        <v>46</v>
      </c>
      <c r="L631" t="s">
        <v>2987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  <c r="V631" s="1" t="s">
        <v>61</v>
      </c>
      <c r="W631" s="1" t="s">
        <v>115</v>
      </c>
      <c r="X631" s="1" t="s">
        <v>73</v>
      </c>
      <c r="Y631" s="1" t="s">
        <v>235</v>
      </c>
      <c r="Z631" s="1" t="s">
        <v>236</v>
      </c>
      <c r="AA631" s="1" t="s">
        <v>45</v>
      </c>
      <c r="AB631" s="1" t="s">
        <v>46</v>
      </c>
      <c r="AC631" s="1" t="s">
        <v>48</v>
      </c>
      <c r="AD631" s="1" t="s">
        <v>34</v>
      </c>
      <c r="AE631" s="1" t="s">
        <v>35</v>
      </c>
      <c r="AF631" s="5">
        <f t="shared" si="36"/>
        <v>45910</v>
      </c>
      <c r="AG631" s="5">
        <f t="shared" si="36"/>
        <v>45914</v>
      </c>
      <c r="AH631" s="5" t="b">
        <f t="shared" si="37"/>
        <v>1</v>
      </c>
      <c r="AI631" s="5" t="b">
        <f t="shared" si="37"/>
        <v>1</v>
      </c>
      <c r="AJ631" t="str">
        <f t="shared" si="38"/>
        <v>OK</v>
      </c>
      <c r="AK631">
        <f t="shared" si="39"/>
        <v>4</v>
      </c>
    </row>
    <row r="632" spans="1:37">
      <c r="A632" t="s">
        <v>2988</v>
      </c>
      <c r="B632" t="s">
        <v>2443</v>
      </c>
      <c r="C632" t="s">
        <v>1497</v>
      </c>
      <c r="D632" t="s">
        <v>2989</v>
      </c>
      <c r="E632" t="s">
        <v>142</v>
      </c>
      <c r="F632" t="s">
        <v>108</v>
      </c>
      <c r="G632" t="s">
        <v>42</v>
      </c>
      <c r="H632" t="s">
        <v>216</v>
      </c>
      <c r="I632" t="s">
        <v>217</v>
      </c>
      <c r="J632" t="s">
        <v>30</v>
      </c>
      <c r="K632" t="s">
        <v>31</v>
      </c>
      <c r="L632" t="s">
        <v>2990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  <c r="V632" s="1" t="s">
        <v>142</v>
      </c>
      <c r="W632" s="1" t="s">
        <v>108</v>
      </c>
      <c r="X632" s="1" t="s">
        <v>42</v>
      </c>
      <c r="Y632" s="1" t="s">
        <v>216</v>
      </c>
      <c r="Z632" s="1" t="s">
        <v>217</v>
      </c>
      <c r="AA632" s="1" t="s">
        <v>30</v>
      </c>
      <c r="AB632" s="1" t="s">
        <v>31</v>
      </c>
      <c r="AC632" s="1" t="s">
        <v>67</v>
      </c>
      <c r="AD632" s="1" t="s">
        <v>34</v>
      </c>
      <c r="AE632" s="1" t="s">
        <v>35</v>
      </c>
      <c r="AF632" s="5">
        <f t="shared" si="36"/>
        <v>45391</v>
      </c>
      <c r="AG632" s="5">
        <f t="shared" si="36"/>
        <v>45392</v>
      </c>
      <c r="AH632" s="5" t="b">
        <f t="shared" si="37"/>
        <v>1</v>
      </c>
      <c r="AI632" s="5" t="b">
        <f t="shared" si="37"/>
        <v>1</v>
      </c>
      <c r="AJ632" t="str">
        <f t="shared" si="38"/>
        <v>OK</v>
      </c>
      <c r="AK632">
        <f t="shared" si="39"/>
        <v>1</v>
      </c>
    </row>
    <row r="633" spans="1:37">
      <c r="A633" t="s">
        <v>2991</v>
      </c>
      <c r="B633" t="s">
        <v>1440</v>
      </c>
      <c r="C633" t="s">
        <v>1540</v>
      </c>
      <c r="D633" t="s">
        <v>2992</v>
      </c>
      <c r="E633" t="s">
        <v>162</v>
      </c>
      <c r="F633" t="s">
        <v>115</v>
      </c>
      <c r="G633" t="s">
        <v>73</v>
      </c>
      <c r="H633" t="s">
        <v>28</v>
      </c>
      <c r="I633" t="s">
        <v>135</v>
      </c>
      <c r="J633" t="s">
        <v>45</v>
      </c>
      <c r="K633" t="s">
        <v>76</v>
      </c>
      <c r="L633" t="s">
        <v>2993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  <c r="V633" s="1" t="s">
        <v>162</v>
      </c>
      <c r="W633" s="1" t="s">
        <v>115</v>
      </c>
      <c r="X633" s="1" t="s">
        <v>73</v>
      </c>
      <c r="Y633" s="1" t="s">
        <v>28</v>
      </c>
      <c r="Z633" s="1" t="s">
        <v>135</v>
      </c>
      <c r="AA633" s="1" t="s">
        <v>45</v>
      </c>
      <c r="AB633" s="1" t="s">
        <v>76</v>
      </c>
      <c r="AC633" s="1" t="s">
        <v>67</v>
      </c>
      <c r="AD633" s="1" t="s">
        <v>34</v>
      </c>
      <c r="AE633" s="1" t="s">
        <v>35</v>
      </c>
      <c r="AF633" s="5">
        <f t="shared" si="36"/>
        <v>45392</v>
      </c>
      <c r="AG633" s="5" t="e">
        <f t="shared" si="36"/>
        <v>#N/A</v>
      </c>
      <c r="AH633" s="5" t="b">
        <f t="shared" si="37"/>
        <v>1</v>
      </c>
      <c r="AI633" s="5" t="b">
        <f t="shared" si="37"/>
        <v>0</v>
      </c>
      <c r="AJ633" t="e">
        <f t="shared" si="38"/>
        <v>#N/A</v>
      </c>
      <c r="AK633" t="e">
        <f t="shared" si="39"/>
        <v>#N/A</v>
      </c>
    </row>
    <row r="634" spans="1:37">
      <c r="A634" t="s">
        <v>2994</v>
      </c>
      <c r="B634" t="s">
        <v>2995</v>
      </c>
      <c r="C634" t="s">
        <v>2996</v>
      </c>
      <c r="D634" t="s">
        <v>2997</v>
      </c>
      <c r="E634" t="s">
        <v>168</v>
      </c>
      <c r="F634" t="s">
        <v>41</v>
      </c>
      <c r="G634" t="s">
        <v>62</v>
      </c>
      <c r="H634" t="s">
        <v>229</v>
      </c>
      <c r="I634" t="s">
        <v>230</v>
      </c>
      <c r="J634" t="s">
        <v>45</v>
      </c>
      <c r="K634" t="s">
        <v>65</v>
      </c>
      <c r="L634" t="s">
        <v>2998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  <c r="V634" s="1" t="s">
        <v>168</v>
      </c>
      <c r="W634" s="1" t="s">
        <v>41</v>
      </c>
      <c r="X634" s="1" t="s">
        <v>62</v>
      </c>
      <c r="Y634" s="1" t="s">
        <v>229</v>
      </c>
      <c r="Z634" s="1" t="s">
        <v>230</v>
      </c>
      <c r="AA634" s="1" t="s">
        <v>45</v>
      </c>
      <c r="AB634" s="1" t="s">
        <v>65</v>
      </c>
      <c r="AC634" s="1" t="s">
        <v>56</v>
      </c>
      <c r="AD634" s="1" t="s">
        <v>34</v>
      </c>
      <c r="AE634" s="1" t="s">
        <v>35</v>
      </c>
      <c r="AF634" s="5" t="e">
        <f t="shared" si="36"/>
        <v>#N/A</v>
      </c>
      <c r="AG634" s="5" t="e">
        <f t="shared" si="36"/>
        <v>#N/A</v>
      </c>
      <c r="AH634" s="5" t="b">
        <f t="shared" si="37"/>
        <v>0</v>
      </c>
      <c r="AI634" s="5" t="b">
        <f t="shared" si="37"/>
        <v>0</v>
      </c>
      <c r="AJ634" t="e">
        <f t="shared" si="38"/>
        <v>#N/A</v>
      </c>
      <c r="AK634" t="e">
        <f t="shared" si="39"/>
        <v>#N/A</v>
      </c>
    </row>
    <row r="635" spans="1:37">
      <c r="A635" t="s">
        <v>2999</v>
      </c>
      <c r="B635" t="s">
        <v>3000</v>
      </c>
      <c r="C635" t="s">
        <v>3001</v>
      </c>
      <c r="D635" t="s">
        <v>3002</v>
      </c>
      <c r="E635" t="s">
        <v>162</v>
      </c>
      <c r="F635" t="s">
        <v>41</v>
      </c>
      <c r="G635" t="s">
        <v>62</v>
      </c>
      <c r="H635" t="s">
        <v>339</v>
      </c>
      <c r="I635" t="s">
        <v>340</v>
      </c>
      <c r="J635" t="s">
        <v>86</v>
      </c>
      <c r="K635" t="s">
        <v>87</v>
      </c>
      <c r="L635" t="s">
        <v>3003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  <c r="V635" s="1" t="s">
        <v>162</v>
      </c>
      <c r="W635" s="1" t="s">
        <v>41</v>
      </c>
      <c r="X635" s="1" t="s">
        <v>62</v>
      </c>
      <c r="Y635" s="1" t="s">
        <v>339</v>
      </c>
      <c r="Z635" s="1" t="s">
        <v>340</v>
      </c>
      <c r="AA635" s="1" t="s">
        <v>86</v>
      </c>
      <c r="AB635" s="1" t="s">
        <v>87</v>
      </c>
      <c r="AC635" s="1" t="s">
        <v>33</v>
      </c>
      <c r="AD635" s="1" t="s">
        <v>34</v>
      </c>
      <c r="AE635" s="1" t="s">
        <v>35</v>
      </c>
      <c r="AF635" s="5">
        <f t="shared" si="36"/>
        <v>45765</v>
      </c>
      <c r="AG635" s="5">
        <f t="shared" si="36"/>
        <v>45767</v>
      </c>
      <c r="AH635" s="5" t="b">
        <f t="shared" si="37"/>
        <v>1</v>
      </c>
      <c r="AI635" s="5" t="b">
        <f t="shared" si="37"/>
        <v>1</v>
      </c>
      <c r="AJ635" t="str">
        <f t="shared" si="38"/>
        <v>OK</v>
      </c>
      <c r="AK635">
        <f t="shared" si="39"/>
        <v>2</v>
      </c>
    </row>
    <row r="636" spans="1:37">
      <c r="A636" t="s">
        <v>3004</v>
      </c>
      <c r="B636" t="s">
        <v>3005</v>
      </c>
      <c r="C636" t="s">
        <v>2178</v>
      </c>
      <c r="D636" t="s">
        <v>3006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3007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  <c r="V636" s="1" t="s">
        <v>107</v>
      </c>
      <c r="W636" s="1" t="s">
        <v>26</v>
      </c>
      <c r="X636" s="1" t="s">
        <v>62</v>
      </c>
      <c r="Y636" s="1" t="s">
        <v>63</v>
      </c>
      <c r="Z636" s="1" t="s">
        <v>64</v>
      </c>
      <c r="AA636" s="1" t="s">
        <v>45</v>
      </c>
      <c r="AB636" s="1" t="s">
        <v>76</v>
      </c>
      <c r="AC636" s="1" t="s">
        <v>33</v>
      </c>
      <c r="AD636" s="1" t="s">
        <v>34</v>
      </c>
      <c r="AE636" s="1" t="s">
        <v>35</v>
      </c>
      <c r="AF636" s="5">
        <f t="shared" si="36"/>
        <v>45668</v>
      </c>
      <c r="AG636" s="5">
        <f t="shared" si="36"/>
        <v>45669</v>
      </c>
      <c r="AH636" s="5" t="b">
        <f t="shared" si="37"/>
        <v>1</v>
      </c>
      <c r="AI636" s="5" t="b">
        <f t="shared" si="37"/>
        <v>1</v>
      </c>
      <c r="AJ636" t="str">
        <f t="shared" si="38"/>
        <v>OK</v>
      </c>
      <c r="AK636">
        <f t="shared" si="39"/>
        <v>1</v>
      </c>
    </row>
    <row r="637" spans="1:37">
      <c r="A637" t="s">
        <v>3008</v>
      </c>
      <c r="B637" t="s">
        <v>2904</v>
      </c>
      <c r="C637" t="s">
        <v>3009</v>
      </c>
      <c r="D637" t="s">
        <v>3010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3011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  <c r="V637" s="1" t="s">
        <v>40</v>
      </c>
      <c r="W637" s="1" t="s">
        <v>108</v>
      </c>
      <c r="X637" s="1" t="s">
        <v>62</v>
      </c>
      <c r="Y637" s="1" t="s">
        <v>100</v>
      </c>
      <c r="Z637" s="1" t="s">
        <v>101</v>
      </c>
      <c r="AA637" s="1" t="s">
        <v>45</v>
      </c>
      <c r="AB637" s="1" t="s">
        <v>76</v>
      </c>
      <c r="AC637" s="1" t="s">
        <v>48</v>
      </c>
      <c r="AD637" s="1" t="s">
        <v>34</v>
      </c>
      <c r="AE637" s="1" t="s">
        <v>35</v>
      </c>
      <c r="AF637" s="5">
        <f t="shared" si="36"/>
        <v>45432</v>
      </c>
      <c r="AG637" s="5">
        <f t="shared" si="36"/>
        <v>45437</v>
      </c>
      <c r="AH637" s="5" t="b">
        <f t="shared" si="37"/>
        <v>1</v>
      </c>
      <c r="AI637" s="5" t="b">
        <f t="shared" si="37"/>
        <v>1</v>
      </c>
      <c r="AJ637" t="str">
        <f t="shared" si="38"/>
        <v>OK</v>
      </c>
      <c r="AK637">
        <f t="shared" si="39"/>
        <v>5</v>
      </c>
    </row>
    <row r="638" spans="1:37">
      <c r="A638" t="s">
        <v>3012</v>
      </c>
      <c r="B638" t="s">
        <v>3013</v>
      </c>
      <c r="C638" t="s">
        <v>3014</v>
      </c>
      <c r="D638" t="s">
        <v>3015</v>
      </c>
      <c r="E638" t="s">
        <v>72</v>
      </c>
      <c r="F638" t="s">
        <v>26</v>
      </c>
      <c r="G638" t="s">
        <v>62</v>
      </c>
      <c r="H638" t="s">
        <v>339</v>
      </c>
      <c r="I638" t="s">
        <v>340</v>
      </c>
      <c r="J638" t="s">
        <v>30</v>
      </c>
      <c r="K638" t="s">
        <v>31</v>
      </c>
      <c r="L638" t="s">
        <v>3016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  <c r="V638" s="1" t="s">
        <v>72</v>
      </c>
      <c r="W638" s="1" t="s">
        <v>26</v>
      </c>
      <c r="X638" s="1" t="s">
        <v>62</v>
      </c>
      <c r="Y638" s="1" t="s">
        <v>339</v>
      </c>
      <c r="Z638" s="1" t="s">
        <v>340</v>
      </c>
      <c r="AA638" s="1" t="s">
        <v>30</v>
      </c>
      <c r="AB638" s="1" t="s">
        <v>31</v>
      </c>
      <c r="AC638" s="1" t="s">
        <v>67</v>
      </c>
      <c r="AD638" s="1" t="s">
        <v>34</v>
      </c>
      <c r="AE638" s="1" t="s">
        <v>35</v>
      </c>
      <c r="AF638" s="5">
        <f t="shared" si="36"/>
        <v>45567</v>
      </c>
      <c r="AG638" s="5">
        <f t="shared" si="36"/>
        <v>45574</v>
      </c>
      <c r="AH638" s="5" t="b">
        <f t="shared" si="37"/>
        <v>1</v>
      </c>
      <c r="AI638" s="5" t="b">
        <f t="shared" si="37"/>
        <v>1</v>
      </c>
      <c r="AJ638" t="str">
        <f t="shared" si="38"/>
        <v>OK</v>
      </c>
      <c r="AK638">
        <f t="shared" si="39"/>
        <v>7</v>
      </c>
    </row>
    <row r="639" spans="1:37">
      <c r="A639" t="s">
        <v>3017</v>
      </c>
      <c r="B639" t="s">
        <v>3018</v>
      </c>
      <c r="C639" t="s">
        <v>3019</v>
      </c>
      <c r="D639" t="s">
        <v>3020</v>
      </c>
      <c r="E639" t="s">
        <v>148</v>
      </c>
      <c r="F639" t="s">
        <v>41</v>
      </c>
      <c r="G639" t="s">
        <v>73</v>
      </c>
      <c r="H639" t="s">
        <v>249</v>
      </c>
      <c r="I639" t="s">
        <v>250</v>
      </c>
      <c r="J639" t="s">
        <v>86</v>
      </c>
      <c r="K639" t="s">
        <v>94</v>
      </c>
      <c r="L639" t="s">
        <v>3021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  <c r="V639" s="1" t="s">
        <v>148</v>
      </c>
      <c r="W639" s="1" t="s">
        <v>41</v>
      </c>
      <c r="X639" s="1" t="s">
        <v>73</v>
      </c>
      <c r="Y639" s="1" t="s">
        <v>249</v>
      </c>
      <c r="Z639" s="1" t="s">
        <v>250</v>
      </c>
      <c r="AA639" s="1" t="s">
        <v>86</v>
      </c>
      <c r="AB639" s="1" t="s">
        <v>94</v>
      </c>
      <c r="AC639" s="1" t="s">
        <v>56</v>
      </c>
      <c r="AD639" s="1" t="s">
        <v>34</v>
      </c>
      <c r="AE639" s="1" t="s">
        <v>35</v>
      </c>
      <c r="AF639" s="5" t="e">
        <f t="shared" si="36"/>
        <v>#N/A</v>
      </c>
      <c r="AG639" s="5">
        <f t="shared" si="36"/>
        <v>45438</v>
      </c>
      <c r="AH639" s="5" t="b">
        <f t="shared" si="37"/>
        <v>0</v>
      </c>
      <c r="AI639" s="5" t="b">
        <f t="shared" si="37"/>
        <v>1</v>
      </c>
      <c r="AJ639" t="e">
        <f t="shared" si="38"/>
        <v>#N/A</v>
      </c>
      <c r="AK639" t="e">
        <f t="shared" si="39"/>
        <v>#N/A</v>
      </c>
    </row>
    <row r="640" spans="1:37">
      <c r="A640" t="s">
        <v>3022</v>
      </c>
      <c r="B640" t="s">
        <v>2870</v>
      </c>
      <c r="C640" t="s">
        <v>3023</v>
      </c>
      <c r="D640" t="s">
        <v>3024</v>
      </c>
      <c r="E640" t="s">
        <v>25</v>
      </c>
      <c r="F640" t="s">
        <v>108</v>
      </c>
      <c r="G640" t="s">
        <v>62</v>
      </c>
      <c r="H640" t="s">
        <v>242</v>
      </c>
      <c r="I640" t="s">
        <v>243</v>
      </c>
      <c r="J640" t="s">
        <v>30</v>
      </c>
      <c r="K640" t="s">
        <v>156</v>
      </c>
      <c r="L640" t="s">
        <v>3025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200</v>
      </c>
      <c r="U640" t="s">
        <v>125</v>
      </c>
      <c r="V640" s="1" t="s">
        <v>25</v>
      </c>
      <c r="W640" s="1" t="s">
        <v>108</v>
      </c>
      <c r="X640" s="1" t="s">
        <v>62</v>
      </c>
      <c r="Y640" s="1" t="s">
        <v>242</v>
      </c>
      <c r="Z640" s="1" t="s">
        <v>243</v>
      </c>
      <c r="AA640" s="1" t="s">
        <v>30</v>
      </c>
      <c r="AB640" s="1" t="s">
        <v>156</v>
      </c>
      <c r="AC640" s="1" t="s">
        <v>33</v>
      </c>
      <c r="AD640" s="1" t="s">
        <v>200</v>
      </c>
      <c r="AE640" s="1" t="s">
        <v>125</v>
      </c>
      <c r="AF640" s="5">
        <f t="shared" si="36"/>
        <v>45317</v>
      </c>
      <c r="AG640" s="5" t="e">
        <f t="shared" si="36"/>
        <v>#N/A</v>
      </c>
      <c r="AH640" s="5" t="b">
        <f t="shared" si="37"/>
        <v>1</v>
      </c>
      <c r="AI640" s="5" t="b">
        <f t="shared" si="37"/>
        <v>0</v>
      </c>
      <c r="AJ640" t="e">
        <f t="shared" si="38"/>
        <v>#N/A</v>
      </c>
      <c r="AK640" t="e">
        <f t="shared" si="39"/>
        <v>#N/A</v>
      </c>
    </row>
    <row r="641" spans="1:37">
      <c r="A641" t="s">
        <v>3026</v>
      </c>
      <c r="B641" t="s">
        <v>3027</v>
      </c>
      <c r="C641" t="s">
        <v>1871</v>
      </c>
      <c r="D641" t="s">
        <v>3028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3029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  <c r="V641" s="1" t="s">
        <v>53</v>
      </c>
      <c r="W641" s="1" t="s">
        <v>41</v>
      </c>
      <c r="X641" s="1" t="s">
        <v>42</v>
      </c>
      <c r="Y641" s="1" t="s">
        <v>43</v>
      </c>
      <c r="Z641" s="1" t="s">
        <v>44</v>
      </c>
      <c r="AA641" s="1" t="s">
        <v>45</v>
      </c>
      <c r="AB641" s="1" t="s">
        <v>76</v>
      </c>
      <c r="AC641" s="1" t="s">
        <v>33</v>
      </c>
      <c r="AD641" s="1" t="s">
        <v>34</v>
      </c>
      <c r="AE641" s="1" t="s">
        <v>35</v>
      </c>
      <c r="AF641" s="5">
        <f t="shared" si="36"/>
        <v>45653</v>
      </c>
      <c r="AG641" s="5" t="e">
        <f t="shared" si="36"/>
        <v>#N/A</v>
      </c>
      <c r="AH641" s="5" t="b">
        <f t="shared" si="37"/>
        <v>1</v>
      </c>
      <c r="AI641" s="5" t="b">
        <f t="shared" si="37"/>
        <v>0</v>
      </c>
      <c r="AJ641" t="e">
        <f t="shared" si="38"/>
        <v>#N/A</v>
      </c>
      <c r="AK641" t="e">
        <f t="shared" si="39"/>
        <v>#N/A</v>
      </c>
    </row>
    <row r="642" spans="1:37">
      <c r="A642" t="s">
        <v>3030</v>
      </c>
      <c r="B642" t="s">
        <v>3031</v>
      </c>
      <c r="C642" t="s">
        <v>3032</v>
      </c>
      <c r="D642" t="s">
        <v>3033</v>
      </c>
      <c r="E642" t="s">
        <v>83</v>
      </c>
      <c r="F642" t="s">
        <v>26</v>
      </c>
      <c r="G642" t="s">
        <v>73</v>
      </c>
      <c r="H642" t="s">
        <v>249</v>
      </c>
      <c r="I642" t="s">
        <v>250</v>
      </c>
      <c r="J642" t="s">
        <v>30</v>
      </c>
      <c r="K642" t="s">
        <v>156</v>
      </c>
      <c r="L642" t="s">
        <v>3034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  <c r="V642" s="1" t="s">
        <v>83</v>
      </c>
      <c r="W642" s="1" t="s">
        <v>26</v>
      </c>
      <c r="X642" s="1" t="s">
        <v>73</v>
      </c>
      <c r="Y642" s="1" t="s">
        <v>249</v>
      </c>
      <c r="Z642" s="1" t="s">
        <v>250</v>
      </c>
      <c r="AA642" s="1" t="s">
        <v>30</v>
      </c>
      <c r="AB642" s="1" t="s">
        <v>156</v>
      </c>
      <c r="AC642" s="1" t="s">
        <v>56</v>
      </c>
      <c r="AD642" s="1" t="s">
        <v>34</v>
      </c>
      <c r="AE642" s="1" t="s">
        <v>35</v>
      </c>
      <c r="AF642" s="5" t="e">
        <f t="shared" si="36"/>
        <v>#N/A</v>
      </c>
      <c r="AG642" s="5">
        <f t="shared" si="36"/>
        <v>45674</v>
      </c>
      <c r="AH642" s="5" t="b">
        <f t="shared" si="37"/>
        <v>0</v>
      </c>
      <c r="AI642" s="5" t="b">
        <f t="shared" si="37"/>
        <v>1</v>
      </c>
      <c r="AJ642" t="e">
        <f t="shared" si="38"/>
        <v>#N/A</v>
      </c>
      <c r="AK642" t="e">
        <f t="shared" si="39"/>
        <v>#N/A</v>
      </c>
    </row>
    <row r="643" spans="1:37">
      <c r="A643" t="s">
        <v>3035</v>
      </c>
      <c r="B643" t="s">
        <v>3036</v>
      </c>
      <c r="C643" t="s">
        <v>1962</v>
      </c>
      <c r="D643" t="s">
        <v>3037</v>
      </c>
      <c r="E643" t="s">
        <v>25</v>
      </c>
      <c r="F643" t="s">
        <v>26</v>
      </c>
      <c r="G643" t="s">
        <v>27</v>
      </c>
      <c r="H643" t="s">
        <v>506</v>
      </c>
      <c r="I643" t="s">
        <v>507</v>
      </c>
      <c r="J643" t="s">
        <v>45</v>
      </c>
      <c r="K643" t="s">
        <v>65</v>
      </c>
      <c r="L643" t="s">
        <v>3038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  <c r="V643" s="1" t="s">
        <v>25</v>
      </c>
      <c r="W643" s="1" t="s">
        <v>26</v>
      </c>
      <c r="X643" s="1" t="s">
        <v>27</v>
      </c>
      <c r="Y643" s="1" t="s">
        <v>506</v>
      </c>
      <c r="Z643" s="1" t="s">
        <v>507</v>
      </c>
      <c r="AA643" s="1" t="s">
        <v>45</v>
      </c>
      <c r="AB643" s="1" t="s">
        <v>65</v>
      </c>
      <c r="AC643" s="1" t="s">
        <v>48</v>
      </c>
      <c r="AD643" s="1" t="s">
        <v>34</v>
      </c>
      <c r="AE643" s="1" t="s">
        <v>35</v>
      </c>
      <c r="AF643" s="5">
        <f t="shared" ref="AF643:AG706" si="40">IFERROR(DATEVALUE(B643),IFERROR(DATE(VALUE(RIGHT(B643,4)),VALUE(MID(SUBSTITUTE(B643,"-","/"),6,2)),VALUE(LEFT(B643,2))),NA()))</f>
        <v>45756</v>
      </c>
      <c r="AG643" s="5">
        <f t="shared" si="40"/>
        <v>45761</v>
      </c>
      <c r="AH643" s="5" t="b">
        <f t="shared" ref="AH643:AI706" si="41">ISNUMBER(AF643)</f>
        <v>1</v>
      </c>
      <c r="AI643" s="5" t="b">
        <f t="shared" si="41"/>
        <v>1</v>
      </c>
      <c r="AJ643" t="str">
        <f t="shared" ref="AJ643:AJ706" si="42">IF(AG643&lt;AF643,"Invalid: Ship before Order","OK")</f>
        <v>OK</v>
      </c>
      <c r="AK643">
        <f t="shared" ref="AK643:AK706" si="43">DATEDIF(AF643, AG643, "D")</f>
        <v>5</v>
      </c>
    </row>
    <row r="644" spans="1:37">
      <c r="A644" t="s">
        <v>3039</v>
      </c>
      <c r="B644" t="s">
        <v>1950</v>
      </c>
      <c r="C644" t="s">
        <v>37</v>
      </c>
      <c r="D644" t="s">
        <v>3040</v>
      </c>
      <c r="E644" t="s">
        <v>53</v>
      </c>
      <c r="F644" t="s">
        <v>115</v>
      </c>
      <c r="G644" t="s">
        <v>42</v>
      </c>
      <c r="H644" t="s">
        <v>216</v>
      </c>
      <c r="I644" t="s">
        <v>217</v>
      </c>
      <c r="J644" t="s">
        <v>30</v>
      </c>
      <c r="K644" t="s">
        <v>3041</v>
      </c>
      <c r="L644" t="s">
        <v>3042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200</v>
      </c>
      <c r="U644" t="s">
        <v>125</v>
      </c>
      <c r="V644" s="1" t="s">
        <v>53</v>
      </c>
      <c r="W644" s="1" t="s">
        <v>115</v>
      </c>
      <c r="X644" s="1" t="s">
        <v>42</v>
      </c>
      <c r="Y644" s="1" t="s">
        <v>216</v>
      </c>
      <c r="Z644" s="1" t="s">
        <v>217</v>
      </c>
      <c r="AA644" s="1" t="s">
        <v>30</v>
      </c>
      <c r="AB644" s="1" t="s">
        <v>198</v>
      </c>
      <c r="AC644" s="1" t="s">
        <v>33</v>
      </c>
      <c r="AD644" s="1" t="s">
        <v>200</v>
      </c>
      <c r="AE644" s="1" t="s">
        <v>125</v>
      </c>
      <c r="AF644" s="5">
        <f t="shared" si="40"/>
        <v>45533</v>
      </c>
      <c r="AG644" s="5">
        <f t="shared" si="40"/>
        <v>45535</v>
      </c>
      <c r="AH644" s="5" t="b">
        <f t="shared" si="41"/>
        <v>1</v>
      </c>
      <c r="AI644" s="5" t="b">
        <f t="shared" si="41"/>
        <v>1</v>
      </c>
      <c r="AJ644" t="str">
        <f t="shared" si="42"/>
        <v>OK</v>
      </c>
      <c r="AK644">
        <f t="shared" si="43"/>
        <v>2</v>
      </c>
    </row>
    <row r="645" spans="1:37">
      <c r="A645" t="s">
        <v>3043</v>
      </c>
      <c r="B645" t="s">
        <v>3044</v>
      </c>
      <c r="C645" t="s">
        <v>3045</v>
      </c>
      <c r="D645" t="s">
        <v>1096</v>
      </c>
      <c r="E645" t="s">
        <v>162</v>
      </c>
      <c r="F645" t="s">
        <v>115</v>
      </c>
      <c r="G645" t="s">
        <v>27</v>
      </c>
      <c r="H645" t="s">
        <v>174</v>
      </c>
      <c r="I645" t="s">
        <v>175</v>
      </c>
      <c r="J645" t="s">
        <v>30</v>
      </c>
      <c r="K645" t="s">
        <v>109</v>
      </c>
      <c r="L645" t="s">
        <v>3046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200</v>
      </c>
      <c r="U645" t="s">
        <v>125</v>
      </c>
      <c r="V645" s="1" t="s">
        <v>162</v>
      </c>
      <c r="W645" s="1" t="s">
        <v>115</v>
      </c>
      <c r="X645" s="1" t="s">
        <v>27</v>
      </c>
      <c r="Y645" s="1" t="s">
        <v>174</v>
      </c>
      <c r="Z645" s="1" t="s">
        <v>175</v>
      </c>
      <c r="AA645" s="1" t="s">
        <v>30</v>
      </c>
      <c r="AB645" s="1" t="s">
        <v>109</v>
      </c>
      <c r="AC645" s="1" t="s">
        <v>67</v>
      </c>
      <c r="AD645" s="1" t="s">
        <v>200</v>
      </c>
      <c r="AE645" s="1" t="s">
        <v>125</v>
      </c>
      <c r="AF645" s="5">
        <f t="shared" si="40"/>
        <v>45414</v>
      </c>
      <c r="AG645" s="5">
        <f t="shared" si="40"/>
        <v>45335</v>
      </c>
      <c r="AH645" s="5" t="b">
        <f t="shared" si="41"/>
        <v>1</v>
      </c>
      <c r="AI645" s="5" t="b">
        <f t="shared" si="41"/>
        <v>1</v>
      </c>
      <c r="AJ645" t="str">
        <f t="shared" si="42"/>
        <v>Invalid: Ship before Order</v>
      </c>
      <c r="AK645" t="e">
        <f t="shared" si="43"/>
        <v>#NUM!</v>
      </c>
    </row>
    <row r="646" spans="1:37">
      <c r="A646" t="s">
        <v>3047</v>
      </c>
      <c r="B646" t="s">
        <v>2591</v>
      </c>
      <c r="C646" t="s">
        <v>3048</v>
      </c>
      <c r="D646" t="s">
        <v>3049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3050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  <c r="V646" s="1" t="s">
        <v>83</v>
      </c>
      <c r="W646" s="1" t="s">
        <v>26</v>
      </c>
      <c r="X646" s="1" t="s">
        <v>42</v>
      </c>
      <c r="Y646" s="1" t="s">
        <v>121</v>
      </c>
      <c r="Z646" s="1" t="s">
        <v>122</v>
      </c>
      <c r="AA646" s="1" t="s">
        <v>45</v>
      </c>
      <c r="AB646" s="1" t="s">
        <v>76</v>
      </c>
      <c r="AC646" s="1" t="s">
        <v>67</v>
      </c>
      <c r="AD646" s="1" t="s">
        <v>34</v>
      </c>
      <c r="AE646" s="1" t="s">
        <v>35</v>
      </c>
      <c r="AF646" s="5">
        <f t="shared" si="40"/>
        <v>45757</v>
      </c>
      <c r="AG646" s="5">
        <f t="shared" si="40"/>
        <v>45764</v>
      </c>
      <c r="AH646" s="5" t="b">
        <f t="shared" si="41"/>
        <v>1</v>
      </c>
      <c r="AI646" s="5" t="b">
        <f t="shared" si="41"/>
        <v>1</v>
      </c>
      <c r="AJ646" t="str">
        <f t="shared" si="42"/>
        <v>OK</v>
      </c>
      <c r="AK646">
        <f t="shared" si="43"/>
        <v>7</v>
      </c>
    </row>
    <row r="647" spans="1:37">
      <c r="A647" t="s">
        <v>3051</v>
      </c>
      <c r="B647" t="s">
        <v>3052</v>
      </c>
      <c r="C647" t="s">
        <v>2745</v>
      </c>
      <c r="D647" t="s">
        <v>3053</v>
      </c>
      <c r="E647" t="s">
        <v>366</v>
      </c>
      <c r="F647" t="s">
        <v>26</v>
      </c>
      <c r="G647" t="s">
        <v>42</v>
      </c>
      <c r="H647" t="s">
        <v>186</v>
      </c>
      <c r="I647" t="s">
        <v>187</v>
      </c>
      <c r="J647" t="s">
        <v>45</v>
      </c>
      <c r="K647" t="s">
        <v>76</v>
      </c>
      <c r="L647" t="s">
        <v>3054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  <c r="V647" s="1" t="s">
        <v>366</v>
      </c>
      <c r="W647" s="1" t="s">
        <v>26</v>
      </c>
      <c r="X647" s="1" t="s">
        <v>42</v>
      </c>
      <c r="Y647" s="1" t="s">
        <v>186</v>
      </c>
      <c r="Z647" s="1" t="s">
        <v>187</v>
      </c>
      <c r="AA647" s="1" t="s">
        <v>45</v>
      </c>
      <c r="AB647" s="1" t="s">
        <v>76</v>
      </c>
      <c r="AC647" s="1" t="s">
        <v>33</v>
      </c>
      <c r="AD647" s="1" t="s">
        <v>34</v>
      </c>
      <c r="AE647" s="1" t="s">
        <v>35</v>
      </c>
      <c r="AF647" s="5">
        <f t="shared" si="40"/>
        <v>45295</v>
      </c>
      <c r="AG647" s="5">
        <f t="shared" si="40"/>
        <v>45536</v>
      </c>
      <c r="AH647" s="5" t="b">
        <f t="shared" si="41"/>
        <v>1</v>
      </c>
      <c r="AI647" s="5" t="b">
        <f t="shared" si="41"/>
        <v>1</v>
      </c>
      <c r="AJ647" t="str">
        <f t="shared" si="42"/>
        <v>OK</v>
      </c>
      <c r="AK647">
        <f t="shared" si="43"/>
        <v>241</v>
      </c>
    </row>
    <row r="648" spans="1:37">
      <c r="A648" t="s">
        <v>3055</v>
      </c>
      <c r="B648" t="s">
        <v>3056</v>
      </c>
      <c r="C648" t="s">
        <v>3057</v>
      </c>
      <c r="D648" t="s">
        <v>3058</v>
      </c>
      <c r="E648" t="s">
        <v>83</v>
      </c>
      <c r="F648" t="s">
        <v>41</v>
      </c>
      <c r="G648" t="s">
        <v>42</v>
      </c>
      <c r="H648" t="s">
        <v>311</v>
      </c>
      <c r="I648" t="s">
        <v>312</v>
      </c>
      <c r="J648" t="s">
        <v>86</v>
      </c>
      <c r="K648" t="s">
        <v>382</v>
      </c>
      <c r="L648" t="s">
        <v>3059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  <c r="V648" s="1" t="s">
        <v>83</v>
      </c>
      <c r="W648" s="1" t="s">
        <v>41</v>
      </c>
      <c r="X648" s="1" t="s">
        <v>42</v>
      </c>
      <c r="Y648" s="1" t="s">
        <v>311</v>
      </c>
      <c r="Z648" s="1" t="s">
        <v>312</v>
      </c>
      <c r="AA648" s="1" t="s">
        <v>86</v>
      </c>
      <c r="AB648" s="1" t="s">
        <v>382</v>
      </c>
      <c r="AC648" s="1" t="s">
        <v>56</v>
      </c>
      <c r="AD648" s="1" t="s">
        <v>34</v>
      </c>
      <c r="AE648" s="1" t="s">
        <v>35</v>
      </c>
      <c r="AF648" s="5">
        <f t="shared" si="40"/>
        <v>45553</v>
      </c>
      <c r="AG648" s="5" t="e">
        <f t="shared" si="40"/>
        <v>#N/A</v>
      </c>
      <c r="AH648" s="5" t="b">
        <f t="shared" si="41"/>
        <v>1</v>
      </c>
      <c r="AI648" s="5" t="b">
        <f t="shared" si="41"/>
        <v>0</v>
      </c>
      <c r="AJ648" t="e">
        <f t="shared" si="42"/>
        <v>#N/A</v>
      </c>
      <c r="AK648" t="e">
        <f t="shared" si="43"/>
        <v>#N/A</v>
      </c>
    </row>
    <row r="649" spans="1:37">
      <c r="A649" t="s">
        <v>3060</v>
      </c>
      <c r="B649" t="s">
        <v>1329</v>
      </c>
      <c r="C649" t="s">
        <v>3061</v>
      </c>
      <c r="D649" t="s">
        <v>3062</v>
      </c>
      <c r="E649" t="s">
        <v>3063</v>
      </c>
      <c r="F649" t="s">
        <v>41</v>
      </c>
      <c r="G649" t="s">
        <v>27</v>
      </c>
      <c r="H649" t="s">
        <v>154</v>
      </c>
      <c r="I649" t="s">
        <v>155</v>
      </c>
      <c r="J649" t="s">
        <v>30</v>
      </c>
      <c r="K649" t="s">
        <v>54</v>
      </c>
      <c r="L649" t="s">
        <v>3064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  <c r="V649" s="1" t="s">
        <v>180</v>
      </c>
      <c r="W649" s="1" t="s">
        <v>41</v>
      </c>
      <c r="X649" s="1" t="s">
        <v>27</v>
      </c>
      <c r="Y649" s="1" t="s">
        <v>154</v>
      </c>
      <c r="Z649" s="1" t="s">
        <v>155</v>
      </c>
      <c r="AA649" s="1" t="s">
        <v>30</v>
      </c>
      <c r="AB649" s="1" t="s">
        <v>54</v>
      </c>
      <c r="AC649" s="1" t="s">
        <v>56</v>
      </c>
      <c r="AD649" s="1" t="s">
        <v>34</v>
      </c>
      <c r="AE649" s="1" t="s">
        <v>35</v>
      </c>
      <c r="AF649" s="5">
        <f t="shared" si="40"/>
        <v>45658</v>
      </c>
      <c r="AG649" s="5">
        <f t="shared" si="40"/>
        <v>45901</v>
      </c>
      <c r="AH649" s="5" t="b">
        <f t="shared" si="41"/>
        <v>1</v>
      </c>
      <c r="AI649" s="5" t="b">
        <f t="shared" si="41"/>
        <v>1</v>
      </c>
      <c r="AJ649" t="str">
        <f t="shared" si="42"/>
        <v>OK</v>
      </c>
      <c r="AK649">
        <f t="shared" si="43"/>
        <v>243</v>
      </c>
    </row>
    <row r="650" spans="1:37">
      <c r="A650" t="s">
        <v>3065</v>
      </c>
      <c r="B650" t="s">
        <v>3066</v>
      </c>
      <c r="C650" t="s">
        <v>358</v>
      </c>
      <c r="D650" t="s">
        <v>3067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3068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200</v>
      </c>
      <c r="U650" t="s">
        <v>125</v>
      </c>
      <c r="V650" s="1" t="s">
        <v>93</v>
      </c>
      <c r="W650" s="1" t="s">
        <v>41</v>
      </c>
      <c r="X650" s="1" t="s">
        <v>62</v>
      </c>
      <c r="Y650" s="1" t="s">
        <v>100</v>
      </c>
      <c r="Z650" s="1" t="s">
        <v>101</v>
      </c>
      <c r="AA650" s="1" t="s">
        <v>30</v>
      </c>
      <c r="AB650" s="1" t="s">
        <v>54</v>
      </c>
      <c r="AC650" s="1" t="s">
        <v>48</v>
      </c>
      <c r="AD650" s="1" t="s">
        <v>200</v>
      </c>
      <c r="AE650" s="1" t="s">
        <v>125</v>
      </c>
      <c r="AF650" s="5" t="e">
        <f t="shared" si="40"/>
        <v>#N/A</v>
      </c>
      <c r="AG650" s="5">
        <f t="shared" si="40"/>
        <v>45406</v>
      </c>
      <c r="AH650" s="5" t="b">
        <f t="shared" si="41"/>
        <v>0</v>
      </c>
      <c r="AI650" s="5" t="b">
        <f t="shared" si="41"/>
        <v>1</v>
      </c>
      <c r="AJ650" t="e">
        <f t="shared" si="42"/>
        <v>#N/A</v>
      </c>
      <c r="AK650" t="e">
        <f t="shared" si="43"/>
        <v>#N/A</v>
      </c>
    </row>
    <row r="651" spans="1:37">
      <c r="A651" t="s">
        <v>3069</v>
      </c>
      <c r="B651" t="s">
        <v>3070</v>
      </c>
      <c r="C651" t="s">
        <v>3071</v>
      </c>
      <c r="D651" t="s">
        <v>3072</v>
      </c>
      <c r="E651" t="s">
        <v>366</v>
      </c>
      <c r="F651" t="s">
        <v>41</v>
      </c>
      <c r="G651" t="s">
        <v>62</v>
      </c>
      <c r="H651" t="s">
        <v>242</v>
      </c>
      <c r="I651" t="s">
        <v>243</v>
      </c>
      <c r="J651" t="s">
        <v>86</v>
      </c>
      <c r="K651" t="s">
        <v>87</v>
      </c>
      <c r="L651" t="s">
        <v>3073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  <c r="V651" s="1" t="s">
        <v>366</v>
      </c>
      <c r="W651" s="1" t="s">
        <v>41</v>
      </c>
      <c r="X651" s="1" t="s">
        <v>62</v>
      </c>
      <c r="Y651" s="1" t="s">
        <v>242</v>
      </c>
      <c r="Z651" s="1" t="s">
        <v>243</v>
      </c>
      <c r="AA651" s="1" t="s">
        <v>86</v>
      </c>
      <c r="AB651" s="1" t="s">
        <v>87</v>
      </c>
      <c r="AC651" s="1" t="s">
        <v>67</v>
      </c>
      <c r="AD651" s="1" t="s">
        <v>34</v>
      </c>
      <c r="AE651" s="1" t="s">
        <v>35</v>
      </c>
      <c r="AF651" s="5">
        <f t="shared" si="40"/>
        <v>45880</v>
      </c>
      <c r="AG651" s="5" t="e">
        <f t="shared" si="40"/>
        <v>#N/A</v>
      </c>
      <c r="AH651" s="5" t="b">
        <f t="shared" si="41"/>
        <v>1</v>
      </c>
      <c r="AI651" s="5" t="b">
        <f t="shared" si="41"/>
        <v>0</v>
      </c>
      <c r="AJ651" t="e">
        <f t="shared" si="42"/>
        <v>#N/A</v>
      </c>
      <c r="AK651" t="e">
        <f t="shared" si="43"/>
        <v>#N/A</v>
      </c>
    </row>
    <row r="652" spans="1:37">
      <c r="A652" t="s">
        <v>3074</v>
      </c>
      <c r="B652" t="s">
        <v>3075</v>
      </c>
      <c r="C652" t="s">
        <v>3076</v>
      </c>
      <c r="D652" t="s">
        <v>547</v>
      </c>
      <c r="E652" t="s">
        <v>162</v>
      </c>
      <c r="F652" t="s">
        <v>115</v>
      </c>
      <c r="G652" t="s">
        <v>42</v>
      </c>
      <c r="H652" t="s">
        <v>186</v>
      </c>
      <c r="I652" t="s">
        <v>187</v>
      </c>
      <c r="J652" t="s">
        <v>86</v>
      </c>
      <c r="K652" t="s">
        <v>87</v>
      </c>
      <c r="L652" t="s">
        <v>3077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200</v>
      </c>
      <c r="U652" t="s">
        <v>125</v>
      </c>
      <c r="V652" s="1" t="s">
        <v>162</v>
      </c>
      <c r="W652" s="1" t="s">
        <v>115</v>
      </c>
      <c r="X652" s="1" t="s">
        <v>42</v>
      </c>
      <c r="Y652" s="1" t="s">
        <v>186</v>
      </c>
      <c r="Z652" s="1" t="s">
        <v>187</v>
      </c>
      <c r="AA652" s="1" t="s">
        <v>86</v>
      </c>
      <c r="AB652" s="1" t="s">
        <v>87</v>
      </c>
      <c r="AC652" s="1" t="s">
        <v>48</v>
      </c>
      <c r="AD652" s="1" t="s">
        <v>200</v>
      </c>
      <c r="AE652" s="1" t="s">
        <v>125</v>
      </c>
      <c r="AF652" s="5">
        <f t="shared" si="40"/>
        <v>45395</v>
      </c>
      <c r="AG652" s="5">
        <f t="shared" si="40"/>
        <v>45403</v>
      </c>
      <c r="AH652" s="5" t="b">
        <f t="shared" si="41"/>
        <v>1</v>
      </c>
      <c r="AI652" s="5" t="b">
        <f t="shared" si="41"/>
        <v>1</v>
      </c>
      <c r="AJ652" t="str">
        <f t="shared" si="42"/>
        <v>OK</v>
      </c>
      <c r="AK652">
        <f t="shared" si="43"/>
        <v>8</v>
      </c>
    </row>
    <row r="653" spans="1:37">
      <c r="A653" t="s">
        <v>3078</v>
      </c>
      <c r="B653" t="s">
        <v>1371</v>
      </c>
      <c r="C653" t="s">
        <v>3079</v>
      </c>
      <c r="D653" t="s">
        <v>3080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3081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  <c r="V653" s="1" t="s">
        <v>40</v>
      </c>
      <c r="W653" s="1" t="s">
        <v>41</v>
      </c>
      <c r="X653" s="1" t="s">
        <v>62</v>
      </c>
      <c r="Y653" s="1" t="s">
        <v>100</v>
      </c>
      <c r="Z653" s="1" t="s">
        <v>101</v>
      </c>
      <c r="AA653" s="1" t="s">
        <v>30</v>
      </c>
      <c r="AB653" s="1" t="s">
        <v>31</v>
      </c>
      <c r="AC653" s="1" t="s">
        <v>33</v>
      </c>
      <c r="AD653" s="1" t="s">
        <v>34</v>
      </c>
      <c r="AE653" s="1" t="s">
        <v>35</v>
      </c>
      <c r="AF653" s="5">
        <f t="shared" si="40"/>
        <v>45875</v>
      </c>
      <c r="AG653" s="5">
        <f t="shared" si="40"/>
        <v>45908</v>
      </c>
      <c r="AH653" s="5" t="b">
        <f t="shared" si="41"/>
        <v>1</v>
      </c>
      <c r="AI653" s="5" t="b">
        <f t="shared" si="41"/>
        <v>1</v>
      </c>
      <c r="AJ653" t="str">
        <f t="shared" si="42"/>
        <v>OK</v>
      </c>
      <c r="AK653">
        <f t="shared" si="43"/>
        <v>33</v>
      </c>
    </row>
    <row r="654" spans="1:37">
      <c r="A654" t="s">
        <v>3082</v>
      </c>
      <c r="B654" t="s">
        <v>3083</v>
      </c>
      <c r="C654" t="s">
        <v>3084</v>
      </c>
      <c r="D654" t="s">
        <v>2567</v>
      </c>
      <c r="E654" t="s">
        <v>168</v>
      </c>
      <c r="F654" t="s">
        <v>26</v>
      </c>
      <c r="G654" t="s">
        <v>27</v>
      </c>
      <c r="H654" t="s">
        <v>174</v>
      </c>
      <c r="I654" t="s">
        <v>175</v>
      </c>
      <c r="J654" t="s">
        <v>30</v>
      </c>
      <c r="K654" t="s">
        <v>198</v>
      </c>
      <c r="L654" t="s">
        <v>3085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  <c r="V654" s="1" t="s">
        <v>168</v>
      </c>
      <c r="W654" s="1" t="s">
        <v>26</v>
      </c>
      <c r="X654" s="1" t="s">
        <v>27</v>
      </c>
      <c r="Y654" s="1" t="s">
        <v>174</v>
      </c>
      <c r="Z654" s="1" t="s">
        <v>175</v>
      </c>
      <c r="AA654" s="1" t="s">
        <v>30</v>
      </c>
      <c r="AB654" s="1" t="s">
        <v>198</v>
      </c>
      <c r="AC654" s="1" t="s">
        <v>67</v>
      </c>
      <c r="AD654" s="1" t="s">
        <v>34</v>
      </c>
      <c r="AE654" s="1" t="s">
        <v>35</v>
      </c>
      <c r="AF654" s="5">
        <f t="shared" si="40"/>
        <v>45733</v>
      </c>
      <c r="AG654" s="5">
        <f t="shared" si="40"/>
        <v>45737</v>
      </c>
      <c r="AH654" s="5" t="b">
        <f t="shared" si="41"/>
        <v>1</v>
      </c>
      <c r="AI654" s="5" t="b">
        <f t="shared" si="41"/>
        <v>1</v>
      </c>
      <c r="AJ654" t="str">
        <f t="shared" si="42"/>
        <v>OK</v>
      </c>
      <c r="AK654">
        <f t="shared" si="43"/>
        <v>4</v>
      </c>
    </row>
    <row r="655" spans="1:37">
      <c r="A655" t="s">
        <v>3086</v>
      </c>
      <c r="B655" t="s">
        <v>3087</v>
      </c>
      <c r="C655" t="s">
        <v>3088</v>
      </c>
      <c r="D655" t="s">
        <v>3089</v>
      </c>
      <c r="E655" t="s">
        <v>142</v>
      </c>
      <c r="F655" t="s">
        <v>41</v>
      </c>
      <c r="G655" t="s">
        <v>62</v>
      </c>
      <c r="H655" t="s">
        <v>339</v>
      </c>
      <c r="I655" t="s">
        <v>340</v>
      </c>
      <c r="J655" t="s">
        <v>86</v>
      </c>
      <c r="K655" t="s">
        <v>94</v>
      </c>
      <c r="L655" t="s">
        <v>3090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  <c r="V655" s="1" t="s">
        <v>142</v>
      </c>
      <c r="W655" s="1" t="s">
        <v>41</v>
      </c>
      <c r="X655" s="1" t="s">
        <v>62</v>
      </c>
      <c r="Y655" s="1" t="s">
        <v>339</v>
      </c>
      <c r="Z655" s="1" t="s">
        <v>340</v>
      </c>
      <c r="AA655" s="1" t="s">
        <v>86</v>
      </c>
      <c r="AB655" s="1" t="s">
        <v>94</v>
      </c>
      <c r="AC655" s="1" t="s">
        <v>33</v>
      </c>
      <c r="AD655" s="1" t="s">
        <v>34</v>
      </c>
      <c r="AE655" s="1" t="s">
        <v>35</v>
      </c>
      <c r="AF655" s="5">
        <f t="shared" si="40"/>
        <v>45751</v>
      </c>
      <c r="AG655" s="5">
        <f t="shared" si="40"/>
        <v>45754</v>
      </c>
      <c r="AH655" s="5" t="b">
        <f t="shared" si="41"/>
        <v>1</v>
      </c>
      <c r="AI655" s="5" t="b">
        <f t="shared" si="41"/>
        <v>1</v>
      </c>
      <c r="AJ655" t="str">
        <f t="shared" si="42"/>
        <v>OK</v>
      </c>
      <c r="AK655">
        <f t="shared" si="43"/>
        <v>3</v>
      </c>
    </row>
    <row r="656" spans="1:37">
      <c r="A656" t="s">
        <v>3091</v>
      </c>
      <c r="B656" t="s">
        <v>3092</v>
      </c>
      <c r="C656" t="s">
        <v>140</v>
      </c>
      <c r="D656" t="s">
        <v>1416</v>
      </c>
      <c r="E656" t="s">
        <v>210</v>
      </c>
      <c r="F656" t="s">
        <v>108</v>
      </c>
      <c r="G656" t="s">
        <v>42</v>
      </c>
      <c r="H656" t="s">
        <v>186</v>
      </c>
      <c r="I656" t="s">
        <v>187</v>
      </c>
      <c r="J656" t="s">
        <v>86</v>
      </c>
      <c r="K656" t="s">
        <v>382</v>
      </c>
      <c r="L656" t="s">
        <v>3093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  <c r="V656" s="1" t="s">
        <v>210</v>
      </c>
      <c r="W656" s="1" t="s">
        <v>108</v>
      </c>
      <c r="X656" s="1" t="s">
        <v>42</v>
      </c>
      <c r="Y656" s="1" t="s">
        <v>186</v>
      </c>
      <c r="Z656" s="1" t="s">
        <v>187</v>
      </c>
      <c r="AA656" s="1" t="s">
        <v>86</v>
      </c>
      <c r="AB656" s="1" t="s">
        <v>382</v>
      </c>
      <c r="AC656" s="1" t="s">
        <v>48</v>
      </c>
      <c r="AD656" s="1" t="s">
        <v>34</v>
      </c>
      <c r="AE656" s="1" t="s">
        <v>35</v>
      </c>
      <c r="AF656" s="5">
        <f t="shared" si="40"/>
        <v>45942</v>
      </c>
      <c r="AG656" s="5" t="e">
        <f t="shared" si="40"/>
        <v>#N/A</v>
      </c>
      <c r="AH656" s="5" t="b">
        <f t="shared" si="41"/>
        <v>1</v>
      </c>
      <c r="AI656" s="5" t="b">
        <f t="shared" si="41"/>
        <v>0</v>
      </c>
      <c r="AJ656" t="e">
        <f t="shared" si="42"/>
        <v>#N/A</v>
      </c>
      <c r="AK656" t="e">
        <f t="shared" si="43"/>
        <v>#N/A</v>
      </c>
    </row>
    <row r="657" spans="1:37">
      <c r="A657" t="s">
        <v>3094</v>
      </c>
      <c r="B657" t="s">
        <v>699</v>
      </c>
      <c r="C657" t="s">
        <v>699</v>
      </c>
      <c r="D657" t="s">
        <v>3095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3096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  <c r="V657" s="1" t="s">
        <v>93</v>
      </c>
      <c r="W657" s="1" t="s">
        <v>115</v>
      </c>
      <c r="X657" s="1" t="s">
        <v>42</v>
      </c>
      <c r="Y657" s="1" t="s">
        <v>121</v>
      </c>
      <c r="Z657" s="1" t="s">
        <v>122</v>
      </c>
      <c r="AA657" s="1" t="s">
        <v>45</v>
      </c>
      <c r="AB657" s="1" t="s">
        <v>65</v>
      </c>
      <c r="AC657" s="1" t="s">
        <v>67</v>
      </c>
      <c r="AD657" s="1" t="s">
        <v>34</v>
      </c>
      <c r="AE657" s="1" t="s">
        <v>35</v>
      </c>
      <c r="AF657" s="5">
        <f t="shared" si="40"/>
        <v>45895</v>
      </c>
      <c r="AG657" s="5">
        <f t="shared" si="40"/>
        <v>45895</v>
      </c>
      <c r="AH657" s="5" t="b">
        <f t="shared" si="41"/>
        <v>1</v>
      </c>
      <c r="AI657" s="5" t="b">
        <f t="shared" si="41"/>
        <v>1</v>
      </c>
      <c r="AJ657" t="str">
        <f t="shared" si="42"/>
        <v>OK</v>
      </c>
      <c r="AK657">
        <f t="shared" si="43"/>
        <v>0</v>
      </c>
    </row>
    <row r="658" spans="1:37">
      <c r="A658" t="s">
        <v>3097</v>
      </c>
      <c r="B658" t="s">
        <v>3098</v>
      </c>
      <c r="C658" t="s">
        <v>2329</v>
      </c>
      <c r="D658" t="s">
        <v>3099</v>
      </c>
      <c r="E658" t="s">
        <v>93</v>
      </c>
      <c r="F658" t="s">
        <v>41</v>
      </c>
      <c r="G658" t="s">
        <v>27</v>
      </c>
      <c r="H658" t="s">
        <v>323</v>
      </c>
      <c r="I658" t="s">
        <v>324</v>
      </c>
      <c r="J658" t="s">
        <v>86</v>
      </c>
      <c r="K658" t="s">
        <v>382</v>
      </c>
      <c r="L658" t="s">
        <v>3100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  <c r="V658" s="1" t="s">
        <v>93</v>
      </c>
      <c r="W658" s="1" t="s">
        <v>41</v>
      </c>
      <c r="X658" s="1" t="s">
        <v>27</v>
      </c>
      <c r="Y658" s="1" t="s">
        <v>323</v>
      </c>
      <c r="Z658" s="1" t="s">
        <v>324</v>
      </c>
      <c r="AA658" s="1" t="s">
        <v>86</v>
      </c>
      <c r="AB658" s="1" t="s">
        <v>382</v>
      </c>
      <c r="AC658" s="1" t="s">
        <v>48</v>
      </c>
      <c r="AD658" s="1" t="s">
        <v>34</v>
      </c>
      <c r="AE658" s="1" t="s">
        <v>35</v>
      </c>
      <c r="AF658" s="5">
        <f t="shared" si="40"/>
        <v>45478</v>
      </c>
      <c r="AG658" s="5">
        <f t="shared" si="40"/>
        <v>45426</v>
      </c>
      <c r="AH658" s="5" t="b">
        <f t="shared" si="41"/>
        <v>1</v>
      </c>
      <c r="AI658" s="5" t="b">
        <f t="shared" si="41"/>
        <v>1</v>
      </c>
      <c r="AJ658" t="str">
        <f t="shared" si="42"/>
        <v>Invalid: Ship before Order</v>
      </c>
      <c r="AK658" t="e">
        <f t="shared" si="43"/>
        <v>#NUM!</v>
      </c>
    </row>
    <row r="659" spans="1:37">
      <c r="A659" t="s">
        <v>3101</v>
      </c>
      <c r="B659" t="s">
        <v>3102</v>
      </c>
      <c r="C659" t="s">
        <v>3103</v>
      </c>
      <c r="D659" t="s">
        <v>3104</v>
      </c>
      <c r="E659" t="s">
        <v>107</v>
      </c>
      <c r="F659" t="s">
        <v>115</v>
      </c>
      <c r="G659" t="s">
        <v>42</v>
      </c>
      <c r="H659" t="s">
        <v>186</v>
      </c>
      <c r="I659" t="s">
        <v>187</v>
      </c>
      <c r="J659" t="s">
        <v>30</v>
      </c>
      <c r="K659" t="s">
        <v>156</v>
      </c>
      <c r="L659" t="s">
        <v>3105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  <c r="V659" s="1" t="s">
        <v>107</v>
      </c>
      <c r="W659" s="1" t="s">
        <v>115</v>
      </c>
      <c r="X659" s="1" t="s">
        <v>42</v>
      </c>
      <c r="Y659" s="1" t="s">
        <v>186</v>
      </c>
      <c r="Z659" s="1" t="s">
        <v>187</v>
      </c>
      <c r="AA659" s="1" t="s">
        <v>30</v>
      </c>
      <c r="AB659" s="1" t="s">
        <v>156</v>
      </c>
      <c r="AC659" s="1" t="s">
        <v>33</v>
      </c>
      <c r="AD659" s="1" t="s">
        <v>34</v>
      </c>
      <c r="AE659" s="1" t="s">
        <v>35</v>
      </c>
      <c r="AF659" s="5">
        <f t="shared" si="40"/>
        <v>45876</v>
      </c>
      <c r="AG659" s="5">
        <f t="shared" si="40"/>
        <v>45879</v>
      </c>
      <c r="AH659" s="5" t="b">
        <f t="shared" si="41"/>
        <v>1</v>
      </c>
      <c r="AI659" s="5" t="b">
        <f t="shared" si="41"/>
        <v>1</v>
      </c>
      <c r="AJ659" t="str">
        <f t="shared" si="42"/>
        <v>OK</v>
      </c>
      <c r="AK659">
        <f t="shared" si="43"/>
        <v>3</v>
      </c>
    </row>
    <row r="660" spans="1:37">
      <c r="A660" t="s">
        <v>3106</v>
      </c>
      <c r="B660" t="s">
        <v>3107</v>
      </c>
      <c r="C660" t="s">
        <v>2213</v>
      </c>
      <c r="D660" t="s">
        <v>3108</v>
      </c>
      <c r="E660" t="s">
        <v>168</v>
      </c>
      <c r="F660" t="s">
        <v>26</v>
      </c>
      <c r="H660" t="s">
        <v>186</v>
      </c>
      <c r="I660" t="s">
        <v>187</v>
      </c>
      <c r="J660" t="s">
        <v>30</v>
      </c>
      <c r="K660" t="s">
        <v>54</v>
      </c>
      <c r="L660" t="s">
        <v>3109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  <c r="V660" s="1" t="s">
        <v>168</v>
      </c>
      <c r="W660" s="1" t="s">
        <v>26</v>
      </c>
      <c r="X660" s="1" t="s">
        <v>4119</v>
      </c>
      <c r="Y660" s="1" t="s">
        <v>186</v>
      </c>
      <c r="Z660" s="1" t="s">
        <v>187</v>
      </c>
      <c r="AA660" s="1" t="s">
        <v>30</v>
      </c>
      <c r="AB660" s="1" t="s">
        <v>54</v>
      </c>
      <c r="AC660" s="1" t="s">
        <v>56</v>
      </c>
      <c r="AD660" s="1" t="s">
        <v>124</v>
      </c>
      <c r="AE660" s="1" t="s">
        <v>78</v>
      </c>
      <c r="AF660" s="5">
        <f t="shared" si="40"/>
        <v>45817</v>
      </c>
      <c r="AG660" s="5">
        <f t="shared" si="40"/>
        <v>45820</v>
      </c>
      <c r="AH660" s="5" t="b">
        <f t="shared" si="41"/>
        <v>1</v>
      </c>
      <c r="AI660" s="5" t="b">
        <f t="shared" si="41"/>
        <v>1</v>
      </c>
      <c r="AJ660" t="str">
        <f t="shared" si="42"/>
        <v>OK</v>
      </c>
      <c r="AK660">
        <f t="shared" si="43"/>
        <v>3</v>
      </c>
    </row>
    <row r="661" spans="1:37">
      <c r="A661" t="s">
        <v>3110</v>
      </c>
      <c r="B661" t="s">
        <v>183</v>
      </c>
      <c r="C661" t="s">
        <v>1837</v>
      </c>
      <c r="D661" t="s">
        <v>3111</v>
      </c>
      <c r="E661" t="s">
        <v>210</v>
      </c>
      <c r="F661" t="s">
        <v>108</v>
      </c>
      <c r="G661" t="s">
        <v>62</v>
      </c>
      <c r="H661" t="s">
        <v>229</v>
      </c>
      <c r="I661" t="s">
        <v>230</v>
      </c>
      <c r="J661" t="s">
        <v>86</v>
      </c>
      <c r="K661" t="s">
        <v>223</v>
      </c>
      <c r="L661" t="s">
        <v>3112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  <c r="V661" s="1" t="s">
        <v>210</v>
      </c>
      <c r="W661" s="1" t="s">
        <v>108</v>
      </c>
      <c r="X661" s="1" t="s">
        <v>62</v>
      </c>
      <c r="Y661" s="1" t="s">
        <v>229</v>
      </c>
      <c r="Z661" s="1" t="s">
        <v>230</v>
      </c>
      <c r="AA661" s="1" t="s">
        <v>86</v>
      </c>
      <c r="AB661" s="1" t="s">
        <v>223</v>
      </c>
      <c r="AC661" s="1" t="s">
        <v>33</v>
      </c>
      <c r="AD661" s="1" t="s">
        <v>124</v>
      </c>
      <c r="AE661" s="1" t="s">
        <v>78</v>
      </c>
      <c r="AF661" s="5" t="e">
        <f t="shared" si="40"/>
        <v>#N/A</v>
      </c>
      <c r="AG661" s="5">
        <f t="shared" si="40"/>
        <v>45679</v>
      </c>
      <c r="AH661" s="5" t="b">
        <f t="shared" si="41"/>
        <v>0</v>
      </c>
      <c r="AI661" s="5" t="b">
        <f t="shared" si="41"/>
        <v>1</v>
      </c>
      <c r="AJ661" t="e">
        <f t="shared" si="42"/>
        <v>#N/A</v>
      </c>
      <c r="AK661" t="e">
        <f t="shared" si="43"/>
        <v>#N/A</v>
      </c>
    </row>
    <row r="662" spans="1:37">
      <c r="A662" t="s">
        <v>3113</v>
      </c>
      <c r="B662" t="s">
        <v>171</v>
      </c>
      <c r="C662" t="s">
        <v>3114</v>
      </c>
      <c r="D662" t="s">
        <v>3115</v>
      </c>
      <c r="E662" t="s">
        <v>61</v>
      </c>
      <c r="F662" t="s">
        <v>41</v>
      </c>
      <c r="G662" t="s">
        <v>42</v>
      </c>
      <c r="H662" t="s">
        <v>311</v>
      </c>
      <c r="I662" t="s">
        <v>312</v>
      </c>
      <c r="J662" t="s">
        <v>86</v>
      </c>
      <c r="K662" t="s">
        <v>223</v>
      </c>
      <c r="L662" t="s">
        <v>3116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  <c r="V662" s="1" t="s">
        <v>61</v>
      </c>
      <c r="W662" s="1" t="s">
        <v>41</v>
      </c>
      <c r="X662" s="1" t="s">
        <v>42</v>
      </c>
      <c r="Y662" s="1" t="s">
        <v>311</v>
      </c>
      <c r="Z662" s="1" t="s">
        <v>312</v>
      </c>
      <c r="AA662" s="1" t="s">
        <v>86</v>
      </c>
      <c r="AB662" s="1" t="s">
        <v>223</v>
      </c>
      <c r="AC662" s="1" t="s">
        <v>48</v>
      </c>
      <c r="AD662" s="1" t="s">
        <v>34</v>
      </c>
      <c r="AE662" s="1" t="s">
        <v>35</v>
      </c>
      <c r="AF662" s="5">
        <f t="shared" si="40"/>
        <v>45853</v>
      </c>
      <c r="AG662" s="5" t="e">
        <f t="shared" si="40"/>
        <v>#N/A</v>
      </c>
      <c r="AH662" s="5" t="b">
        <f t="shared" si="41"/>
        <v>1</v>
      </c>
      <c r="AI662" s="5" t="b">
        <f t="shared" si="41"/>
        <v>0</v>
      </c>
      <c r="AJ662" t="e">
        <f t="shared" si="42"/>
        <v>#N/A</v>
      </c>
      <c r="AK662" t="e">
        <f t="shared" si="43"/>
        <v>#N/A</v>
      </c>
    </row>
    <row r="663" spans="1:37">
      <c r="A663" t="s">
        <v>3117</v>
      </c>
      <c r="B663" t="s">
        <v>3118</v>
      </c>
      <c r="C663" t="s">
        <v>3119</v>
      </c>
      <c r="D663" t="s">
        <v>3120</v>
      </c>
      <c r="E663" t="s">
        <v>168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382</v>
      </c>
      <c r="L663" t="s">
        <v>3121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  <c r="V663" s="1" t="s">
        <v>168</v>
      </c>
      <c r="W663" s="1" t="s">
        <v>26</v>
      </c>
      <c r="X663" s="1" t="s">
        <v>62</v>
      </c>
      <c r="Y663" s="1" t="s">
        <v>100</v>
      </c>
      <c r="Z663" s="1" t="s">
        <v>101</v>
      </c>
      <c r="AA663" s="1" t="s">
        <v>86</v>
      </c>
      <c r="AB663" s="1" t="s">
        <v>382</v>
      </c>
      <c r="AC663" s="1" t="s">
        <v>33</v>
      </c>
      <c r="AD663" s="1" t="s">
        <v>34</v>
      </c>
      <c r="AE663" s="1" t="s">
        <v>35</v>
      </c>
      <c r="AF663" s="5" t="e">
        <f t="shared" si="40"/>
        <v>#N/A</v>
      </c>
      <c r="AG663" s="5">
        <f t="shared" si="40"/>
        <v>45434</v>
      </c>
      <c r="AH663" s="5" t="b">
        <f t="shared" si="41"/>
        <v>0</v>
      </c>
      <c r="AI663" s="5" t="b">
        <f t="shared" si="41"/>
        <v>1</v>
      </c>
      <c r="AJ663" t="e">
        <f t="shared" si="42"/>
        <v>#N/A</v>
      </c>
      <c r="AK663" t="e">
        <f t="shared" si="43"/>
        <v>#N/A</v>
      </c>
    </row>
    <row r="664" spans="1:37">
      <c r="A664" t="s">
        <v>3122</v>
      </c>
      <c r="B664" t="s">
        <v>3123</v>
      </c>
      <c r="C664" t="s">
        <v>3124</v>
      </c>
      <c r="D664" t="s">
        <v>3125</v>
      </c>
      <c r="E664" t="s">
        <v>40</v>
      </c>
      <c r="F664" t="s">
        <v>115</v>
      </c>
      <c r="G664" t="s">
        <v>73</v>
      </c>
      <c r="H664" t="s">
        <v>28</v>
      </c>
      <c r="I664" t="s">
        <v>135</v>
      </c>
      <c r="J664" t="s">
        <v>86</v>
      </c>
      <c r="K664" t="s">
        <v>382</v>
      </c>
      <c r="L664" t="s">
        <v>3126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  <c r="V664" s="1" t="s">
        <v>40</v>
      </c>
      <c r="W664" s="1" t="s">
        <v>115</v>
      </c>
      <c r="X664" s="1" t="s">
        <v>73</v>
      </c>
      <c r="Y664" s="1" t="s">
        <v>28</v>
      </c>
      <c r="Z664" s="1" t="s">
        <v>135</v>
      </c>
      <c r="AA664" s="1" t="s">
        <v>86</v>
      </c>
      <c r="AB664" s="1" t="s">
        <v>382</v>
      </c>
      <c r="AC664" s="1" t="s">
        <v>48</v>
      </c>
      <c r="AD664" s="1" t="s">
        <v>34</v>
      </c>
      <c r="AE664" s="1" t="s">
        <v>35</v>
      </c>
      <c r="AF664" s="5">
        <f t="shared" si="40"/>
        <v>45305</v>
      </c>
      <c r="AG664" s="5" t="e">
        <f t="shared" si="40"/>
        <v>#N/A</v>
      </c>
      <c r="AH664" s="5" t="b">
        <f t="shared" si="41"/>
        <v>1</v>
      </c>
      <c r="AI664" s="5" t="b">
        <f t="shared" si="41"/>
        <v>0</v>
      </c>
      <c r="AJ664" t="e">
        <f t="shared" si="42"/>
        <v>#N/A</v>
      </c>
      <c r="AK664" t="e">
        <f t="shared" si="43"/>
        <v>#N/A</v>
      </c>
    </row>
    <row r="665" spans="1:37">
      <c r="A665" t="s">
        <v>3127</v>
      </c>
      <c r="B665" t="s">
        <v>1225</v>
      </c>
      <c r="C665" t="s">
        <v>2682</v>
      </c>
      <c r="D665" t="s">
        <v>3128</v>
      </c>
      <c r="E665" t="s">
        <v>148</v>
      </c>
      <c r="F665" t="s">
        <v>115</v>
      </c>
      <c r="G665" t="s">
        <v>42</v>
      </c>
      <c r="H665" t="s">
        <v>311</v>
      </c>
      <c r="I665" t="s">
        <v>312</v>
      </c>
      <c r="J665" t="s">
        <v>86</v>
      </c>
      <c r="K665" t="s">
        <v>94</v>
      </c>
      <c r="L665" t="s">
        <v>3129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  <c r="V665" s="1" t="s">
        <v>148</v>
      </c>
      <c r="W665" s="1" t="s">
        <v>115</v>
      </c>
      <c r="X665" s="1" t="s">
        <v>42</v>
      </c>
      <c r="Y665" s="1" t="s">
        <v>311</v>
      </c>
      <c r="Z665" s="1" t="s">
        <v>312</v>
      </c>
      <c r="AA665" s="1" t="s">
        <v>86</v>
      </c>
      <c r="AB665" s="1" t="s">
        <v>94</v>
      </c>
      <c r="AC665" s="1" t="s">
        <v>33</v>
      </c>
      <c r="AD665" s="1" t="s">
        <v>34</v>
      </c>
      <c r="AE665" s="1" t="s">
        <v>35</v>
      </c>
      <c r="AF665" s="5">
        <f t="shared" si="40"/>
        <v>45414</v>
      </c>
      <c r="AG665" s="5">
        <f t="shared" si="40"/>
        <v>45420</v>
      </c>
      <c r="AH665" s="5" t="b">
        <f t="shared" si="41"/>
        <v>1</v>
      </c>
      <c r="AI665" s="5" t="b">
        <f t="shared" si="41"/>
        <v>1</v>
      </c>
      <c r="AJ665" t="str">
        <f t="shared" si="42"/>
        <v>OK</v>
      </c>
      <c r="AK665">
        <f t="shared" si="43"/>
        <v>6</v>
      </c>
    </row>
    <row r="666" spans="1:37">
      <c r="A666" t="s">
        <v>3130</v>
      </c>
      <c r="B666" t="s">
        <v>3131</v>
      </c>
      <c r="C666" t="s">
        <v>3132</v>
      </c>
      <c r="D666" t="s">
        <v>3133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3134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  <c r="V666" s="1" t="s">
        <v>40</v>
      </c>
      <c r="W666" s="1" t="s">
        <v>115</v>
      </c>
      <c r="X666" s="1" t="s">
        <v>62</v>
      </c>
      <c r="Y666" s="1" t="s">
        <v>63</v>
      </c>
      <c r="Z666" s="1" t="s">
        <v>64</v>
      </c>
      <c r="AA666" s="1" t="s">
        <v>86</v>
      </c>
      <c r="AB666" s="1" t="s">
        <v>87</v>
      </c>
      <c r="AC666" s="1" t="s">
        <v>67</v>
      </c>
      <c r="AD666" s="1" t="s">
        <v>34</v>
      </c>
      <c r="AE666" s="1" t="s">
        <v>35</v>
      </c>
      <c r="AF666" s="5">
        <f t="shared" si="40"/>
        <v>45633</v>
      </c>
      <c r="AG666" s="5">
        <f t="shared" si="40"/>
        <v>45636</v>
      </c>
      <c r="AH666" s="5" t="b">
        <f t="shared" si="41"/>
        <v>1</v>
      </c>
      <c r="AI666" s="5" t="b">
        <f t="shared" si="41"/>
        <v>1</v>
      </c>
      <c r="AJ666" t="str">
        <f t="shared" si="42"/>
        <v>OK</v>
      </c>
      <c r="AK666">
        <f t="shared" si="43"/>
        <v>3</v>
      </c>
    </row>
    <row r="667" spans="1:37">
      <c r="A667" t="s">
        <v>3135</v>
      </c>
      <c r="B667" t="s">
        <v>3136</v>
      </c>
      <c r="C667" t="s">
        <v>3137</v>
      </c>
      <c r="D667" t="s">
        <v>3138</v>
      </c>
      <c r="E667" t="s">
        <v>148</v>
      </c>
      <c r="F667" t="s">
        <v>115</v>
      </c>
      <c r="G667" t="s">
        <v>73</v>
      </c>
      <c r="H667" t="s">
        <v>235</v>
      </c>
      <c r="I667" t="s">
        <v>236</v>
      </c>
      <c r="J667" t="s">
        <v>30</v>
      </c>
      <c r="K667" t="s">
        <v>54</v>
      </c>
      <c r="L667" t="s">
        <v>3139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200</v>
      </c>
      <c r="U667" t="s">
        <v>78</v>
      </c>
      <c r="V667" s="1" t="s">
        <v>148</v>
      </c>
      <c r="W667" s="1" t="s">
        <v>115</v>
      </c>
      <c r="X667" s="1" t="s">
        <v>73</v>
      </c>
      <c r="Y667" s="1" t="s">
        <v>235</v>
      </c>
      <c r="Z667" s="1" t="s">
        <v>236</v>
      </c>
      <c r="AA667" s="1" t="s">
        <v>30</v>
      </c>
      <c r="AB667" s="1" t="s">
        <v>54</v>
      </c>
      <c r="AC667" s="1" t="s">
        <v>67</v>
      </c>
      <c r="AD667" s="1" t="s">
        <v>200</v>
      </c>
      <c r="AE667" s="1" t="s">
        <v>78</v>
      </c>
      <c r="AF667" s="5">
        <f t="shared" si="40"/>
        <v>45670</v>
      </c>
      <c r="AG667" s="5">
        <f t="shared" si="40"/>
        <v>45670</v>
      </c>
      <c r="AH667" s="5" t="b">
        <f t="shared" si="41"/>
        <v>1</v>
      </c>
      <c r="AI667" s="5" t="b">
        <f t="shared" si="41"/>
        <v>1</v>
      </c>
      <c r="AJ667" t="str">
        <f t="shared" si="42"/>
        <v>OK</v>
      </c>
      <c r="AK667">
        <f t="shared" si="43"/>
        <v>0</v>
      </c>
    </row>
    <row r="668" spans="1:37">
      <c r="A668" t="s">
        <v>3140</v>
      </c>
      <c r="B668" t="s">
        <v>2152</v>
      </c>
      <c r="C668" t="s">
        <v>2094</v>
      </c>
      <c r="D668" t="s">
        <v>3141</v>
      </c>
      <c r="E668" t="s">
        <v>180</v>
      </c>
      <c r="F668" t="s">
        <v>41</v>
      </c>
      <c r="G668" t="s">
        <v>27</v>
      </c>
      <c r="H668" t="s">
        <v>154</v>
      </c>
      <c r="I668" t="s">
        <v>155</v>
      </c>
      <c r="J668" t="s">
        <v>86</v>
      </c>
      <c r="K668" t="s">
        <v>94</v>
      </c>
      <c r="L668" t="s">
        <v>3142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  <c r="V668" s="1" t="s">
        <v>180</v>
      </c>
      <c r="W668" s="1" t="s">
        <v>41</v>
      </c>
      <c r="X668" s="1" t="s">
        <v>27</v>
      </c>
      <c r="Y668" s="1" t="s">
        <v>154</v>
      </c>
      <c r="Z668" s="1" t="s">
        <v>155</v>
      </c>
      <c r="AA668" s="1" t="s">
        <v>86</v>
      </c>
      <c r="AB668" s="1" t="s">
        <v>94</v>
      </c>
      <c r="AC668" s="1" t="s">
        <v>48</v>
      </c>
      <c r="AD668" s="1" t="s">
        <v>34</v>
      </c>
      <c r="AE668" s="1" t="s">
        <v>35</v>
      </c>
      <c r="AF668" s="5">
        <f t="shared" si="40"/>
        <v>45464</v>
      </c>
      <c r="AG668" s="5">
        <f t="shared" si="40"/>
        <v>45469</v>
      </c>
      <c r="AH668" s="5" t="b">
        <f t="shared" si="41"/>
        <v>1</v>
      </c>
      <c r="AI668" s="5" t="b">
        <f t="shared" si="41"/>
        <v>1</v>
      </c>
      <c r="AJ668" t="str">
        <f t="shared" si="42"/>
        <v>OK</v>
      </c>
      <c r="AK668">
        <f t="shared" si="43"/>
        <v>5</v>
      </c>
    </row>
    <row r="669" spans="1:37">
      <c r="A669" t="s">
        <v>3143</v>
      </c>
      <c r="B669" t="s">
        <v>3144</v>
      </c>
      <c r="C669" t="s">
        <v>3145</v>
      </c>
      <c r="D669" t="s">
        <v>3146</v>
      </c>
      <c r="E669" t="s">
        <v>210</v>
      </c>
      <c r="F669" t="s">
        <v>41</v>
      </c>
      <c r="G669" t="s">
        <v>42</v>
      </c>
      <c r="H669" t="s">
        <v>186</v>
      </c>
      <c r="I669" t="s">
        <v>187</v>
      </c>
      <c r="J669" t="s">
        <v>86</v>
      </c>
      <c r="K669" t="s">
        <v>382</v>
      </c>
      <c r="L669" t="s">
        <v>3147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137</v>
      </c>
      <c r="U669" t="s">
        <v>125</v>
      </c>
      <c r="V669" s="1" t="s">
        <v>210</v>
      </c>
      <c r="W669" s="1" t="s">
        <v>41</v>
      </c>
      <c r="X669" s="1" t="s">
        <v>42</v>
      </c>
      <c r="Y669" s="1" t="s">
        <v>186</v>
      </c>
      <c r="Z669" s="1" t="s">
        <v>187</v>
      </c>
      <c r="AA669" s="1" t="s">
        <v>86</v>
      </c>
      <c r="AB669" s="1" t="s">
        <v>382</v>
      </c>
      <c r="AC669" s="1" t="s">
        <v>67</v>
      </c>
      <c r="AD669" s="1" t="s">
        <v>137</v>
      </c>
      <c r="AE669" s="1" t="s">
        <v>125</v>
      </c>
      <c r="AF669" s="5" t="e">
        <f t="shared" si="40"/>
        <v>#N/A</v>
      </c>
      <c r="AG669" s="5" t="e">
        <f t="shared" si="40"/>
        <v>#N/A</v>
      </c>
      <c r="AH669" s="5" t="b">
        <f t="shared" si="41"/>
        <v>0</v>
      </c>
      <c r="AI669" s="5" t="b">
        <f t="shared" si="41"/>
        <v>0</v>
      </c>
      <c r="AJ669" t="e">
        <f t="shared" si="42"/>
        <v>#N/A</v>
      </c>
      <c r="AK669" t="e">
        <f t="shared" si="43"/>
        <v>#N/A</v>
      </c>
    </row>
    <row r="670" spans="1:37">
      <c r="A670" t="s">
        <v>3148</v>
      </c>
      <c r="B670" t="s">
        <v>3149</v>
      </c>
      <c r="C670" t="s">
        <v>221</v>
      </c>
      <c r="D670" t="s">
        <v>3150</v>
      </c>
      <c r="E670" t="s">
        <v>40</v>
      </c>
      <c r="F670" t="s">
        <v>108</v>
      </c>
      <c r="G670" t="s">
        <v>73</v>
      </c>
      <c r="H670" t="s">
        <v>235</v>
      </c>
      <c r="I670" t="s">
        <v>236</v>
      </c>
      <c r="J670" t="s">
        <v>30</v>
      </c>
      <c r="K670" t="s">
        <v>31</v>
      </c>
      <c r="L670" t="s">
        <v>3151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  <c r="V670" s="1" t="s">
        <v>40</v>
      </c>
      <c r="W670" s="1" t="s">
        <v>108</v>
      </c>
      <c r="X670" s="1" t="s">
        <v>73</v>
      </c>
      <c r="Y670" s="1" t="s">
        <v>235</v>
      </c>
      <c r="Z670" s="1" t="s">
        <v>236</v>
      </c>
      <c r="AA670" s="1" t="s">
        <v>30</v>
      </c>
      <c r="AB670" s="1" t="s">
        <v>31</v>
      </c>
      <c r="AC670" s="1" t="s">
        <v>33</v>
      </c>
      <c r="AD670" s="1" t="s">
        <v>34</v>
      </c>
      <c r="AE670" s="1" t="s">
        <v>35</v>
      </c>
      <c r="AF670" s="5">
        <f t="shared" si="40"/>
        <v>45617</v>
      </c>
      <c r="AG670" s="5">
        <f t="shared" si="40"/>
        <v>45619</v>
      </c>
      <c r="AH670" s="5" t="b">
        <f t="shared" si="41"/>
        <v>1</v>
      </c>
      <c r="AI670" s="5" t="b">
        <f t="shared" si="41"/>
        <v>1</v>
      </c>
      <c r="AJ670" t="str">
        <f t="shared" si="42"/>
        <v>OK</v>
      </c>
      <c r="AK670">
        <f t="shared" si="43"/>
        <v>2</v>
      </c>
    </row>
    <row r="671" spans="1:37">
      <c r="A671" t="s">
        <v>3152</v>
      </c>
      <c r="B671" t="s">
        <v>3153</v>
      </c>
      <c r="C671" t="s">
        <v>3154</v>
      </c>
      <c r="D671" t="s">
        <v>3155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3156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  <c r="V671" s="1" t="s">
        <v>72</v>
      </c>
      <c r="W671" s="1" t="s">
        <v>115</v>
      </c>
      <c r="X671" s="1" t="s">
        <v>73</v>
      </c>
      <c r="Y671" s="1" t="s">
        <v>74</v>
      </c>
      <c r="Z671" s="1" t="s">
        <v>75</v>
      </c>
      <c r="AA671" s="1" t="s">
        <v>45</v>
      </c>
      <c r="AB671" s="1" t="s">
        <v>46</v>
      </c>
      <c r="AC671" s="1" t="s">
        <v>33</v>
      </c>
      <c r="AD671" s="1" t="s">
        <v>34</v>
      </c>
      <c r="AE671" s="1" t="s">
        <v>35</v>
      </c>
      <c r="AF671" s="5">
        <f t="shared" si="40"/>
        <v>45375</v>
      </c>
      <c r="AG671" s="5">
        <f t="shared" si="40"/>
        <v>45383</v>
      </c>
      <c r="AH671" s="5" t="b">
        <f t="shared" si="41"/>
        <v>1</v>
      </c>
      <c r="AI671" s="5" t="b">
        <f t="shared" si="41"/>
        <v>1</v>
      </c>
      <c r="AJ671" t="str">
        <f t="shared" si="42"/>
        <v>OK</v>
      </c>
      <c r="AK671">
        <f t="shared" si="43"/>
        <v>8</v>
      </c>
    </row>
    <row r="672" spans="1:37">
      <c r="A672" t="s">
        <v>3157</v>
      </c>
      <c r="B672" t="s">
        <v>3158</v>
      </c>
      <c r="C672" t="s">
        <v>2956</v>
      </c>
      <c r="D672" t="s">
        <v>2431</v>
      </c>
      <c r="E672" t="s">
        <v>168</v>
      </c>
      <c r="F672" t="s">
        <v>108</v>
      </c>
      <c r="G672" t="s">
        <v>27</v>
      </c>
      <c r="H672" t="s">
        <v>174</v>
      </c>
      <c r="I672" t="s">
        <v>175</v>
      </c>
      <c r="J672" t="s">
        <v>45</v>
      </c>
      <c r="K672" t="s">
        <v>46</v>
      </c>
      <c r="L672" t="s">
        <v>3159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  <c r="V672" s="1" t="s">
        <v>168</v>
      </c>
      <c r="W672" s="1" t="s">
        <v>108</v>
      </c>
      <c r="X672" s="1" t="s">
        <v>27</v>
      </c>
      <c r="Y672" s="1" t="s">
        <v>174</v>
      </c>
      <c r="Z672" s="1" t="s">
        <v>175</v>
      </c>
      <c r="AA672" s="1" t="s">
        <v>45</v>
      </c>
      <c r="AB672" s="1" t="s">
        <v>46</v>
      </c>
      <c r="AC672" s="1" t="s">
        <v>67</v>
      </c>
      <c r="AD672" s="1" t="s">
        <v>34</v>
      </c>
      <c r="AE672" s="1" t="s">
        <v>35</v>
      </c>
      <c r="AF672" s="5">
        <f t="shared" si="40"/>
        <v>45690</v>
      </c>
      <c r="AG672" s="5">
        <f t="shared" si="40"/>
        <v>45694</v>
      </c>
      <c r="AH672" s="5" t="b">
        <f t="shared" si="41"/>
        <v>1</v>
      </c>
      <c r="AI672" s="5" t="b">
        <f t="shared" si="41"/>
        <v>1</v>
      </c>
      <c r="AJ672" t="str">
        <f t="shared" si="42"/>
        <v>OK</v>
      </c>
      <c r="AK672">
        <f t="shared" si="43"/>
        <v>4</v>
      </c>
    </row>
    <row r="673" spans="1:37">
      <c r="A673" t="s">
        <v>3160</v>
      </c>
      <c r="B673" t="s">
        <v>3161</v>
      </c>
      <c r="C673" t="s">
        <v>3162</v>
      </c>
      <c r="D673" t="s">
        <v>3163</v>
      </c>
      <c r="E673" t="s">
        <v>107</v>
      </c>
      <c r="F673" t="s">
        <v>115</v>
      </c>
      <c r="G673" t="s">
        <v>73</v>
      </c>
      <c r="H673" t="s">
        <v>249</v>
      </c>
      <c r="I673" t="s">
        <v>250</v>
      </c>
      <c r="J673" t="s">
        <v>86</v>
      </c>
      <c r="K673" t="s">
        <v>3164</v>
      </c>
      <c r="L673" t="s">
        <v>3165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  <c r="V673" s="1" t="s">
        <v>107</v>
      </c>
      <c r="W673" s="1" t="s">
        <v>115</v>
      </c>
      <c r="X673" s="1" t="s">
        <v>73</v>
      </c>
      <c r="Y673" s="1" t="s">
        <v>249</v>
      </c>
      <c r="Z673" s="1" t="s">
        <v>250</v>
      </c>
      <c r="AA673" s="1" t="s">
        <v>86</v>
      </c>
      <c r="AB673" s="1" t="s">
        <v>94</v>
      </c>
      <c r="AC673" s="1" t="s">
        <v>33</v>
      </c>
      <c r="AD673" s="1" t="s">
        <v>34</v>
      </c>
      <c r="AE673" s="1" t="s">
        <v>35</v>
      </c>
      <c r="AF673" s="5">
        <f t="shared" si="40"/>
        <v>45373</v>
      </c>
      <c r="AG673" s="5" t="e">
        <f t="shared" si="40"/>
        <v>#N/A</v>
      </c>
      <c r="AH673" s="5" t="b">
        <f t="shared" si="41"/>
        <v>1</v>
      </c>
      <c r="AI673" s="5" t="b">
        <f t="shared" si="41"/>
        <v>0</v>
      </c>
      <c r="AJ673" t="e">
        <f t="shared" si="42"/>
        <v>#N/A</v>
      </c>
      <c r="AK673" t="e">
        <f t="shared" si="43"/>
        <v>#N/A</v>
      </c>
    </row>
    <row r="674" spans="1:37">
      <c r="A674" t="s">
        <v>3166</v>
      </c>
      <c r="B674" t="s">
        <v>3167</v>
      </c>
      <c r="C674" t="s">
        <v>3168</v>
      </c>
      <c r="D674" t="s">
        <v>3169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3170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  <c r="V674" s="1" t="s">
        <v>107</v>
      </c>
      <c r="W674" s="1" t="s">
        <v>108</v>
      </c>
      <c r="X674" s="1" t="s">
        <v>73</v>
      </c>
      <c r="Y674" s="1" t="s">
        <v>84</v>
      </c>
      <c r="Z674" s="1" t="s">
        <v>85</v>
      </c>
      <c r="AA674" s="1" t="s">
        <v>45</v>
      </c>
      <c r="AB674" s="1" t="s">
        <v>76</v>
      </c>
      <c r="AC674" s="1" t="s">
        <v>67</v>
      </c>
      <c r="AD674" s="1" t="s">
        <v>34</v>
      </c>
      <c r="AE674" s="1" t="s">
        <v>125</v>
      </c>
      <c r="AF674" s="5">
        <f t="shared" si="40"/>
        <v>45539</v>
      </c>
      <c r="AG674" s="5">
        <f t="shared" si="40"/>
        <v>45540</v>
      </c>
      <c r="AH674" s="5" t="b">
        <f t="shared" si="41"/>
        <v>1</v>
      </c>
      <c r="AI674" s="5" t="b">
        <f t="shared" si="41"/>
        <v>1</v>
      </c>
      <c r="AJ674" t="str">
        <f t="shared" si="42"/>
        <v>OK</v>
      </c>
      <c r="AK674">
        <f t="shared" si="43"/>
        <v>1</v>
      </c>
    </row>
    <row r="675" spans="1:37">
      <c r="A675" t="s">
        <v>3171</v>
      </c>
      <c r="B675" t="s">
        <v>2401</v>
      </c>
      <c r="C675" t="s">
        <v>3172</v>
      </c>
      <c r="D675" t="s">
        <v>3173</v>
      </c>
      <c r="E675" t="s">
        <v>61</v>
      </c>
      <c r="F675" t="s">
        <v>41</v>
      </c>
      <c r="G675" t="s">
        <v>73</v>
      </c>
      <c r="H675" t="s">
        <v>28</v>
      </c>
      <c r="I675" t="s">
        <v>135</v>
      </c>
      <c r="J675" t="s">
        <v>45</v>
      </c>
      <c r="K675" t="s">
        <v>204</v>
      </c>
      <c r="L675" t="s">
        <v>3174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  <c r="V675" s="1" t="s">
        <v>61</v>
      </c>
      <c r="W675" s="1" t="s">
        <v>41</v>
      </c>
      <c r="X675" s="1" t="s">
        <v>73</v>
      </c>
      <c r="Y675" s="1" t="s">
        <v>28</v>
      </c>
      <c r="Z675" s="1" t="s">
        <v>135</v>
      </c>
      <c r="AA675" s="1" t="s">
        <v>45</v>
      </c>
      <c r="AB675" s="1" t="s">
        <v>204</v>
      </c>
      <c r="AC675" s="1" t="s">
        <v>33</v>
      </c>
      <c r="AD675" s="1" t="s">
        <v>34</v>
      </c>
      <c r="AE675" s="1" t="s">
        <v>35</v>
      </c>
      <c r="AF675" s="5">
        <f t="shared" si="40"/>
        <v>45701</v>
      </c>
      <c r="AG675" s="5">
        <f t="shared" si="40"/>
        <v>45704</v>
      </c>
      <c r="AH675" s="5" t="b">
        <f t="shared" si="41"/>
        <v>1</v>
      </c>
      <c r="AI675" s="5" t="b">
        <f t="shared" si="41"/>
        <v>1</v>
      </c>
      <c r="AJ675" t="str">
        <f t="shared" si="42"/>
        <v>OK</v>
      </c>
      <c r="AK675">
        <f t="shared" si="43"/>
        <v>3</v>
      </c>
    </row>
    <row r="676" spans="1:37">
      <c r="A676" t="s">
        <v>3175</v>
      </c>
      <c r="B676" t="s">
        <v>3176</v>
      </c>
      <c r="C676" t="s">
        <v>3177</v>
      </c>
      <c r="D676" t="s">
        <v>3178</v>
      </c>
      <c r="E676" t="s">
        <v>83</v>
      </c>
      <c r="F676" t="s">
        <v>108</v>
      </c>
      <c r="G676" t="s">
        <v>42</v>
      </c>
      <c r="H676" t="s">
        <v>311</v>
      </c>
      <c r="I676" t="s">
        <v>312</v>
      </c>
      <c r="J676" t="s">
        <v>86</v>
      </c>
      <c r="K676" t="s">
        <v>87</v>
      </c>
      <c r="L676" t="s">
        <v>3179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137</v>
      </c>
      <c r="U676" t="s">
        <v>125</v>
      </c>
      <c r="V676" s="1" t="s">
        <v>83</v>
      </c>
      <c r="W676" s="1" t="s">
        <v>108</v>
      </c>
      <c r="X676" s="1" t="s">
        <v>42</v>
      </c>
      <c r="Y676" s="1" t="s">
        <v>311</v>
      </c>
      <c r="Z676" s="1" t="s">
        <v>312</v>
      </c>
      <c r="AA676" s="1" t="s">
        <v>86</v>
      </c>
      <c r="AB676" s="1" t="s">
        <v>87</v>
      </c>
      <c r="AC676" s="1" t="s">
        <v>33</v>
      </c>
      <c r="AD676" s="1" t="s">
        <v>137</v>
      </c>
      <c r="AE676" s="1" t="s">
        <v>125</v>
      </c>
      <c r="AF676" s="5">
        <f t="shared" si="40"/>
        <v>45430</v>
      </c>
      <c r="AG676" s="5">
        <f t="shared" si="40"/>
        <v>45433</v>
      </c>
      <c r="AH676" s="5" t="b">
        <f t="shared" si="41"/>
        <v>1</v>
      </c>
      <c r="AI676" s="5" t="b">
        <f t="shared" si="41"/>
        <v>1</v>
      </c>
      <c r="AJ676" t="str">
        <f t="shared" si="42"/>
        <v>OK</v>
      </c>
      <c r="AK676">
        <f t="shared" si="43"/>
        <v>3</v>
      </c>
    </row>
    <row r="677" spans="1:37">
      <c r="A677" t="s">
        <v>3180</v>
      </c>
      <c r="B677" t="s">
        <v>3181</v>
      </c>
      <c r="C677" t="s">
        <v>3182</v>
      </c>
      <c r="D677" t="s">
        <v>3033</v>
      </c>
      <c r="E677" t="s">
        <v>162</v>
      </c>
      <c r="F677" t="s">
        <v>26</v>
      </c>
      <c r="G677" t="s">
        <v>27</v>
      </c>
      <c r="H677" t="s">
        <v>28</v>
      </c>
      <c r="I677" t="s">
        <v>29</v>
      </c>
      <c r="J677" t="s">
        <v>45</v>
      </c>
      <c r="K677" t="s">
        <v>65</v>
      </c>
      <c r="L677" t="s">
        <v>3183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  <c r="V677" s="1" t="s">
        <v>162</v>
      </c>
      <c r="W677" s="1" t="s">
        <v>26</v>
      </c>
      <c r="X677" s="1" t="s">
        <v>27</v>
      </c>
      <c r="Y677" s="1" t="s">
        <v>28</v>
      </c>
      <c r="Z677" s="1" t="s">
        <v>29</v>
      </c>
      <c r="AA677" s="1" t="s">
        <v>45</v>
      </c>
      <c r="AB677" s="1" t="s">
        <v>65</v>
      </c>
      <c r="AC677" s="1" t="s">
        <v>48</v>
      </c>
      <c r="AD677" s="1" t="s">
        <v>34</v>
      </c>
      <c r="AE677" s="1" t="s">
        <v>35</v>
      </c>
      <c r="AF677" s="5">
        <f t="shared" si="40"/>
        <v>45844</v>
      </c>
      <c r="AG677" s="5">
        <f t="shared" si="40"/>
        <v>45818</v>
      </c>
      <c r="AH677" s="5" t="b">
        <f t="shared" si="41"/>
        <v>1</v>
      </c>
      <c r="AI677" s="5" t="b">
        <f t="shared" si="41"/>
        <v>1</v>
      </c>
      <c r="AJ677" t="str">
        <f t="shared" si="42"/>
        <v>Invalid: Ship before Order</v>
      </c>
      <c r="AK677" t="e">
        <f t="shared" si="43"/>
        <v>#NUM!</v>
      </c>
    </row>
    <row r="678" spans="1:37">
      <c r="A678" t="s">
        <v>3184</v>
      </c>
      <c r="B678" t="s">
        <v>3185</v>
      </c>
      <c r="C678" t="s">
        <v>3186</v>
      </c>
      <c r="D678" t="s">
        <v>3187</v>
      </c>
      <c r="E678" t="s">
        <v>148</v>
      </c>
      <c r="F678" t="s">
        <v>41</v>
      </c>
      <c r="G678" t="s">
        <v>27</v>
      </c>
      <c r="H678" t="s">
        <v>506</v>
      </c>
      <c r="I678" t="s">
        <v>507</v>
      </c>
      <c r="J678" t="s">
        <v>86</v>
      </c>
      <c r="K678" t="s">
        <v>223</v>
      </c>
      <c r="L678" t="s">
        <v>3188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  <c r="V678" s="1" t="s">
        <v>148</v>
      </c>
      <c r="W678" s="1" t="s">
        <v>41</v>
      </c>
      <c r="X678" s="1" t="s">
        <v>27</v>
      </c>
      <c r="Y678" s="1" t="s">
        <v>506</v>
      </c>
      <c r="Z678" s="1" t="s">
        <v>507</v>
      </c>
      <c r="AA678" s="1" t="s">
        <v>86</v>
      </c>
      <c r="AB678" s="1" t="s">
        <v>223</v>
      </c>
      <c r="AC678" s="1" t="s">
        <v>48</v>
      </c>
      <c r="AD678" s="1" t="s">
        <v>34</v>
      </c>
      <c r="AE678" s="1" t="s">
        <v>35</v>
      </c>
      <c r="AF678" s="5">
        <f t="shared" si="40"/>
        <v>45911</v>
      </c>
      <c r="AG678" s="5">
        <f t="shared" si="40"/>
        <v>45918</v>
      </c>
      <c r="AH678" s="5" t="b">
        <f t="shared" si="41"/>
        <v>1</v>
      </c>
      <c r="AI678" s="5" t="b">
        <f t="shared" si="41"/>
        <v>1</v>
      </c>
      <c r="AJ678" t="str">
        <f t="shared" si="42"/>
        <v>OK</v>
      </c>
      <c r="AK678">
        <f t="shared" si="43"/>
        <v>7</v>
      </c>
    </row>
    <row r="679" spans="1:37">
      <c r="A679" t="s">
        <v>3189</v>
      </c>
      <c r="B679" t="s">
        <v>3190</v>
      </c>
      <c r="C679" t="s">
        <v>3191</v>
      </c>
      <c r="D679" t="s">
        <v>24</v>
      </c>
      <c r="E679" t="s">
        <v>53</v>
      </c>
      <c r="F679" t="s">
        <v>115</v>
      </c>
      <c r="G679" t="s">
        <v>62</v>
      </c>
      <c r="H679" t="s">
        <v>229</v>
      </c>
      <c r="I679" t="s">
        <v>230</v>
      </c>
      <c r="J679" t="s">
        <v>45</v>
      </c>
      <c r="K679" t="s">
        <v>76</v>
      </c>
      <c r="L679" t="s">
        <v>3192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  <c r="V679" s="1" t="s">
        <v>53</v>
      </c>
      <c r="W679" s="1" t="s">
        <v>115</v>
      </c>
      <c r="X679" s="1" t="s">
        <v>62</v>
      </c>
      <c r="Y679" s="1" t="s">
        <v>229</v>
      </c>
      <c r="Z679" s="1" t="s">
        <v>230</v>
      </c>
      <c r="AA679" s="1" t="s">
        <v>45</v>
      </c>
      <c r="AB679" s="1" t="s">
        <v>76</v>
      </c>
      <c r="AC679" s="1" t="s">
        <v>48</v>
      </c>
      <c r="AD679" s="1" t="s">
        <v>34</v>
      </c>
      <c r="AE679" s="1" t="s">
        <v>35</v>
      </c>
      <c r="AF679" s="5">
        <f t="shared" si="40"/>
        <v>45465</v>
      </c>
      <c r="AG679" s="5" t="e">
        <f t="shared" si="40"/>
        <v>#N/A</v>
      </c>
      <c r="AH679" s="5" t="b">
        <f t="shared" si="41"/>
        <v>1</v>
      </c>
      <c r="AI679" s="5" t="b">
        <f t="shared" si="41"/>
        <v>0</v>
      </c>
      <c r="AJ679" t="e">
        <f t="shared" si="42"/>
        <v>#N/A</v>
      </c>
      <c r="AK679" t="e">
        <f t="shared" si="43"/>
        <v>#N/A</v>
      </c>
    </row>
    <row r="680" spans="1:37">
      <c r="A680" t="s">
        <v>3193</v>
      </c>
      <c r="B680" t="s">
        <v>3194</v>
      </c>
      <c r="C680" t="s">
        <v>3195</v>
      </c>
      <c r="D680" t="s">
        <v>3196</v>
      </c>
      <c r="E680" t="s">
        <v>366</v>
      </c>
      <c r="F680" t="s">
        <v>108</v>
      </c>
      <c r="G680" t="s">
        <v>62</v>
      </c>
      <c r="H680" t="s">
        <v>229</v>
      </c>
      <c r="I680" t="s">
        <v>230</v>
      </c>
      <c r="J680" t="s">
        <v>45</v>
      </c>
      <c r="K680" t="s">
        <v>46</v>
      </c>
      <c r="L680" t="s">
        <v>3197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  <c r="V680" s="1" t="s">
        <v>366</v>
      </c>
      <c r="W680" s="1" t="s">
        <v>108</v>
      </c>
      <c r="X680" s="1" t="s">
        <v>62</v>
      </c>
      <c r="Y680" s="1" t="s">
        <v>229</v>
      </c>
      <c r="Z680" s="1" t="s">
        <v>230</v>
      </c>
      <c r="AA680" s="1" t="s">
        <v>45</v>
      </c>
      <c r="AB680" s="1" t="s">
        <v>46</v>
      </c>
      <c r="AC680" s="1" t="s">
        <v>33</v>
      </c>
      <c r="AD680" s="1" t="s">
        <v>34</v>
      </c>
      <c r="AE680" s="1" t="s">
        <v>35</v>
      </c>
      <c r="AF680" s="5" t="e">
        <f t="shared" si="40"/>
        <v>#N/A</v>
      </c>
      <c r="AG680" s="5">
        <f t="shared" si="40"/>
        <v>45627</v>
      </c>
      <c r="AH680" s="5" t="b">
        <f t="shared" si="41"/>
        <v>0</v>
      </c>
      <c r="AI680" s="5" t="b">
        <f t="shared" si="41"/>
        <v>1</v>
      </c>
      <c r="AJ680" t="e">
        <f t="shared" si="42"/>
        <v>#N/A</v>
      </c>
      <c r="AK680" t="e">
        <f t="shared" si="43"/>
        <v>#N/A</v>
      </c>
    </row>
    <row r="681" spans="1:37">
      <c r="A681" t="s">
        <v>3198</v>
      </c>
      <c r="B681" t="s">
        <v>3199</v>
      </c>
      <c r="C681" t="s">
        <v>640</v>
      </c>
      <c r="D681" t="s">
        <v>3200</v>
      </c>
      <c r="E681" t="s">
        <v>180</v>
      </c>
      <c r="F681" t="s">
        <v>108</v>
      </c>
      <c r="G681" t="s">
        <v>27</v>
      </c>
      <c r="H681" t="s">
        <v>154</v>
      </c>
      <c r="I681" t="s">
        <v>155</v>
      </c>
      <c r="J681" t="s">
        <v>86</v>
      </c>
      <c r="K681" t="s">
        <v>94</v>
      </c>
      <c r="L681" t="s">
        <v>3201</v>
      </c>
      <c r="M681" t="s">
        <v>48</v>
      </c>
      <c r="N681">
        <v>4</v>
      </c>
      <c r="O681">
        <v>1410.57</v>
      </c>
      <c r="P681" t="s">
        <v>681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  <c r="V681" s="1" t="s">
        <v>180</v>
      </c>
      <c r="W681" s="1" t="s">
        <v>108</v>
      </c>
      <c r="X681" s="1" t="s">
        <v>27</v>
      </c>
      <c r="Y681" s="1" t="s">
        <v>154</v>
      </c>
      <c r="Z681" s="1" t="s">
        <v>155</v>
      </c>
      <c r="AA681" s="1" t="s">
        <v>86</v>
      </c>
      <c r="AB681" s="1" t="s">
        <v>94</v>
      </c>
      <c r="AC681" s="1" t="s">
        <v>48</v>
      </c>
      <c r="AD681" s="1" t="s">
        <v>124</v>
      </c>
      <c r="AE681" s="1" t="s">
        <v>78</v>
      </c>
      <c r="AF681" s="5" t="e">
        <f t="shared" si="40"/>
        <v>#N/A</v>
      </c>
      <c r="AG681" s="5" t="e">
        <f t="shared" si="40"/>
        <v>#N/A</v>
      </c>
      <c r="AH681" s="5" t="b">
        <f t="shared" si="41"/>
        <v>0</v>
      </c>
      <c r="AI681" s="5" t="b">
        <f t="shared" si="41"/>
        <v>0</v>
      </c>
      <c r="AJ681" t="e">
        <f t="shared" si="42"/>
        <v>#N/A</v>
      </c>
      <c r="AK681" t="e">
        <f t="shared" si="43"/>
        <v>#N/A</v>
      </c>
    </row>
    <row r="682" spans="1:37">
      <c r="A682" t="s">
        <v>3202</v>
      </c>
      <c r="B682" t="s">
        <v>274</v>
      </c>
      <c r="C682" t="s">
        <v>577</v>
      </c>
      <c r="D682" t="s">
        <v>3203</v>
      </c>
      <c r="E682" t="s">
        <v>366</v>
      </c>
      <c r="F682" t="s">
        <v>108</v>
      </c>
      <c r="G682" t="s">
        <v>62</v>
      </c>
      <c r="H682" t="s">
        <v>339</v>
      </c>
      <c r="I682" t="s">
        <v>340</v>
      </c>
      <c r="J682" t="s">
        <v>86</v>
      </c>
      <c r="K682" t="s">
        <v>87</v>
      </c>
      <c r="L682" t="s">
        <v>3204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  <c r="V682" s="1" t="s">
        <v>366</v>
      </c>
      <c r="W682" s="1" t="s">
        <v>108</v>
      </c>
      <c r="X682" s="1" t="s">
        <v>62</v>
      </c>
      <c r="Y682" s="1" t="s">
        <v>339</v>
      </c>
      <c r="Z682" s="1" t="s">
        <v>340</v>
      </c>
      <c r="AA682" s="1" t="s">
        <v>86</v>
      </c>
      <c r="AB682" s="1" t="s">
        <v>87</v>
      </c>
      <c r="AC682" s="1" t="s">
        <v>56</v>
      </c>
      <c r="AD682" s="1" t="s">
        <v>34</v>
      </c>
      <c r="AE682" s="1" t="s">
        <v>35</v>
      </c>
      <c r="AF682" s="5">
        <f t="shared" si="40"/>
        <v>45441</v>
      </c>
      <c r="AG682" s="5">
        <f t="shared" si="40"/>
        <v>45448</v>
      </c>
      <c r="AH682" s="5" t="b">
        <f t="shared" si="41"/>
        <v>1</v>
      </c>
      <c r="AI682" s="5" t="b">
        <f t="shared" si="41"/>
        <v>1</v>
      </c>
      <c r="AJ682" t="str">
        <f t="shared" si="42"/>
        <v>OK</v>
      </c>
      <c r="AK682">
        <f t="shared" si="43"/>
        <v>7</v>
      </c>
    </row>
    <row r="683" spans="1:37">
      <c r="A683" t="s">
        <v>3205</v>
      </c>
      <c r="B683" t="s">
        <v>3206</v>
      </c>
      <c r="C683" t="s">
        <v>3207</v>
      </c>
      <c r="D683" t="s">
        <v>3208</v>
      </c>
      <c r="E683" t="s">
        <v>83</v>
      </c>
      <c r="F683" t="s">
        <v>108</v>
      </c>
      <c r="G683" t="s">
        <v>27</v>
      </c>
      <c r="H683" t="s">
        <v>506</v>
      </c>
      <c r="I683" t="s">
        <v>507</v>
      </c>
      <c r="J683" t="s">
        <v>45</v>
      </c>
      <c r="K683" t="s">
        <v>46</v>
      </c>
      <c r="L683" t="s">
        <v>3209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  <c r="V683" s="1" t="s">
        <v>83</v>
      </c>
      <c r="W683" s="1" t="s">
        <v>108</v>
      </c>
      <c r="X683" s="1" t="s">
        <v>27</v>
      </c>
      <c r="Y683" s="1" t="s">
        <v>506</v>
      </c>
      <c r="Z683" s="1" t="s">
        <v>507</v>
      </c>
      <c r="AA683" s="1" t="s">
        <v>45</v>
      </c>
      <c r="AB683" s="1" t="s">
        <v>46</v>
      </c>
      <c r="AC683" s="1" t="s">
        <v>33</v>
      </c>
      <c r="AD683" s="1" t="s">
        <v>34</v>
      </c>
      <c r="AE683" s="1" t="s">
        <v>78</v>
      </c>
      <c r="AF683" s="5">
        <f t="shared" si="40"/>
        <v>45477</v>
      </c>
      <c r="AG683" s="5">
        <f t="shared" si="40"/>
        <v>45483</v>
      </c>
      <c r="AH683" s="5" t="b">
        <f t="shared" si="41"/>
        <v>1</v>
      </c>
      <c r="AI683" s="5" t="b">
        <f t="shared" si="41"/>
        <v>1</v>
      </c>
      <c r="AJ683" t="str">
        <f t="shared" si="42"/>
        <v>OK</v>
      </c>
      <c r="AK683">
        <f t="shared" si="43"/>
        <v>6</v>
      </c>
    </row>
    <row r="684" spans="1:37">
      <c r="A684" t="s">
        <v>3210</v>
      </c>
      <c r="B684" t="s">
        <v>344</v>
      </c>
      <c r="C684" t="s">
        <v>2883</v>
      </c>
      <c r="D684" t="s">
        <v>3211</v>
      </c>
      <c r="E684" t="s">
        <v>3212</v>
      </c>
      <c r="F684" t="s">
        <v>108</v>
      </c>
      <c r="G684" t="s">
        <v>27</v>
      </c>
      <c r="H684" t="s">
        <v>323</v>
      </c>
      <c r="I684" t="s">
        <v>324</v>
      </c>
      <c r="J684" t="s">
        <v>30</v>
      </c>
      <c r="K684" t="s">
        <v>156</v>
      </c>
      <c r="L684" t="s">
        <v>3213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  <c r="V684" s="1" t="s">
        <v>72</v>
      </c>
      <c r="W684" s="1" t="s">
        <v>108</v>
      </c>
      <c r="X684" s="1" t="s">
        <v>27</v>
      </c>
      <c r="Y684" s="1" t="s">
        <v>323</v>
      </c>
      <c r="Z684" s="1" t="s">
        <v>324</v>
      </c>
      <c r="AA684" s="1" t="s">
        <v>30</v>
      </c>
      <c r="AB684" s="1" t="s">
        <v>156</v>
      </c>
      <c r="AC684" s="1" t="s">
        <v>48</v>
      </c>
      <c r="AD684" s="1" t="s">
        <v>34</v>
      </c>
      <c r="AE684" s="1" t="s">
        <v>35</v>
      </c>
      <c r="AF684" s="5">
        <f t="shared" si="40"/>
        <v>45693</v>
      </c>
      <c r="AG684" s="5">
        <f t="shared" si="40"/>
        <v>45779</v>
      </c>
      <c r="AH684" s="5" t="b">
        <f t="shared" si="41"/>
        <v>1</v>
      </c>
      <c r="AI684" s="5" t="b">
        <f t="shared" si="41"/>
        <v>1</v>
      </c>
      <c r="AJ684" t="str">
        <f t="shared" si="42"/>
        <v>OK</v>
      </c>
      <c r="AK684">
        <f t="shared" si="43"/>
        <v>86</v>
      </c>
    </row>
    <row r="685" spans="1:37">
      <c r="A685" t="s">
        <v>3214</v>
      </c>
      <c r="B685" t="s">
        <v>3215</v>
      </c>
      <c r="C685" t="s">
        <v>1729</v>
      </c>
      <c r="D685" t="s">
        <v>3216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3217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  <c r="V685" s="1" t="s">
        <v>61</v>
      </c>
      <c r="W685" s="1" t="s">
        <v>41</v>
      </c>
      <c r="X685" s="1" t="s">
        <v>62</v>
      </c>
      <c r="Y685" s="1" t="s">
        <v>63</v>
      </c>
      <c r="Z685" s="1" t="s">
        <v>64</v>
      </c>
      <c r="AA685" s="1" t="s">
        <v>45</v>
      </c>
      <c r="AB685" s="1" t="s">
        <v>65</v>
      </c>
      <c r="AC685" s="1" t="s">
        <v>33</v>
      </c>
      <c r="AD685" s="1" t="s">
        <v>124</v>
      </c>
      <c r="AE685" s="1" t="s">
        <v>78</v>
      </c>
      <c r="AF685" s="5">
        <f t="shared" si="40"/>
        <v>45858</v>
      </c>
      <c r="AG685" s="5" t="e">
        <f t="shared" si="40"/>
        <v>#N/A</v>
      </c>
      <c r="AH685" s="5" t="b">
        <f t="shared" si="41"/>
        <v>1</v>
      </c>
      <c r="AI685" s="5" t="b">
        <f t="shared" si="41"/>
        <v>0</v>
      </c>
      <c r="AJ685" t="e">
        <f t="shared" si="42"/>
        <v>#N/A</v>
      </c>
      <c r="AK685" t="e">
        <f t="shared" si="43"/>
        <v>#N/A</v>
      </c>
    </row>
    <row r="686" spans="1:37">
      <c r="A686" t="s">
        <v>3218</v>
      </c>
      <c r="B686" t="s">
        <v>3219</v>
      </c>
      <c r="C686" t="s">
        <v>494</v>
      </c>
      <c r="D686" t="s">
        <v>3220</v>
      </c>
      <c r="E686" t="s">
        <v>53</v>
      </c>
      <c r="F686" t="s">
        <v>115</v>
      </c>
      <c r="G686" t="s">
        <v>62</v>
      </c>
      <c r="H686" t="s">
        <v>339</v>
      </c>
      <c r="I686" t="s">
        <v>340</v>
      </c>
      <c r="J686" t="s">
        <v>45</v>
      </c>
      <c r="K686" t="s">
        <v>204</v>
      </c>
      <c r="L686" t="s">
        <v>3221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  <c r="V686" s="1" t="s">
        <v>53</v>
      </c>
      <c r="W686" s="1" t="s">
        <v>115</v>
      </c>
      <c r="X686" s="1" t="s">
        <v>62</v>
      </c>
      <c r="Y686" s="1" t="s">
        <v>339</v>
      </c>
      <c r="Z686" s="1" t="s">
        <v>340</v>
      </c>
      <c r="AA686" s="1" t="s">
        <v>45</v>
      </c>
      <c r="AB686" s="1" t="s">
        <v>204</v>
      </c>
      <c r="AC686" s="1" t="s">
        <v>56</v>
      </c>
      <c r="AD686" s="1" t="s">
        <v>124</v>
      </c>
      <c r="AE686" s="1" t="s">
        <v>78</v>
      </c>
      <c r="AF686" s="5">
        <f t="shared" si="40"/>
        <v>45859</v>
      </c>
      <c r="AG686" s="5" t="e">
        <f t="shared" si="40"/>
        <v>#N/A</v>
      </c>
      <c r="AH686" s="5" t="b">
        <f t="shared" si="41"/>
        <v>1</v>
      </c>
      <c r="AI686" s="5" t="b">
        <f t="shared" si="41"/>
        <v>0</v>
      </c>
      <c r="AJ686" t="e">
        <f t="shared" si="42"/>
        <v>#N/A</v>
      </c>
      <c r="AK686" t="e">
        <f t="shared" si="43"/>
        <v>#N/A</v>
      </c>
    </row>
    <row r="687" spans="1:37">
      <c r="A687" t="s">
        <v>3222</v>
      </c>
      <c r="B687" t="s">
        <v>3223</v>
      </c>
      <c r="C687" t="s">
        <v>499</v>
      </c>
      <c r="D687" t="s">
        <v>2734</v>
      </c>
      <c r="E687" t="s">
        <v>93</v>
      </c>
      <c r="F687" t="s">
        <v>108</v>
      </c>
      <c r="G687" t="s">
        <v>73</v>
      </c>
      <c r="H687" t="s">
        <v>249</v>
      </c>
      <c r="I687" t="s">
        <v>250</v>
      </c>
      <c r="J687" t="s">
        <v>30</v>
      </c>
      <c r="K687" t="s">
        <v>54</v>
      </c>
      <c r="L687" t="s">
        <v>3224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200</v>
      </c>
      <c r="U687" t="s">
        <v>78</v>
      </c>
      <c r="V687" s="1" t="s">
        <v>93</v>
      </c>
      <c r="W687" s="1" t="s">
        <v>108</v>
      </c>
      <c r="X687" s="1" t="s">
        <v>73</v>
      </c>
      <c r="Y687" s="1" t="s">
        <v>249</v>
      </c>
      <c r="Z687" s="1" t="s">
        <v>250</v>
      </c>
      <c r="AA687" s="1" t="s">
        <v>30</v>
      </c>
      <c r="AB687" s="1" t="s">
        <v>54</v>
      </c>
      <c r="AC687" s="1" t="s">
        <v>67</v>
      </c>
      <c r="AD687" s="1" t="s">
        <v>200</v>
      </c>
      <c r="AE687" s="1" t="s">
        <v>78</v>
      </c>
      <c r="AF687" s="5">
        <f t="shared" si="40"/>
        <v>45931</v>
      </c>
      <c r="AG687" s="5">
        <f t="shared" si="40"/>
        <v>45933</v>
      </c>
      <c r="AH687" s="5" t="b">
        <f t="shared" si="41"/>
        <v>1</v>
      </c>
      <c r="AI687" s="5" t="b">
        <f t="shared" si="41"/>
        <v>1</v>
      </c>
      <c r="AJ687" t="str">
        <f t="shared" si="42"/>
        <v>OK</v>
      </c>
      <c r="AK687">
        <f t="shared" si="43"/>
        <v>2</v>
      </c>
    </row>
    <row r="688" spans="1:37">
      <c r="A688" t="s">
        <v>3225</v>
      </c>
      <c r="B688" t="s">
        <v>3226</v>
      </c>
      <c r="C688" t="s">
        <v>2170</v>
      </c>
      <c r="D688" t="s">
        <v>3227</v>
      </c>
      <c r="E688" t="s">
        <v>168</v>
      </c>
      <c r="F688" t="s">
        <v>115</v>
      </c>
      <c r="G688" t="s">
        <v>62</v>
      </c>
      <c r="H688" t="s">
        <v>339</v>
      </c>
      <c r="I688" t="s">
        <v>340</v>
      </c>
      <c r="J688" t="s">
        <v>86</v>
      </c>
      <c r="K688" t="s">
        <v>94</v>
      </c>
      <c r="L688" t="s">
        <v>3228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  <c r="V688" s="1" t="s">
        <v>168</v>
      </c>
      <c r="W688" s="1" t="s">
        <v>115</v>
      </c>
      <c r="X688" s="1" t="s">
        <v>62</v>
      </c>
      <c r="Y688" s="1" t="s">
        <v>339</v>
      </c>
      <c r="Z688" s="1" t="s">
        <v>340</v>
      </c>
      <c r="AA688" s="1" t="s">
        <v>86</v>
      </c>
      <c r="AB688" s="1" t="s">
        <v>94</v>
      </c>
      <c r="AC688" s="1" t="s">
        <v>67</v>
      </c>
      <c r="AD688" s="1" t="s">
        <v>34</v>
      </c>
      <c r="AE688" s="1" t="s">
        <v>35</v>
      </c>
      <c r="AF688" s="5" t="e">
        <f t="shared" si="40"/>
        <v>#N/A</v>
      </c>
      <c r="AG688" s="5">
        <f t="shared" si="40"/>
        <v>45384</v>
      </c>
      <c r="AH688" s="5" t="b">
        <f t="shared" si="41"/>
        <v>0</v>
      </c>
      <c r="AI688" s="5" t="b">
        <f t="shared" si="41"/>
        <v>1</v>
      </c>
      <c r="AJ688" t="e">
        <f t="shared" si="42"/>
        <v>#N/A</v>
      </c>
      <c r="AK688" t="e">
        <f t="shared" si="43"/>
        <v>#N/A</v>
      </c>
    </row>
    <row r="689" spans="1:37">
      <c r="A689" t="s">
        <v>3229</v>
      </c>
      <c r="B689" t="s">
        <v>1191</v>
      </c>
      <c r="C689" t="s">
        <v>3230</v>
      </c>
      <c r="D689" t="s">
        <v>3231</v>
      </c>
      <c r="E689" t="s">
        <v>40</v>
      </c>
      <c r="F689" t="s">
        <v>115</v>
      </c>
      <c r="G689" t="s">
        <v>27</v>
      </c>
      <c r="H689" t="s">
        <v>154</v>
      </c>
      <c r="I689" t="s">
        <v>155</v>
      </c>
      <c r="J689" t="s">
        <v>45</v>
      </c>
      <c r="K689" t="s">
        <v>46</v>
      </c>
      <c r="L689" t="s">
        <v>3232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200</v>
      </c>
      <c r="U689" t="s">
        <v>78</v>
      </c>
      <c r="V689" s="1" t="s">
        <v>40</v>
      </c>
      <c r="W689" s="1" t="s">
        <v>115</v>
      </c>
      <c r="X689" s="1" t="s">
        <v>27</v>
      </c>
      <c r="Y689" s="1" t="s">
        <v>154</v>
      </c>
      <c r="Z689" s="1" t="s">
        <v>155</v>
      </c>
      <c r="AA689" s="1" t="s">
        <v>45</v>
      </c>
      <c r="AB689" s="1" t="s">
        <v>46</v>
      </c>
      <c r="AC689" s="1" t="s">
        <v>56</v>
      </c>
      <c r="AD689" s="1" t="s">
        <v>200</v>
      </c>
      <c r="AE689" s="1" t="s">
        <v>78</v>
      </c>
      <c r="AF689" s="5">
        <f t="shared" si="40"/>
        <v>45938</v>
      </c>
      <c r="AG689" s="5" t="e">
        <f t="shared" si="40"/>
        <v>#N/A</v>
      </c>
      <c r="AH689" s="5" t="b">
        <f t="shared" si="41"/>
        <v>1</v>
      </c>
      <c r="AI689" s="5" t="b">
        <f t="shared" si="41"/>
        <v>0</v>
      </c>
      <c r="AJ689" t="e">
        <f t="shared" si="42"/>
        <v>#N/A</v>
      </c>
      <c r="AK689" t="e">
        <f t="shared" si="43"/>
        <v>#N/A</v>
      </c>
    </row>
    <row r="690" spans="1:37">
      <c r="A690" t="s">
        <v>3233</v>
      </c>
      <c r="B690" t="s">
        <v>1162</v>
      </c>
      <c r="C690" t="s">
        <v>3234</v>
      </c>
      <c r="D690" t="s">
        <v>3235</v>
      </c>
      <c r="E690" t="s">
        <v>93</v>
      </c>
      <c r="F690" t="s">
        <v>115</v>
      </c>
      <c r="G690" t="s">
        <v>27</v>
      </c>
      <c r="H690" t="s">
        <v>323</v>
      </c>
      <c r="I690" t="s">
        <v>324</v>
      </c>
      <c r="J690" t="s">
        <v>30</v>
      </c>
      <c r="K690" t="s">
        <v>54</v>
      </c>
      <c r="L690" t="s">
        <v>3236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  <c r="V690" s="1" t="s">
        <v>93</v>
      </c>
      <c r="W690" s="1" t="s">
        <v>115</v>
      </c>
      <c r="X690" s="1" t="s">
        <v>27</v>
      </c>
      <c r="Y690" s="1" t="s">
        <v>323</v>
      </c>
      <c r="Z690" s="1" t="s">
        <v>324</v>
      </c>
      <c r="AA690" s="1" t="s">
        <v>30</v>
      </c>
      <c r="AB690" s="1" t="s">
        <v>54</v>
      </c>
      <c r="AC690" s="1" t="s">
        <v>33</v>
      </c>
      <c r="AD690" s="1" t="s">
        <v>34</v>
      </c>
      <c r="AE690" s="1" t="s">
        <v>35</v>
      </c>
      <c r="AF690" s="5">
        <f t="shared" si="40"/>
        <v>45714</v>
      </c>
      <c r="AG690" s="5">
        <f t="shared" si="40"/>
        <v>45715</v>
      </c>
      <c r="AH690" s="5" t="b">
        <f t="shared" si="41"/>
        <v>1</v>
      </c>
      <c r="AI690" s="5" t="b">
        <f t="shared" si="41"/>
        <v>1</v>
      </c>
      <c r="AJ690" t="str">
        <f t="shared" si="42"/>
        <v>OK</v>
      </c>
      <c r="AK690">
        <f t="shared" si="43"/>
        <v>1</v>
      </c>
    </row>
    <row r="691" spans="1:37">
      <c r="A691" t="s">
        <v>3237</v>
      </c>
      <c r="B691" t="s">
        <v>3238</v>
      </c>
      <c r="C691" t="s">
        <v>3239</v>
      </c>
      <c r="D691" t="s">
        <v>3240</v>
      </c>
      <c r="E691" t="s">
        <v>180</v>
      </c>
      <c r="F691" t="s">
        <v>41</v>
      </c>
      <c r="G691" t="s">
        <v>27</v>
      </c>
      <c r="H691" t="s">
        <v>154</v>
      </c>
      <c r="I691" t="s">
        <v>155</v>
      </c>
      <c r="J691" t="s">
        <v>45</v>
      </c>
      <c r="K691" t="s">
        <v>46</v>
      </c>
      <c r="L691" t="s">
        <v>3241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200</v>
      </c>
      <c r="U691" t="s">
        <v>78</v>
      </c>
      <c r="V691" s="1" t="s">
        <v>180</v>
      </c>
      <c r="W691" s="1" t="s">
        <v>41</v>
      </c>
      <c r="X691" s="1" t="s">
        <v>27</v>
      </c>
      <c r="Y691" s="1" t="s">
        <v>154</v>
      </c>
      <c r="Z691" s="1" t="s">
        <v>155</v>
      </c>
      <c r="AA691" s="1" t="s">
        <v>45</v>
      </c>
      <c r="AB691" s="1" t="s">
        <v>46</v>
      </c>
      <c r="AC691" s="1" t="s">
        <v>67</v>
      </c>
      <c r="AD691" s="1" t="s">
        <v>200</v>
      </c>
      <c r="AE691" s="1" t="s">
        <v>78</v>
      </c>
      <c r="AF691" s="5">
        <f t="shared" si="40"/>
        <v>45422</v>
      </c>
      <c r="AG691" s="5">
        <f t="shared" si="40"/>
        <v>45571</v>
      </c>
      <c r="AH691" s="5" t="b">
        <f t="shared" si="41"/>
        <v>1</v>
      </c>
      <c r="AI691" s="5" t="b">
        <f t="shared" si="41"/>
        <v>1</v>
      </c>
      <c r="AJ691" t="str">
        <f t="shared" si="42"/>
        <v>OK</v>
      </c>
      <c r="AK691">
        <f t="shared" si="43"/>
        <v>149</v>
      </c>
    </row>
    <row r="692" spans="1:37">
      <c r="A692" t="s">
        <v>3242</v>
      </c>
      <c r="B692" t="s">
        <v>877</v>
      </c>
      <c r="C692" t="s">
        <v>3243</v>
      </c>
      <c r="D692" t="s">
        <v>3244</v>
      </c>
      <c r="E692" t="s">
        <v>168</v>
      </c>
      <c r="F692" t="s">
        <v>108</v>
      </c>
      <c r="G692" t="s">
        <v>62</v>
      </c>
      <c r="H692" t="s">
        <v>339</v>
      </c>
      <c r="I692" t="s">
        <v>340</v>
      </c>
      <c r="J692" t="s">
        <v>30</v>
      </c>
      <c r="K692" t="s">
        <v>54</v>
      </c>
      <c r="L692" t="s">
        <v>3245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200</v>
      </c>
      <c r="U692" t="s">
        <v>125</v>
      </c>
      <c r="V692" s="1" t="s">
        <v>168</v>
      </c>
      <c r="W692" s="1" t="s">
        <v>108</v>
      </c>
      <c r="X692" s="1" t="s">
        <v>62</v>
      </c>
      <c r="Y692" s="1" t="s">
        <v>339</v>
      </c>
      <c r="Z692" s="1" t="s">
        <v>340</v>
      </c>
      <c r="AA692" s="1" t="s">
        <v>30</v>
      </c>
      <c r="AB692" s="1" t="s">
        <v>54</v>
      </c>
      <c r="AC692" s="1" t="s">
        <v>67</v>
      </c>
      <c r="AD692" s="1" t="s">
        <v>200</v>
      </c>
      <c r="AE692" s="1" t="s">
        <v>125</v>
      </c>
      <c r="AF692" s="5">
        <f t="shared" si="40"/>
        <v>45546</v>
      </c>
      <c r="AG692" s="5">
        <f t="shared" si="40"/>
        <v>45550</v>
      </c>
      <c r="AH692" s="5" t="b">
        <f t="shared" si="41"/>
        <v>1</v>
      </c>
      <c r="AI692" s="5" t="b">
        <f t="shared" si="41"/>
        <v>1</v>
      </c>
      <c r="AJ692" t="str">
        <f t="shared" si="42"/>
        <v>OK</v>
      </c>
      <c r="AK692">
        <f t="shared" si="43"/>
        <v>4</v>
      </c>
    </row>
    <row r="693" spans="1:37">
      <c r="A693" t="s">
        <v>3246</v>
      </c>
      <c r="B693" t="s">
        <v>2461</v>
      </c>
      <c r="C693" t="s">
        <v>3247</v>
      </c>
      <c r="D693" t="s">
        <v>3248</v>
      </c>
      <c r="E693" t="s">
        <v>180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3249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  <c r="V693" s="1" t="s">
        <v>180</v>
      </c>
      <c r="W693" s="1" t="s">
        <v>26</v>
      </c>
      <c r="X693" s="1" t="s">
        <v>42</v>
      </c>
      <c r="Y693" s="1" t="s">
        <v>43</v>
      </c>
      <c r="Z693" s="1" t="s">
        <v>44</v>
      </c>
      <c r="AA693" s="1" t="s">
        <v>86</v>
      </c>
      <c r="AB693" s="1" t="s">
        <v>94</v>
      </c>
      <c r="AC693" s="1" t="s">
        <v>33</v>
      </c>
      <c r="AD693" s="1" t="s">
        <v>34</v>
      </c>
      <c r="AE693" s="1" t="s">
        <v>35</v>
      </c>
      <c r="AF693" s="5" t="e">
        <f t="shared" si="40"/>
        <v>#N/A</v>
      </c>
      <c r="AG693" s="5" t="e">
        <f t="shared" si="40"/>
        <v>#N/A</v>
      </c>
      <c r="AH693" s="5" t="b">
        <f t="shared" si="41"/>
        <v>0</v>
      </c>
      <c r="AI693" s="5" t="b">
        <f t="shared" si="41"/>
        <v>0</v>
      </c>
      <c r="AJ693" t="e">
        <f t="shared" si="42"/>
        <v>#N/A</v>
      </c>
      <c r="AK693" t="e">
        <f t="shared" si="43"/>
        <v>#N/A</v>
      </c>
    </row>
    <row r="694" spans="1:37">
      <c r="A694" t="s">
        <v>3250</v>
      </c>
      <c r="B694" t="s">
        <v>227</v>
      </c>
      <c r="C694" t="s">
        <v>3251</v>
      </c>
      <c r="D694" t="s">
        <v>3252</v>
      </c>
      <c r="E694" t="s">
        <v>53</v>
      </c>
      <c r="F694" t="s">
        <v>1781</v>
      </c>
      <c r="G694" t="s">
        <v>62</v>
      </c>
      <c r="H694" t="s">
        <v>229</v>
      </c>
      <c r="I694" t="s">
        <v>230</v>
      </c>
      <c r="J694" t="s">
        <v>45</v>
      </c>
      <c r="K694" t="s">
        <v>65</v>
      </c>
      <c r="L694" t="s">
        <v>3253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  <c r="V694" s="1" t="s">
        <v>53</v>
      </c>
      <c r="W694" s="1" t="s">
        <v>108</v>
      </c>
      <c r="X694" s="1" t="s">
        <v>62</v>
      </c>
      <c r="Y694" s="1" t="s">
        <v>229</v>
      </c>
      <c r="Z694" s="1" t="s">
        <v>230</v>
      </c>
      <c r="AA694" s="1" t="s">
        <v>45</v>
      </c>
      <c r="AB694" s="1" t="s">
        <v>65</v>
      </c>
      <c r="AC694" s="1" t="s">
        <v>33</v>
      </c>
      <c r="AD694" s="1" t="s">
        <v>34</v>
      </c>
      <c r="AE694" s="1" t="s">
        <v>35</v>
      </c>
      <c r="AF694" s="5">
        <f t="shared" si="40"/>
        <v>45787</v>
      </c>
      <c r="AG694" s="5">
        <f t="shared" si="40"/>
        <v>45940</v>
      </c>
      <c r="AH694" s="5" t="b">
        <f t="shared" si="41"/>
        <v>1</v>
      </c>
      <c r="AI694" s="5" t="b">
        <f t="shared" si="41"/>
        <v>1</v>
      </c>
      <c r="AJ694" t="str">
        <f t="shared" si="42"/>
        <v>OK</v>
      </c>
      <c r="AK694">
        <f t="shared" si="43"/>
        <v>153</v>
      </c>
    </row>
    <row r="695" spans="1:37">
      <c r="A695" t="s">
        <v>3254</v>
      </c>
      <c r="B695" t="s">
        <v>3255</v>
      </c>
      <c r="C695" t="s">
        <v>2498</v>
      </c>
      <c r="D695" t="s">
        <v>3256</v>
      </c>
      <c r="E695" t="s">
        <v>61</v>
      </c>
      <c r="F695" t="s">
        <v>26</v>
      </c>
      <c r="G695" t="s">
        <v>62</v>
      </c>
      <c r="H695" t="s">
        <v>339</v>
      </c>
      <c r="I695" t="s">
        <v>340</v>
      </c>
      <c r="J695" t="s">
        <v>45</v>
      </c>
      <c r="K695" t="s">
        <v>204</v>
      </c>
      <c r="L695" t="s">
        <v>3257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  <c r="V695" s="1" t="s">
        <v>61</v>
      </c>
      <c r="W695" s="1" t="s">
        <v>26</v>
      </c>
      <c r="X695" s="1" t="s">
        <v>62</v>
      </c>
      <c r="Y695" s="1" t="s">
        <v>339</v>
      </c>
      <c r="Z695" s="1" t="s">
        <v>340</v>
      </c>
      <c r="AA695" s="1" t="s">
        <v>45</v>
      </c>
      <c r="AB695" s="1" t="s">
        <v>204</v>
      </c>
      <c r="AC695" s="1" t="s">
        <v>33</v>
      </c>
      <c r="AD695" s="1" t="s">
        <v>34</v>
      </c>
      <c r="AE695" s="1" t="s">
        <v>35</v>
      </c>
      <c r="AF695" s="5">
        <f t="shared" si="40"/>
        <v>45720</v>
      </c>
      <c r="AG695" s="5">
        <f t="shared" si="40"/>
        <v>45758</v>
      </c>
      <c r="AH695" s="5" t="b">
        <f t="shared" si="41"/>
        <v>1</v>
      </c>
      <c r="AI695" s="5" t="b">
        <f t="shared" si="41"/>
        <v>1</v>
      </c>
      <c r="AJ695" t="str">
        <f t="shared" si="42"/>
        <v>OK</v>
      </c>
      <c r="AK695">
        <f t="shared" si="43"/>
        <v>38</v>
      </c>
    </row>
    <row r="696" spans="1:37">
      <c r="A696" t="s">
        <v>3258</v>
      </c>
      <c r="B696" t="s">
        <v>1730</v>
      </c>
      <c r="C696" t="s">
        <v>3079</v>
      </c>
      <c r="D696" t="s">
        <v>1738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156</v>
      </c>
      <c r="L696" t="s">
        <v>3259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  <c r="V696" s="1" t="s">
        <v>53</v>
      </c>
      <c r="W696" s="1" t="s">
        <v>26</v>
      </c>
      <c r="X696" s="1" t="s">
        <v>62</v>
      </c>
      <c r="Y696" s="1" t="s">
        <v>100</v>
      </c>
      <c r="Z696" s="1" t="s">
        <v>101</v>
      </c>
      <c r="AA696" s="1" t="s">
        <v>30</v>
      </c>
      <c r="AB696" s="1" t="s">
        <v>156</v>
      </c>
      <c r="AC696" s="1" t="s">
        <v>56</v>
      </c>
      <c r="AD696" s="1" t="s">
        <v>34</v>
      </c>
      <c r="AE696" s="1" t="s">
        <v>35</v>
      </c>
      <c r="AF696" s="5">
        <f t="shared" si="40"/>
        <v>45665</v>
      </c>
      <c r="AG696" s="5">
        <f t="shared" si="40"/>
        <v>45908</v>
      </c>
      <c r="AH696" s="5" t="b">
        <f t="shared" si="41"/>
        <v>1</v>
      </c>
      <c r="AI696" s="5" t="b">
        <f t="shared" si="41"/>
        <v>1</v>
      </c>
      <c r="AJ696" t="str">
        <f t="shared" si="42"/>
        <v>OK</v>
      </c>
      <c r="AK696">
        <f t="shared" si="43"/>
        <v>243</v>
      </c>
    </row>
    <row r="697" spans="1:37">
      <c r="A697" t="s">
        <v>3260</v>
      </c>
      <c r="B697" t="s">
        <v>3261</v>
      </c>
      <c r="C697" t="s">
        <v>2105</v>
      </c>
      <c r="D697" t="s">
        <v>3262</v>
      </c>
      <c r="E697" t="s">
        <v>162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382</v>
      </c>
      <c r="L697" t="s">
        <v>3263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  <c r="V697" s="1" t="s">
        <v>162</v>
      </c>
      <c r="W697" s="1" t="s">
        <v>26</v>
      </c>
      <c r="X697" s="1" t="s">
        <v>73</v>
      </c>
      <c r="Y697" s="1" t="s">
        <v>84</v>
      </c>
      <c r="Z697" s="1" t="s">
        <v>85</v>
      </c>
      <c r="AA697" s="1" t="s">
        <v>86</v>
      </c>
      <c r="AB697" s="1" t="s">
        <v>382</v>
      </c>
      <c r="AC697" s="1" t="s">
        <v>67</v>
      </c>
      <c r="AD697" s="1" t="s">
        <v>34</v>
      </c>
      <c r="AE697" s="1" t="s">
        <v>35</v>
      </c>
      <c r="AF697" s="5">
        <f t="shared" si="40"/>
        <v>45474</v>
      </c>
      <c r="AG697" s="5">
        <f t="shared" si="40"/>
        <v>45298</v>
      </c>
      <c r="AH697" s="5" t="b">
        <f t="shared" si="41"/>
        <v>1</v>
      </c>
      <c r="AI697" s="5" t="b">
        <f t="shared" si="41"/>
        <v>1</v>
      </c>
      <c r="AJ697" t="str">
        <f t="shared" si="42"/>
        <v>Invalid: Ship before Order</v>
      </c>
      <c r="AK697" t="e">
        <f t="shared" si="43"/>
        <v>#NUM!</v>
      </c>
    </row>
    <row r="698" spans="1:37">
      <c r="A698" t="s">
        <v>3264</v>
      </c>
      <c r="B698" t="s">
        <v>3265</v>
      </c>
      <c r="C698" t="s">
        <v>3266</v>
      </c>
      <c r="D698" t="s">
        <v>3267</v>
      </c>
      <c r="E698" t="s">
        <v>53</v>
      </c>
      <c r="F698" t="s">
        <v>41</v>
      </c>
      <c r="G698" t="s">
        <v>62</v>
      </c>
      <c r="H698" t="s">
        <v>242</v>
      </c>
      <c r="I698" t="s">
        <v>243</v>
      </c>
      <c r="J698" t="s">
        <v>86</v>
      </c>
      <c r="K698" t="s">
        <v>223</v>
      </c>
      <c r="L698" t="s">
        <v>3268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  <c r="V698" s="1" t="s">
        <v>53</v>
      </c>
      <c r="W698" s="1" t="s">
        <v>41</v>
      </c>
      <c r="X698" s="1" t="s">
        <v>62</v>
      </c>
      <c r="Y698" s="1" t="s">
        <v>242</v>
      </c>
      <c r="Z698" s="1" t="s">
        <v>243</v>
      </c>
      <c r="AA698" s="1" t="s">
        <v>86</v>
      </c>
      <c r="AB698" s="1" t="s">
        <v>223</v>
      </c>
      <c r="AC698" s="1" t="s">
        <v>4119</v>
      </c>
      <c r="AD698" s="1" t="s">
        <v>34</v>
      </c>
      <c r="AE698" s="1" t="s">
        <v>35</v>
      </c>
      <c r="AF698" s="5">
        <f t="shared" si="40"/>
        <v>45922</v>
      </c>
      <c r="AG698" s="5">
        <f t="shared" si="40"/>
        <v>45925</v>
      </c>
      <c r="AH698" s="5" t="b">
        <f t="shared" si="41"/>
        <v>1</v>
      </c>
      <c r="AI698" s="5" t="b">
        <f t="shared" si="41"/>
        <v>1</v>
      </c>
      <c r="AJ698" t="str">
        <f t="shared" si="42"/>
        <v>OK</v>
      </c>
      <c r="AK698">
        <f t="shared" si="43"/>
        <v>3</v>
      </c>
    </row>
    <row r="699" spans="1:37">
      <c r="A699" t="s">
        <v>3269</v>
      </c>
      <c r="B699" t="s">
        <v>2323</v>
      </c>
      <c r="C699" t="s">
        <v>787</v>
      </c>
      <c r="D699" t="s">
        <v>3270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3271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  <c r="V699" s="1" t="s">
        <v>61</v>
      </c>
      <c r="W699" s="1" t="s">
        <v>108</v>
      </c>
      <c r="X699" s="1" t="s">
        <v>62</v>
      </c>
      <c r="Y699" s="1" t="s">
        <v>100</v>
      </c>
      <c r="Z699" s="1" t="s">
        <v>101</v>
      </c>
      <c r="AA699" s="1" t="s">
        <v>30</v>
      </c>
      <c r="AB699" s="1" t="s">
        <v>109</v>
      </c>
      <c r="AC699" s="1" t="s">
        <v>56</v>
      </c>
      <c r="AD699" s="1" t="s">
        <v>124</v>
      </c>
      <c r="AE699" s="1" t="s">
        <v>125</v>
      </c>
      <c r="AF699" s="5">
        <f t="shared" si="40"/>
        <v>45717</v>
      </c>
      <c r="AG699" s="5">
        <f t="shared" si="40"/>
        <v>45841</v>
      </c>
      <c r="AH699" s="5" t="b">
        <f t="shared" si="41"/>
        <v>1</v>
      </c>
      <c r="AI699" s="5" t="b">
        <f t="shared" si="41"/>
        <v>1</v>
      </c>
      <c r="AJ699" t="str">
        <f t="shared" si="42"/>
        <v>OK</v>
      </c>
      <c r="AK699">
        <f t="shared" si="43"/>
        <v>124</v>
      </c>
    </row>
    <row r="700" spans="1:37">
      <c r="A700" t="s">
        <v>3272</v>
      </c>
      <c r="B700" t="s">
        <v>3273</v>
      </c>
      <c r="C700" t="s">
        <v>1741</v>
      </c>
      <c r="D700" t="s">
        <v>3274</v>
      </c>
      <c r="E700" t="s">
        <v>40</v>
      </c>
      <c r="F700" t="s">
        <v>108</v>
      </c>
      <c r="G700" t="s">
        <v>27</v>
      </c>
      <c r="H700" t="s">
        <v>28</v>
      </c>
      <c r="I700" t="s">
        <v>29</v>
      </c>
      <c r="J700" t="s">
        <v>86</v>
      </c>
      <c r="K700" t="s">
        <v>382</v>
      </c>
      <c r="L700" t="s">
        <v>3275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  <c r="V700" s="1" t="s">
        <v>40</v>
      </c>
      <c r="W700" s="1" t="s">
        <v>108</v>
      </c>
      <c r="X700" s="1" t="s">
        <v>27</v>
      </c>
      <c r="Y700" s="1" t="s">
        <v>28</v>
      </c>
      <c r="Z700" s="1" t="s">
        <v>29</v>
      </c>
      <c r="AA700" s="1" t="s">
        <v>86</v>
      </c>
      <c r="AB700" s="1" t="s">
        <v>382</v>
      </c>
      <c r="AC700" s="1" t="s">
        <v>67</v>
      </c>
      <c r="AD700" s="1" t="s">
        <v>34</v>
      </c>
      <c r="AE700" s="1" t="s">
        <v>125</v>
      </c>
      <c r="AF700" s="5" t="e">
        <f t="shared" si="40"/>
        <v>#N/A</v>
      </c>
      <c r="AG700" s="5">
        <f t="shared" si="40"/>
        <v>45549</v>
      </c>
      <c r="AH700" s="5" t="b">
        <f t="shared" si="41"/>
        <v>0</v>
      </c>
      <c r="AI700" s="5" t="b">
        <f t="shared" si="41"/>
        <v>1</v>
      </c>
      <c r="AJ700" t="e">
        <f t="shared" si="42"/>
        <v>#N/A</v>
      </c>
      <c r="AK700" t="e">
        <f t="shared" si="43"/>
        <v>#N/A</v>
      </c>
    </row>
    <row r="701" spans="1:37">
      <c r="A701" t="s">
        <v>3276</v>
      </c>
      <c r="B701" t="s">
        <v>3277</v>
      </c>
      <c r="C701" t="s">
        <v>3278</v>
      </c>
      <c r="D701" t="s">
        <v>3279</v>
      </c>
      <c r="E701" t="s">
        <v>61</v>
      </c>
      <c r="F701" t="s">
        <v>41</v>
      </c>
      <c r="G701" t="s">
        <v>62</v>
      </c>
      <c r="H701" t="s">
        <v>229</v>
      </c>
      <c r="I701" t="s">
        <v>230</v>
      </c>
      <c r="J701" t="s">
        <v>45</v>
      </c>
      <c r="K701" t="s">
        <v>204</v>
      </c>
      <c r="L701" t="s">
        <v>3280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  <c r="V701" s="1" t="s">
        <v>61</v>
      </c>
      <c r="W701" s="1" t="s">
        <v>41</v>
      </c>
      <c r="X701" s="1" t="s">
        <v>62</v>
      </c>
      <c r="Y701" s="1" t="s">
        <v>229</v>
      </c>
      <c r="Z701" s="1" t="s">
        <v>230</v>
      </c>
      <c r="AA701" s="1" t="s">
        <v>45</v>
      </c>
      <c r="AB701" s="1" t="s">
        <v>204</v>
      </c>
      <c r="AC701" s="1" t="s">
        <v>67</v>
      </c>
      <c r="AD701" s="1" t="s">
        <v>34</v>
      </c>
      <c r="AE701" s="1" t="s">
        <v>35</v>
      </c>
      <c r="AF701" s="5">
        <f t="shared" si="40"/>
        <v>45454</v>
      </c>
      <c r="AG701" s="5">
        <f t="shared" si="40"/>
        <v>45454</v>
      </c>
      <c r="AH701" s="5" t="b">
        <f t="shared" si="41"/>
        <v>1</v>
      </c>
      <c r="AI701" s="5" t="b">
        <f t="shared" si="41"/>
        <v>1</v>
      </c>
      <c r="AJ701" t="str">
        <f t="shared" si="42"/>
        <v>OK</v>
      </c>
      <c r="AK701">
        <f t="shared" si="43"/>
        <v>0</v>
      </c>
    </row>
    <row r="702" spans="1:37">
      <c r="A702" t="s">
        <v>3281</v>
      </c>
      <c r="B702" t="s">
        <v>3282</v>
      </c>
      <c r="C702" t="s">
        <v>1134</v>
      </c>
      <c r="D702" t="s">
        <v>3283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382</v>
      </c>
      <c r="L702" t="s">
        <v>3284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  <c r="V702" s="1" t="s">
        <v>93</v>
      </c>
      <c r="W702" s="1" t="s">
        <v>108</v>
      </c>
      <c r="X702" s="1" t="s">
        <v>42</v>
      </c>
      <c r="Y702" s="1" t="s">
        <v>121</v>
      </c>
      <c r="Z702" s="1" t="s">
        <v>122</v>
      </c>
      <c r="AA702" s="1" t="s">
        <v>86</v>
      </c>
      <c r="AB702" s="1" t="s">
        <v>382</v>
      </c>
      <c r="AC702" s="1" t="s">
        <v>67</v>
      </c>
      <c r="AD702" s="1" t="s">
        <v>34</v>
      </c>
      <c r="AE702" s="1" t="s">
        <v>35</v>
      </c>
      <c r="AF702" s="5" t="e">
        <f t="shared" si="40"/>
        <v>#N/A</v>
      </c>
      <c r="AG702" s="5">
        <f t="shared" si="40"/>
        <v>45556</v>
      </c>
      <c r="AH702" s="5" t="b">
        <f t="shared" si="41"/>
        <v>0</v>
      </c>
      <c r="AI702" s="5" t="b">
        <f t="shared" si="41"/>
        <v>1</v>
      </c>
      <c r="AJ702" t="e">
        <f t="shared" si="42"/>
        <v>#N/A</v>
      </c>
      <c r="AK702" t="e">
        <f t="shared" si="43"/>
        <v>#N/A</v>
      </c>
    </row>
    <row r="703" spans="1:37">
      <c r="A703" t="s">
        <v>3285</v>
      </c>
      <c r="B703" t="s">
        <v>1622</v>
      </c>
      <c r="C703" t="s">
        <v>1293</v>
      </c>
      <c r="D703" t="s">
        <v>3286</v>
      </c>
      <c r="E703" t="s">
        <v>180</v>
      </c>
      <c r="F703" t="s">
        <v>41</v>
      </c>
      <c r="G703" t="s">
        <v>73</v>
      </c>
      <c r="H703" t="s">
        <v>235</v>
      </c>
      <c r="I703" t="s">
        <v>236</v>
      </c>
      <c r="J703" t="s">
        <v>30</v>
      </c>
      <c r="K703" t="s">
        <v>54</v>
      </c>
      <c r="L703" t="s">
        <v>3287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  <c r="V703" s="1" t="s">
        <v>180</v>
      </c>
      <c r="W703" s="1" t="s">
        <v>41</v>
      </c>
      <c r="X703" s="1" t="s">
        <v>73</v>
      </c>
      <c r="Y703" s="1" t="s">
        <v>235</v>
      </c>
      <c r="Z703" s="1" t="s">
        <v>236</v>
      </c>
      <c r="AA703" s="1" t="s">
        <v>30</v>
      </c>
      <c r="AB703" s="1" t="s">
        <v>54</v>
      </c>
      <c r="AC703" s="1" t="s">
        <v>48</v>
      </c>
      <c r="AD703" s="1" t="s">
        <v>34</v>
      </c>
      <c r="AE703" s="1" t="s">
        <v>125</v>
      </c>
      <c r="AF703" s="5" t="e">
        <f t="shared" si="40"/>
        <v>#N/A</v>
      </c>
      <c r="AG703" s="5">
        <f t="shared" si="40"/>
        <v>45416</v>
      </c>
      <c r="AH703" s="5" t="b">
        <f t="shared" si="41"/>
        <v>0</v>
      </c>
      <c r="AI703" s="5" t="b">
        <f t="shared" si="41"/>
        <v>1</v>
      </c>
      <c r="AJ703" t="e">
        <f t="shared" si="42"/>
        <v>#N/A</v>
      </c>
      <c r="AK703" t="e">
        <f t="shared" si="43"/>
        <v>#N/A</v>
      </c>
    </row>
    <row r="704" spans="1:37">
      <c r="A704" t="s">
        <v>3288</v>
      </c>
      <c r="B704" t="s">
        <v>3289</v>
      </c>
      <c r="C704" t="s">
        <v>2884</v>
      </c>
      <c r="D704" t="s">
        <v>3290</v>
      </c>
      <c r="E704" t="s">
        <v>25</v>
      </c>
      <c r="F704" t="s">
        <v>41</v>
      </c>
      <c r="G704" t="s">
        <v>73</v>
      </c>
      <c r="H704" t="s">
        <v>28</v>
      </c>
      <c r="I704" t="s">
        <v>135</v>
      </c>
      <c r="J704" t="s">
        <v>45</v>
      </c>
      <c r="K704" t="s">
        <v>46</v>
      </c>
      <c r="L704" t="s">
        <v>3291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  <c r="V704" s="1" t="s">
        <v>25</v>
      </c>
      <c r="W704" s="1" t="s">
        <v>41</v>
      </c>
      <c r="X704" s="1" t="s">
        <v>73</v>
      </c>
      <c r="Y704" s="1" t="s">
        <v>28</v>
      </c>
      <c r="Z704" s="1" t="s">
        <v>135</v>
      </c>
      <c r="AA704" s="1" t="s">
        <v>45</v>
      </c>
      <c r="AB704" s="1" t="s">
        <v>46</v>
      </c>
      <c r="AC704" s="1" t="s">
        <v>33</v>
      </c>
      <c r="AD704" s="1" t="s">
        <v>34</v>
      </c>
      <c r="AE704" s="1" t="s">
        <v>35</v>
      </c>
      <c r="AF704" s="5">
        <f t="shared" si="40"/>
        <v>45690</v>
      </c>
      <c r="AG704" s="5">
        <f t="shared" si="40"/>
        <v>45694</v>
      </c>
      <c r="AH704" s="5" t="b">
        <f t="shared" si="41"/>
        <v>1</v>
      </c>
      <c r="AI704" s="5" t="b">
        <f t="shared" si="41"/>
        <v>1</v>
      </c>
      <c r="AJ704" t="str">
        <f t="shared" si="42"/>
        <v>OK</v>
      </c>
      <c r="AK704">
        <f t="shared" si="43"/>
        <v>4</v>
      </c>
    </row>
    <row r="705" spans="1:37">
      <c r="A705" t="s">
        <v>3292</v>
      </c>
      <c r="B705" t="s">
        <v>3293</v>
      </c>
      <c r="C705" t="s">
        <v>2380</v>
      </c>
      <c r="D705" t="s">
        <v>3294</v>
      </c>
      <c r="E705" t="s">
        <v>107</v>
      </c>
      <c r="F705" t="s">
        <v>108</v>
      </c>
      <c r="G705" t="s">
        <v>27</v>
      </c>
      <c r="H705" t="s">
        <v>28</v>
      </c>
      <c r="I705" t="s">
        <v>29</v>
      </c>
      <c r="J705" t="s">
        <v>45</v>
      </c>
      <c r="K705" t="s">
        <v>46</v>
      </c>
      <c r="L705" t="s">
        <v>3295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  <c r="V705" s="1" t="s">
        <v>107</v>
      </c>
      <c r="W705" s="1" t="s">
        <v>108</v>
      </c>
      <c r="X705" s="1" t="s">
        <v>27</v>
      </c>
      <c r="Y705" s="1" t="s">
        <v>28</v>
      </c>
      <c r="Z705" s="1" t="s">
        <v>29</v>
      </c>
      <c r="AA705" s="1" t="s">
        <v>45</v>
      </c>
      <c r="AB705" s="1" t="s">
        <v>46</v>
      </c>
      <c r="AC705" s="1" t="s">
        <v>56</v>
      </c>
      <c r="AD705" s="1" t="s">
        <v>34</v>
      </c>
      <c r="AE705" s="1" t="s">
        <v>35</v>
      </c>
      <c r="AF705" s="5">
        <f t="shared" si="40"/>
        <v>45584</v>
      </c>
      <c r="AG705" s="5">
        <f t="shared" si="40"/>
        <v>45585</v>
      </c>
      <c r="AH705" s="5" t="b">
        <f t="shared" si="41"/>
        <v>1</v>
      </c>
      <c r="AI705" s="5" t="b">
        <f t="shared" si="41"/>
        <v>1</v>
      </c>
      <c r="AJ705" t="str">
        <f t="shared" si="42"/>
        <v>OK</v>
      </c>
      <c r="AK705">
        <f t="shared" si="43"/>
        <v>1</v>
      </c>
    </row>
    <row r="706" spans="1:37">
      <c r="A706" t="s">
        <v>3296</v>
      </c>
      <c r="B706" t="s">
        <v>1558</v>
      </c>
      <c r="C706" t="s">
        <v>3297</v>
      </c>
      <c r="D706" t="s">
        <v>3298</v>
      </c>
      <c r="E706" t="s">
        <v>142</v>
      </c>
      <c r="F706" t="s">
        <v>115</v>
      </c>
      <c r="G706" t="s">
        <v>62</v>
      </c>
      <c r="H706" t="s">
        <v>339</v>
      </c>
      <c r="I706" t="s">
        <v>340</v>
      </c>
      <c r="J706" t="s">
        <v>45</v>
      </c>
      <c r="K706" t="s">
        <v>204</v>
      </c>
      <c r="L706" t="s">
        <v>3299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  <c r="V706" s="1" t="s">
        <v>142</v>
      </c>
      <c r="W706" s="1" t="s">
        <v>115</v>
      </c>
      <c r="X706" s="1" t="s">
        <v>62</v>
      </c>
      <c r="Y706" s="1" t="s">
        <v>339</v>
      </c>
      <c r="Z706" s="1" t="s">
        <v>340</v>
      </c>
      <c r="AA706" s="1" t="s">
        <v>45</v>
      </c>
      <c r="AB706" s="1" t="s">
        <v>204</v>
      </c>
      <c r="AC706" s="1" t="s">
        <v>4119</v>
      </c>
      <c r="AD706" s="1" t="s">
        <v>34</v>
      </c>
      <c r="AE706" s="1" t="s">
        <v>35</v>
      </c>
      <c r="AF706" s="5">
        <f t="shared" si="40"/>
        <v>45364</v>
      </c>
      <c r="AG706" s="5">
        <f t="shared" si="40"/>
        <v>45371</v>
      </c>
      <c r="AH706" s="5" t="b">
        <f t="shared" si="41"/>
        <v>1</v>
      </c>
      <c r="AI706" s="5" t="b">
        <f t="shared" si="41"/>
        <v>1</v>
      </c>
      <c r="AJ706" t="str">
        <f t="shared" si="42"/>
        <v>OK</v>
      </c>
      <c r="AK706">
        <f t="shared" si="43"/>
        <v>7</v>
      </c>
    </row>
    <row r="707" spans="1:37">
      <c r="A707" t="s">
        <v>3300</v>
      </c>
      <c r="B707" t="s">
        <v>3301</v>
      </c>
      <c r="C707" t="s">
        <v>3302</v>
      </c>
      <c r="D707" t="s">
        <v>3303</v>
      </c>
      <c r="E707" t="s">
        <v>180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198</v>
      </c>
      <c r="L707" t="s">
        <v>3304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  <c r="V707" s="1" t="s">
        <v>180</v>
      </c>
      <c r="W707" s="1" t="s">
        <v>26</v>
      </c>
      <c r="X707" s="1" t="s">
        <v>27</v>
      </c>
      <c r="Y707" s="1" t="s">
        <v>28</v>
      </c>
      <c r="Z707" s="1" t="s">
        <v>29</v>
      </c>
      <c r="AA707" s="1" t="s">
        <v>30</v>
      </c>
      <c r="AB707" s="1" t="s">
        <v>198</v>
      </c>
      <c r="AC707" s="1" t="s">
        <v>67</v>
      </c>
      <c r="AD707" s="1" t="s">
        <v>34</v>
      </c>
      <c r="AE707" s="1" t="s">
        <v>35</v>
      </c>
      <c r="AF707" s="5">
        <f t="shared" ref="AF707:AG770" si="44">IFERROR(DATEVALUE(B707),IFERROR(DATE(VALUE(RIGHT(B707,4)),VALUE(MID(SUBSTITUTE(B707,"-","/"),6,2)),VALUE(LEFT(B707,2))),NA()))</f>
        <v>45543</v>
      </c>
      <c r="AG707" s="5">
        <f t="shared" si="44"/>
        <v>45549</v>
      </c>
      <c r="AH707" s="5" t="b">
        <f t="shared" ref="AH707:AI770" si="45">ISNUMBER(AF707)</f>
        <v>1</v>
      </c>
      <c r="AI707" s="5" t="b">
        <f t="shared" si="45"/>
        <v>1</v>
      </c>
      <c r="AJ707" t="str">
        <f t="shared" ref="AJ707:AJ770" si="46">IF(AG707&lt;AF707,"Invalid: Ship before Order","OK")</f>
        <v>OK</v>
      </c>
      <c r="AK707">
        <f t="shared" ref="AK707:AK770" si="47">DATEDIF(AF707, AG707, "D")</f>
        <v>6</v>
      </c>
    </row>
    <row r="708" spans="1:37">
      <c r="A708" t="s">
        <v>3305</v>
      </c>
      <c r="B708" t="s">
        <v>3306</v>
      </c>
      <c r="C708" t="s">
        <v>1043</v>
      </c>
      <c r="D708" t="s">
        <v>3307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3308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  <c r="V708" s="1" t="s">
        <v>53</v>
      </c>
      <c r="W708" s="1" t="s">
        <v>41</v>
      </c>
      <c r="X708" s="1" t="s">
        <v>42</v>
      </c>
      <c r="Y708" s="1" t="s">
        <v>43</v>
      </c>
      <c r="Z708" s="1" t="s">
        <v>44</v>
      </c>
      <c r="AA708" s="1" t="s">
        <v>30</v>
      </c>
      <c r="AB708" s="1" t="s">
        <v>31</v>
      </c>
      <c r="AC708" s="1" t="s">
        <v>48</v>
      </c>
      <c r="AD708" s="1" t="s">
        <v>34</v>
      </c>
      <c r="AE708" s="1" t="s">
        <v>35</v>
      </c>
      <c r="AF708" s="5" t="e">
        <f t="shared" si="44"/>
        <v>#N/A</v>
      </c>
      <c r="AG708" s="5" t="e">
        <f t="shared" si="44"/>
        <v>#N/A</v>
      </c>
      <c r="AH708" s="5" t="b">
        <f t="shared" si="45"/>
        <v>0</v>
      </c>
      <c r="AI708" s="5" t="b">
        <f t="shared" si="45"/>
        <v>0</v>
      </c>
      <c r="AJ708" t="e">
        <f t="shared" si="46"/>
        <v>#N/A</v>
      </c>
      <c r="AK708" t="e">
        <f t="shared" si="47"/>
        <v>#N/A</v>
      </c>
    </row>
    <row r="709" spans="1:37">
      <c r="A709" t="s">
        <v>3309</v>
      </c>
      <c r="B709" t="s">
        <v>3310</v>
      </c>
      <c r="C709" t="s">
        <v>2371</v>
      </c>
      <c r="D709" t="s">
        <v>3311</v>
      </c>
      <c r="E709" t="s">
        <v>83</v>
      </c>
      <c r="F709" t="s">
        <v>26</v>
      </c>
      <c r="G709" t="s">
        <v>27</v>
      </c>
      <c r="H709" t="s">
        <v>28</v>
      </c>
      <c r="I709" t="s">
        <v>29</v>
      </c>
      <c r="J709" t="s">
        <v>86</v>
      </c>
      <c r="K709" t="s">
        <v>87</v>
      </c>
      <c r="L709" t="s">
        <v>3312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  <c r="V709" s="1" t="s">
        <v>83</v>
      </c>
      <c r="W709" s="1" t="s">
        <v>26</v>
      </c>
      <c r="X709" s="1" t="s">
        <v>27</v>
      </c>
      <c r="Y709" s="1" t="s">
        <v>28</v>
      </c>
      <c r="Z709" s="1" t="s">
        <v>29</v>
      </c>
      <c r="AA709" s="1" t="s">
        <v>86</v>
      </c>
      <c r="AB709" s="1" t="s">
        <v>87</v>
      </c>
      <c r="AC709" s="1" t="s">
        <v>48</v>
      </c>
      <c r="AD709" s="1" t="s">
        <v>34</v>
      </c>
      <c r="AE709" s="1" t="s">
        <v>35</v>
      </c>
      <c r="AF709" s="5" t="e">
        <f t="shared" si="44"/>
        <v>#N/A</v>
      </c>
      <c r="AG709" s="5">
        <f t="shared" si="44"/>
        <v>45834</v>
      </c>
      <c r="AH709" s="5" t="b">
        <f t="shared" si="45"/>
        <v>0</v>
      </c>
      <c r="AI709" s="5" t="b">
        <f t="shared" si="45"/>
        <v>1</v>
      </c>
      <c r="AJ709" t="e">
        <f t="shared" si="46"/>
        <v>#N/A</v>
      </c>
      <c r="AK709" t="e">
        <f t="shared" si="47"/>
        <v>#N/A</v>
      </c>
    </row>
    <row r="710" spans="1:37">
      <c r="A710" t="s">
        <v>3313</v>
      </c>
      <c r="B710" t="s">
        <v>3314</v>
      </c>
      <c r="C710" t="s">
        <v>3315</v>
      </c>
      <c r="D710" t="s">
        <v>3316</v>
      </c>
      <c r="E710" t="s">
        <v>168</v>
      </c>
      <c r="F710" t="s">
        <v>26</v>
      </c>
      <c r="G710" t="s">
        <v>42</v>
      </c>
      <c r="H710" t="s">
        <v>216</v>
      </c>
      <c r="I710" t="s">
        <v>217</v>
      </c>
      <c r="J710" t="s">
        <v>45</v>
      </c>
      <c r="K710" t="s">
        <v>204</v>
      </c>
      <c r="L710" t="s">
        <v>3317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  <c r="V710" s="1" t="s">
        <v>168</v>
      </c>
      <c r="W710" s="1" t="s">
        <v>26</v>
      </c>
      <c r="X710" s="1" t="s">
        <v>42</v>
      </c>
      <c r="Y710" s="1" t="s">
        <v>216</v>
      </c>
      <c r="Z710" s="1" t="s">
        <v>217</v>
      </c>
      <c r="AA710" s="1" t="s">
        <v>45</v>
      </c>
      <c r="AB710" s="1" t="s">
        <v>204</v>
      </c>
      <c r="AC710" s="1" t="s">
        <v>56</v>
      </c>
      <c r="AD710" s="1" t="s">
        <v>34</v>
      </c>
      <c r="AE710" s="1" t="s">
        <v>35</v>
      </c>
      <c r="AF710" s="5">
        <f t="shared" si="44"/>
        <v>45736</v>
      </c>
      <c r="AG710" s="5">
        <f t="shared" si="44"/>
        <v>45742</v>
      </c>
      <c r="AH710" s="5" t="b">
        <f t="shared" si="45"/>
        <v>1</v>
      </c>
      <c r="AI710" s="5" t="b">
        <f t="shared" si="45"/>
        <v>1</v>
      </c>
      <c r="AJ710" t="str">
        <f t="shared" si="46"/>
        <v>OK</v>
      </c>
      <c r="AK710">
        <f t="shared" si="47"/>
        <v>6</v>
      </c>
    </row>
    <row r="711" spans="1:37">
      <c r="A711" t="s">
        <v>3318</v>
      </c>
      <c r="B711" t="s">
        <v>195</v>
      </c>
      <c r="C711" t="s">
        <v>184</v>
      </c>
      <c r="D711" t="s">
        <v>3319</v>
      </c>
      <c r="E711" t="s">
        <v>366</v>
      </c>
      <c r="F711" t="s">
        <v>115</v>
      </c>
      <c r="G711" t="s">
        <v>27</v>
      </c>
      <c r="H711" t="s">
        <v>154</v>
      </c>
      <c r="I711" t="s">
        <v>155</v>
      </c>
      <c r="J711" t="s">
        <v>86</v>
      </c>
      <c r="K711" t="s">
        <v>223</v>
      </c>
      <c r="L711" t="s">
        <v>3320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  <c r="V711" s="1" t="s">
        <v>366</v>
      </c>
      <c r="W711" s="1" t="s">
        <v>115</v>
      </c>
      <c r="X711" s="1" t="s">
        <v>27</v>
      </c>
      <c r="Y711" s="1" t="s">
        <v>154</v>
      </c>
      <c r="Z711" s="1" t="s">
        <v>155</v>
      </c>
      <c r="AA711" s="1" t="s">
        <v>86</v>
      </c>
      <c r="AB711" s="1" t="s">
        <v>223</v>
      </c>
      <c r="AC711" s="1" t="s">
        <v>48</v>
      </c>
      <c r="AD711" s="1" t="s">
        <v>34</v>
      </c>
      <c r="AE711" s="1" t="s">
        <v>78</v>
      </c>
      <c r="AF711" s="5">
        <f t="shared" si="44"/>
        <v>45676</v>
      </c>
      <c r="AG711" s="5">
        <f t="shared" si="44"/>
        <v>45680</v>
      </c>
      <c r="AH711" s="5" t="b">
        <f t="shared" si="45"/>
        <v>1</v>
      </c>
      <c r="AI711" s="5" t="b">
        <f t="shared" si="45"/>
        <v>1</v>
      </c>
      <c r="AJ711" t="str">
        <f t="shared" si="46"/>
        <v>OK</v>
      </c>
      <c r="AK711">
        <f t="shared" si="47"/>
        <v>4</v>
      </c>
    </row>
    <row r="712" spans="1:37">
      <c r="A712" t="s">
        <v>3321</v>
      </c>
      <c r="B712" t="s">
        <v>3322</v>
      </c>
      <c r="C712" t="s">
        <v>3323</v>
      </c>
      <c r="D712" t="s">
        <v>3324</v>
      </c>
      <c r="E712" t="s">
        <v>83</v>
      </c>
      <c r="F712" t="s">
        <v>108</v>
      </c>
      <c r="G712" t="s">
        <v>27</v>
      </c>
      <c r="H712" t="s">
        <v>154</v>
      </c>
      <c r="I712" t="s">
        <v>155</v>
      </c>
      <c r="J712" t="s">
        <v>30</v>
      </c>
      <c r="K712" t="s">
        <v>54</v>
      </c>
      <c r="L712" t="s">
        <v>3325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  <c r="V712" s="1" t="s">
        <v>83</v>
      </c>
      <c r="W712" s="1" t="s">
        <v>108</v>
      </c>
      <c r="X712" s="1" t="s">
        <v>27</v>
      </c>
      <c r="Y712" s="1" t="s">
        <v>154</v>
      </c>
      <c r="Z712" s="1" t="s">
        <v>155</v>
      </c>
      <c r="AA712" s="1" t="s">
        <v>30</v>
      </c>
      <c r="AB712" s="1" t="s">
        <v>54</v>
      </c>
      <c r="AC712" s="1" t="s">
        <v>33</v>
      </c>
      <c r="AD712" s="1" t="s">
        <v>34</v>
      </c>
      <c r="AE712" s="1" t="s">
        <v>35</v>
      </c>
      <c r="AF712" s="5">
        <f t="shared" si="44"/>
        <v>45485</v>
      </c>
      <c r="AG712" s="5">
        <f t="shared" si="44"/>
        <v>45492</v>
      </c>
      <c r="AH712" s="5" t="b">
        <f t="shared" si="45"/>
        <v>1</v>
      </c>
      <c r="AI712" s="5" t="b">
        <f t="shared" si="45"/>
        <v>1</v>
      </c>
      <c r="AJ712" t="str">
        <f t="shared" si="46"/>
        <v>OK</v>
      </c>
      <c r="AK712">
        <f t="shared" si="47"/>
        <v>7</v>
      </c>
    </row>
    <row r="713" spans="1:37">
      <c r="A713" t="s">
        <v>3326</v>
      </c>
      <c r="B713" t="s">
        <v>3327</v>
      </c>
      <c r="C713" t="s">
        <v>3289</v>
      </c>
      <c r="D713" t="s">
        <v>3328</v>
      </c>
      <c r="E713" t="s">
        <v>366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382</v>
      </c>
      <c r="L713" t="s">
        <v>3329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137</v>
      </c>
      <c r="U713" t="s">
        <v>125</v>
      </c>
      <c r="V713" s="1" t="s">
        <v>366</v>
      </c>
      <c r="W713" s="1" t="s">
        <v>108</v>
      </c>
      <c r="X713" s="1" t="s">
        <v>42</v>
      </c>
      <c r="Y713" s="1" t="s">
        <v>121</v>
      </c>
      <c r="Z713" s="1" t="s">
        <v>122</v>
      </c>
      <c r="AA713" s="1" t="s">
        <v>86</v>
      </c>
      <c r="AB713" s="1" t="s">
        <v>382</v>
      </c>
      <c r="AC713" s="1" t="s">
        <v>56</v>
      </c>
      <c r="AD713" s="1" t="s">
        <v>137</v>
      </c>
      <c r="AE713" s="1" t="s">
        <v>125</v>
      </c>
      <c r="AF713" s="5">
        <f t="shared" si="44"/>
        <v>45690</v>
      </c>
      <c r="AG713" s="5">
        <f t="shared" si="44"/>
        <v>45690</v>
      </c>
      <c r="AH713" s="5" t="b">
        <f t="shared" si="45"/>
        <v>1</v>
      </c>
      <c r="AI713" s="5" t="b">
        <f t="shared" si="45"/>
        <v>1</v>
      </c>
      <c r="AJ713" t="str">
        <f t="shared" si="46"/>
        <v>OK</v>
      </c>
      <c r="AK713">
        <f t="shared" si="47"/>
        <v>0</v>
      </c>
    </row>
    <row r="714" spans="1:37">
      <c r="A714" t="s">
        <v>3330</v>
      </c>
      <c r="B714" t="s">
        <v>2129</v>
      </c>
      <c r="C714" t="s">
        <v>3331</v>
      </c>
      <c r="D714" t="s">
        <v>3332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3333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  <c r="V714" s="1" t="s">
        <v>53</v>
      </c>
      <c r="W714" s="1" t="s">
        <v>115</v>
      </c>
      <c r="X714" s="1" t="s">
        <v>73</v>
      </c>
      <c r="Y714" s="1" t="s">
        <v>84</v>
      </c>
      <c r="Z714" s="1" t="s">
        <v>85</v>
      </c>
      <c r="AA714" s="1" t="s">
        <v>45</v>
      </c>
      <c r="AB714" s="1" t="s">
        <v>76</v>
      </c>
      <c r="AC714" s="1" t="s">
        <v>56</v>
      </c>
      <c r="AD714" s="1" t="s">
        <v>34</v>
      </c>
      <c r="AE714" s="1" t="s">
        <v>35</v>
      </c>
      <c r="AF714" s="5">
        <f t="shared" si="44"/>
        <v>45332</v>
      </c>
      <c r="AG714" s="5">
        <f t="shared" si="44"/>
        <v>45340</v>
      </c>
      <c r="AH714" s="5" t="b">
        <f t="shared" si="45"/>
        <v>1</v>
      </c>
      <c r="AI714" s="5" t="b">
        <f t="shared" si="45"/>
        <v>1</v>
      </c>
      <c r="AJ714" t="str">
        <f t="shared" si="46"/>
        <v>OK</v>
      </c>
      <c r="AK714">
        <f t="shared" si="47"/>
        <v>8</v>
      </c>
    </row>
    <row r="715" spans="1:37">
      <c r="A715" t="s">
        <v>3334</v>
      </c>
      <c r="B715" t="s">
        <v>3335</v>
      </c>
      <c r="C715" t="s">
        <v>3182</v>
      </c>
      <c r="D715" t="s">
        <v>903</v>
      </c>
      <c r="E715" t="s">
        <v>40</v>
      </c>
      <c r="F715" t="s">
        <v>26</v>
      </c>
      <c r="G715" t="s">
        <v>73</v>
      </c>
      <c r="H715" t="s">
        <v>28</v>
      </c>
      <c r="I715" t="s">
        <v>135</v>
      </c>
      <c r="J715" t="s">
        <v>86</v>
      </c>
      <c r="K715" t="s">
        <v>382</v>
      </c>
      <c r="L715" t="s">
        <v>3336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  <c r="V715" s="1" t="s">
        <v>40</v>
      </c>
      <c r="W715" s="1" t="s">
        <v>26</v>
      </c>
      <c r="X715" s="1" t="s">
        <v>73</v>
      </c>
      <c r="Y715" s="1" t="s">
        <v>28</v>
      </c>
      <c r="Z715" s="1" t="s">
        <v>135</v>
      </c>
      <c r="AA715" s="1" t="s">
        <v>86</v>
      </c>
      <c r="AB715" s="1" t="s">
        <v>382</v>
      </c>
      <c r="AC715" s="1" t="s">
        <v>33</v>
      </c>
      <c r="AD715" s="1" t="s">
        <v>34</v>
      </c>
      <c r="AE715" s="1" t="s">
        <v>35</v>
      </c>
      <c r="AF715" s="5">
        <f t="shared" si="44"/>
        <v>45814</v>
      </c>
      <c r="AG715" s="5">
        <f t="shared" si="44"/>
        <v>45818</v>
      </c>
      <c r="AH715" s="5" t="b">
        <f t="shared" si="45"/>
        <v>1</v>
      </c>
      <c r="AI715" s="5" t="b">
        <f t="shared" si="45"/>
        <v>1</v>
      </c>
      <c r="AJ715" t="str">
        <f t="shared" si="46"/>
        <v>OK</v>
      </c>
      <c r="AK715">
        <f t="shared" si="47"/>
        <v>4</v>
      </c>
    </row>
    <row r="716" spans="1:37">
      <c r="A716" t="s">
        <v>3337</v>
      </c>
      <c r="B716" t="s">
        <v>2115</v>
      </c>
      <c r="C716" t="s">
        <v>2231</v>
      </c>
      <c r="D716" t="s">
        <v>3338</v>
      </c>
      <c r="E716" t="s">
        <v>25</v>
      </c>
      <c r="F716" t="s">
        <v>115</v>
      </c>
      <c r="G716" t="s">
        <v>27</v>
      </c>
      <c r="H716" t="s">
        <v>506</v>
      </c>
      <c r="I716" t="s">
        <v>507</v>
      </c>
      <c r="J716" t="s">
        <v>86</v>
      </c>
      <c r="K716" t="s">
        <v>94</v>
      </c>
      <c r="L716" t="s">
        <v>3339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  <c r="V716" s="1" t="s">
        <v>25</v>
      </c>
      <c r="W716" s="1" t="s">
        <v>115</v>
      </c>
      <c r="X716" s="1" t="s">
        <v>27</v>
      </c>
      <c r="Y716" s="1" t="s">
        <v>506</v>
      </c>
      <c r="Z716" s="1" t="s">
        <v>507</v>
      </c>
      <c r="AA716" s="1" t="s">
        <v>86</v>
      </c>
      <c r="AB716" s="1" t="s">
        <v>94</v>
      </c>
      <c r="AC716" s="1" t="s">
        <v>67</v>
      </c>
      <c r="AD716" s="1" t="s">
        <v>34</v>
      </c>
      <c r="AE716" s="1" t="s">
        <v>35</v>
      </c>
      <c r="AF716" s="5">
        <f t="shared" si="44"/>
        <v>45738</v>
      </c>
      <c r="AG716" s="5">
        <f t="shared" si="44"/>
        <v>45739</v>
      </c>
      <c r="AH716" s="5" t="b">
        <f t="shared" si="45"/>
        <v>1</v>
      </c>
      <c r="AI716" s="5" t="b">
        <f t="shared" si="45"/>
        <v>1</v>
      </c>
      <c r="AJ716" t="str">
        <f t="shared" si="46"/>
        <v>OK</v>
      </c>
      <c r="AK716">
        <f t="shared" si="47"/>
        <v>1</v>
      </c>
    </row>
    <row r="717" spans="1:37">
      <c r="A717" t="s">
        <v>3340</v>
      </c>
      <c r="B717" t="s">
        <v>454</v>
      </c>
      <c r="C717" t="s">
        <v>455</v>
      </c>
      <c r="D717" t="s">
        <v>3341</v>
      </c>
      <c r="E717" t="s">
        <v>142</v>
      </c>
      <c r="F717" t="s">
        <v>26</v>
      </c>
      <c r="G717" t="s">
        <v>27</v>
      </c>
      <c r="H717" t="s">
        <v>323</v>
      </c>
      <c r="I717" t="s">
        <v>324</v>
      </c>
      <c r="J717" t="s">
        <v>45</v>
      </c>
      <c r="K717" t="s">
        <v>76</v>
      </c>
      <c r="L717" t="s">
        <v>3342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  <c r="V717" s="1" t="s">
        <v>142</v>
      </c>
      <c r="W717" s="1" t="s">
        <v>26</v>
      </c>
      <c r="X717" s="1" t="s">
        <v>27</v>
      </c>
      <c r="Y717" s="1" t="s">
        <v>323</v>
      </c>
      <c r="Z717" s="1" t="s">
        <v>324</v>
      </c>
      <c r="AA717" s="1" t="s">
        <v>45</v>
      </c>
      <c r="AB717" s="1" t="s">
        <v>76</v>
      </c>
      <c r="AC717" s="1" t="s">
        <v>33</v>
      </c>
      <c r="AD717" s="1" t="s">
        <v>124</v>
      </c>
      <c r="AE717" s="1" t="s">
        <v>78</v>
      </c>
      <c r="AF717" s="5">
        <f t="shared" si="44"/>
        <v>45891</v>
      </c>
      <c r="AG717" s="5">
        <f t="shared" si="44"/>
        <v>45896</v>
      </c>
      <c r="AH717" s="5" t="b">
        <f t="shared" si="45"/>
        <v>1</v>
      </c>
      <c r="AI717" s="5" t="b">
        <f t="shared" si="45"/>
        <v>1</v>
      </c>
      <c r="AJ717" t="str">
        <f t="shared" si="46"/>
        <v>OK</v>
      </c>
      <c r="AK717">
        <f t="shared" si="47"/>
        <v>5</v>
      </c>
    </row>
    <row r="718" spans="1:37">
      <c r="A718" t="s">
        <v>3343</v>
      </c>
      <c r="B718" t="s">
        <v>3344</v>
      </c>
      <c r="C718" t="s">
        <v>202</v>
      </c>
      <c r="D718" t="s">
        <v>3345</v>
      </c>
      <c r="E718" t="s">
        <v>210</v>
      </c>
      <c r="F718" t="s">
        <v>41</v>
      </c>
      <c r="G718" t="s">
        <v>27</v>
      </c>
      <c r="H718" t="s">
        <v>323</v>
      </c>
      <c r="I718" t="s">
        <v>324</v>
      </c>
      <c r="J718" t="s">
        <v>86</v>
      </c>
      <c r="K718" t="s">
        <v>223</v>
      </c>
      <c r="L718" t="s">
        <v>3346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  <c r="V718" s="1" t="s">
        <v>210</v>
      </c>
      <c r="W718" s="1" t="s">
        <v>41</v>
      </c>
      <c r="X718" s="1" t="s">
        <v>27</v>
      </c>
      <c r="Y718" s="1" t="s">
        <v>323</v>
      </c>
      <c r="Z718" s="1" t="s">
        <v>324</v>
      </c>
      <c r="AA718" s="1" t="s">
        <v>86</v>
      </c>
      <c r="AB718" s="1" t="s">
        <v>223</v>
      </c>
      <c r="AC718" s="1" t="s">
        <v>56</v>
      </c>
      <c r="AD718" s="1" t="s">
        <v>34</v>
      </c>
      <c r="AE718" s="1" t="s">
        <v>35</v>
      </c>
      <c r="AF718" s="5">
        <f t="shared" si="44"/>
        <v>45895</v>
      </c>
      <c r="AG718" s="5" t="e">
        <f t="shared" si="44"/>
        <v>#N/A</v>
      </c>
      <c r="AH718" s="5" t="b">
        <f t="shared" si="45"/>
        <v>1</v>
      </c>
      <c r="AI718" s="5" t="b">
        <f t="shared" si="45"/>
        <v>0</v>
      </c>
      <c r="AJ718" t="e">
        <f t="shared" si="46"/>
        <v>#N/A</v>
      </c>
      <c r="AK718" t="e">
        <f t="shared" si="47"/>
        <v>#N/A</v>
      </c>
    </row>
    <row r="719" spans="1:37">
      <c r="A719" t="s">
        <v>3347</v>
      </c>
      <c r="B719" t="s">
        <v>3348</v>
      </c>
      <c r="C719" t="s">
        <v>309</v>
      </c>
      <c r="D719" t="s">
        <v>3349</v>
      </c>
      <c r="E719" t="s">
        <v>366</v>
      </c>
      <c r="F719" t="s">
        <v>41</v>
      </c>
      <c r="G719" t="s">
        <v>27</v>
      </c>
      <c r="H719" t="s">
        <v>323</v>
      </c>
      <c r="I719" t="s">
        <v>324</v>
      </c>
      <c r="J719" t="s">
        <v>86</v>
      </c>
      <c r="K719" t="s">
        <v>382</v>
      </c>
      <c r="L719" t="s">
        <v>3350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137</v>
      </c>
      <c r="U719" t="s">
        <v>78</v>
      </c>
      <c r="V719" s="1" t="s">
        <v>366</v>
      </c>
      <c r="W719" s="1" t="s">
        <v>41</v>
      </c>
      <c r="X719" s="1" t="s">
        <v>27</v>
      </c>
      <c r="Y719" s="1" t="s">
        <v>323</v>
      </c>
      <c r="Z719" s="1" t="s">
        <v>324</v>
      </c>
      <c r="AA719" s="1" t="s">
        <v>86</v>
      </c>
      <c r="AB719" s="1" t="s">
        <v>382</v>
      </c>
      <c r="AC719" s="1" t="s">
        <v>67</v>
      </c>
      <c r="AD719" s="1" t="s">
        <v>137</v>
      </c>
      <c r="AE719" s="1" t="s">
        <v>78</v>
      </c>
      <c r="AF719" s="5">
        <f t="shared" si="44"/>
        <v>46001</v>
      </c>
      <c r="AG719" s="5">
        <f t="shared" si="44"/>
        <v>45945</v>
      </c>
      <c r="AH719" s="5" t="b">
        <f t="shared" si="45"/>
        <v>1</v>
      </c>
      <c r="AI719" s="5" t="b">
        <f t="shared" si="45"/>
        <v>1</v>
      </c>
      <c r="AJ719" t="str">
        <f t="shared" si="46"/>
        <v>Invalid: Ship before Order</v>
      </c>
      <c r="AK719" t="e">
        <f t="shared" si="47"/>
        <v>#NUM!</v>
      </c>
    </row>
    <row r="720" spans="1:37">
      <c r="A720" t="s">
        <v>3351</v>
      </c>
      <c r="B720" t="s">
        <v>3352</v>
      </c>
      <c r="C720" t="s">
        <v>876</v>
      </c>
      <c r="D720" t="s">
        <v>3353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3354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  <c r="V720" s="1" t="s">
        <v>40</v>
      </c>
      <c r="W720" s="1" t="s">
        <v>26</v>
      </c>
      <c r="X720" s="1" t="s">
        <v>73</v>
      </c>
      <c r="Y720" s="1" t="s">
        <v>74</v>
      </c>
      <c r="Z720" s="1" t="s">
        <v>75</v>
      </c>
      <c r="AA720" s="1" t="s">
        <v>30</v>
      </c>
      <c r="AB720" s="1" t="s">
        <v>54</v>
      </c>
      <c r="AC720" s="1" t="s">
        <v>48</v>
      </c>
      <c r="AD720" s="1" t="s">
        <v>34</v>
      </c>
      <c r="AE720" s="1" t="s">
        <v>35</v>
      </c>
      <c r="AF720" s="5">
        <f t="shared" si="44"/>
        <v>45541</v>
      </c>
      <c r="AG720" s="5">
        <f t="shared" si="44"/>
        <v>45544</v>
      </c>
      <c r="AH720" s="5" t="b">
        <f t="shared" si="45"/>
        <v>1</v>
      </c>
      <c r="AI720" s="5" t="b">
        <f t="shared" si="45"/>
        <v>1</v>
      </c>
      <c r="AJ720" t="str">
        <f t="shared" si="46"/>
        <v>OK</v>
      </c>
      <c r="AK720">
        <f t="shared" si="47"/>
        <v>3</v>
      </c>
    </row>
    <row r="721" spans="1:37">
      <c r="A721" t="s">
        <v>3355</v>
      </c>
      <c r="B721" t="s">
        <v>1724</v>
      </c>
      <c r="C721" t="s">
        <v>1725</v>
      </c>
      <c r="D721" t="s">
        <v>185</v>
      </c>
      <c r="E721" t="s">
        <v>366</v>
      </c>
      <c r="F721" t="s">
        <v>108</v>
      </c>
      <c r="G721" t="s">
        <v>73</v>
      </c>
      <c r="H721" t="s">
        <v>235</v>
      </c>
      <c r="I721" t="s">
        <v>236</v>
      </c>
      <c r="J721" t="s">
        <v>30</v>
      </c>
      <c r="K721" t="s">
        <v>54</v>
      </c>
      <c r="L721" t="s">
        <v>3356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  <c r="V721" s="1" t="s">
        <v>366</v>
      </c>
      <c r="W721" s="1" t="s">
        <v>108</v>
      </c>
      <c r="X721" s="1" t="s">
        <v>73</v>
      </c>
      <c r="Y721" s="1" t="s">
        <v>235</v>
      </c>
      <c r="Z721" s="1" t="s">
        <v>236</v>
      </c>
      <c r="AA721" s="1" t="s">
        <v>30</v>
      </c>
      <c r="AB721" s="1" t="s">
        <v>54</v>
      </c>
      <c r="AC721" s="1" t="s">
        <v>48</v>
      </c>
      <c r="AD721" s="1" t="s">
        <v>34</v>
      </c>
      <c r="AE721" s="1" t="s">
        <v>35</v>
      </c>
      <c r="AF721" s="5">
        <f t="shared" si="44"/>
        <v>45908</v>
      </c>
      <c r="AG721" s="5">
        <f t="shared" si="44"/>
        <v>45909</v>
      </c>
      <c r="AH721" s="5" t="b">
        <f t="shared" si="45"/>
        <v>1</v>
      </c>
      <c r="AI721" s="5" t="b">
        <f t="shared" si="45"/>
        <v>1</v>
      </c>
      <c r="AJ721" t="str">
        <f t="shared" si="46"/>
        <v>OK</v>
      </c>
      <c r="AK721">
        <f t="shared" si="47"/>
        <v>1</v>
      </c>
    </row>
    <row r="722" spans="1:37">
      <c r="A722" t="s">
        <v>3357</v>
      </c>
      <c r="B722" t="s">
        <v>1109</v>
      </c>
      <c r="C722" t="s">
        <v>3358</v>
      </c>
      <c r="D722" t="s">
        <v>3359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3360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  <c r="V722" s="1" t="s">
        <v>107</v>
      </c>
      <c r="W722" s="1" t="s">
        <v>115</v>
      </c>
      <c r="X722" s="1" t="s">
        <v>73</v>
      </c>
      <c r="Y722" s="1" t="s">
        <v>84</v>
      </c>
      <c r="Z722" s="1" t="s">
        <v>85</v>
      </c>
      <c r="AA722" s="1" t="s">
        <v>86</v>
      </c>
      <c r="AB722" s="1" t="s">
        <v>94</v>
      </c>
      <c r="AC722" s="1" t="s">
        <v>48</v>
      </c>
      <c r="AD722" s="1" t="s">
        <v>34</v>
      </c>
      <c r="AE722" s="1" t="s">
        <v>35</v>
      </c>
      <c r="AF722" s="5">
        <f t="shared" si="44"/>
        <v>45489</v>
      </c>
      <c r="AG722" s="5">
        <f t="shared" si="44"/>
        <v>45489</v>
      </c>
      <c r="AH722" s="5" t="b">
        <f t="shared" si="45"/>
        <v>1</v>
      </c>
      <c r="AI722" s="5" t="b">
        <f t="shared" si="45"/>
        <v>1</v>
      </c>
      <c r="AJ722" t="str">
        <f t="shared" si="46"/>
        <v>OK</v>
      </c>
      <c r="AK722">
        <f t="shared" si="47"/>
        <v>0</v>
      </c>
    </row>
    <row r="723" spans="1:37">
      <c r="A723" t="s">
        <v>3361</v>
      </c>
      <c r="B723" t="s">
        <v>254</v>
      </c>
      <c r="C723" t="s">
        <v>3362</v>
      </c>
      <c r="D723" t="s">
        <v>3363</v>
      </c>
      <c r="E723" t="s">
        <v>168</v>
      </c>
      <c r="F723" t="s">
        <v>26</v>
      </c>
      <c r="G723" t="s">
        <v>62</v>
      </c>
      <c r="H723" t="s">
        <v>229</v>
      </c>
      <c r="I723" t="s">
        <v>230</v>
      </c>
      <c r="J723" t="s">
        <v>86</v>
      </c>
      <c r="K723" t="s">
        <v>94</v>
      </c>
      <c r="L723" t="s">
        <v>3364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  <c r="V723" s="1" t="s">
        <v>168</v>
      </c>
      <c r="W723" s="1" t="s">
        <v>26</v>
      </c>
      <c r="X723" s="1" t="s">
        <v>62</v>
      </c>
      <c r="Y723" s="1" t="s">
        <v>229</v>
      </c>
      <c r="Z723" s="1" t="s">
        <v>230</v>
      </c>
      <c r="AA723" s="1" t="s">
        <v>86</v>
      </c>
      <c r="AB723" s="1" t="s">
        <v>94</v>
      </c>
      <c r="AC723" s="1" t="s">
        <v>56</v>
      </c>
      <c r="AD723" s="1" t="s">
        <v>34</v>
      </c>
      <c r="AE723" s="1" t="s">
        <v>35</v>
      </c>
      <c r="AF723" s="5" t="e">
        <f t="shared" si="44"/>
        <v>#N/A</v>
      </c>
      <c r="AG723" s="5" t="e">
        <f t="shared" si="44"/>
        <v>#N/A</v>
      </c>
      <c r="AH723" s="5" t="b">
        <f t="shared" si="45"/>
        <v>0</v>
      </c>
      <c r="AI723" s="5" t="b">
        <f t="shared" si="45"/>
        <v>0</v>
      </c>
      <c r="AJ723" t="e">
        <f t="shared" si="46"/>
        <v>#N/A</v>
      </c>
      <c r="AK723" t="e">
        <f t="shared" si="47"/>
        <v>#N/A</v>
      </c>
    </row>
    <row r="724" spans="1:37">
      <c r="A724" t="s">
        <v>3365</v>
      </c>
      <c r="B724" t="s">
        <v>2557</v>
      </c>
      <c r="C724" t="s">
        <v>3366</v>
      </c>
      <c r="D724" t="s">
        <v>3367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3368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  <c r="V724" s="1" t="s">
        <v>83</v>
      </c>
      <c r="W724" s="1" t="s">
        <v>26</v>
      </c>
      <c r="X724" s="1" t="s">
        <v>42</v>
      </c>
      <c r="Y724" s="1" t="s">
        <v>121</v>
      </c>
      <c r="Z724" s="1" t="s">
        <v>122</v>
      </c>
      <c r="AA724" s="1" t="s">
        <v>45</v>
      </c>
      <c r="AB724" s="1" t="s">
        <v>76</v>
      </c>
      <c r="AC724" s="1" t="s">
        <v>33</v>
      </c>
      <c r="AD724" s="1" t="s">
        <v>124</v>
      </c>
      <c r="AE724" s="1" t="s">
        <v>78</v>
      </c>
      <c r="AF724" s="5">
        <f t="shared" si="44"/>
        <v>45572</v>
      </c>
      <c r="AG724" s="5">
        <f t="shared" si="44"/>
        <v>45575</v>
      </c>
      <c r="AH724" s="5" t="b">
        <f t="shared" si="45"/>
        <v>1</v>
      </c>
      <c r="AI724" s="5" t="b">
        <f t="shared" si="45"/>
        <v>1</v>
      </c>
      <c r="AJ724" t="str">
        <f t="shared" si="46"/>
        <v>OK</v>
      </c>
      <c r="AK724">
        <f t="shared" si="47"/>
        <v>3</v>
      </c>
    </row>
    <row r="725" spans="1:37">
      <c r="A725" t="s">
        <v>3369</v>
      </c>
      <c r="B725" t="s">
        <v>887</v>
      </c>
      <c r="C725" t="s">
        <v>3370</v>
      </c>
      <c r="D725" t="s">
        <v>3371</v>
      </c>
      <c r="E725" t="s">
        <v>366</v>
      </c>
      <c r="F725" t="s">
        <v>115</v>
      </c>
      <c r="G725" t="s">
        <v>42</v>
      </c>
      <c r="H725" t="s">
        <v>311</v>
      </c>
      <c r="I725" t="s">
        <v>312</v>
      </c>
      <c r="J725" t="s">
        <v>86</v>
      </c>
      <c r="K725" t="s">
        <v>87</v>
      </c>
      <c r="L725" t="s">
        <v>3372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200</v>
      </c>
      <c r="U725" t="s">
        <v>125</v>
      </c>
      <c r="V725" s="1" t="s">
        <v>366</v>
      </c>
      <c r="W725" s="1" t="s">
        <v>115</v>
      </c>
      <c r="X725" s="1" t="s">
        <v>42</v>
      </c>
      <c r="Y725" s="1" t="s">
        <v>311</v>
      </c>
      <c r="Z725" s="1" t="s">
        <v>312</v>
      </c>
      <c r="AA725" s="1" t="s">
        <v>86</v>
      </c>
      <c r="AB725" s="1" t="s">
        <v>87</v>
      </c>
      <c r="AC725" s="1" t="s">
        <v>67</v>
      </c>
      <c r="AD725" s="1" t="s">
        <v>200</v>
      </c>
      <c r="AE725" s="1" t="s">
        <v>125</v>
      </c>
      <c r="AF725" s="5">
        <f t="shared" si="44"/>
        <v>45936</v>
      </c>
      <c r="AG725" s="5">
        <f t="shared" si="44"/>
        <v>45943</v>
      </c>
      <c r="AH725" s="5" t="b">
        <f t="shared" si="45"/>
        <v>1</v>
      </c>
      <c r="AI725" s="5" t="b">
        <f t="shared" si="45"/>
        <v>1</v>
      </c>
      <c r="AJ725" t="str">
        <f t="shared" si="46"/>
        <v>OK</v>
      </c>
      <c r="AK725">
        <f t="shared" si="47"/>
        <v>7</v>
      </c>
    </row>
    <row r="726" spans="1:37">
      <c r="A726" t="s">
        <v>3373</v>
      </c>
      <c r="B726" t="s">
        <v>3374</v>
      </c>
      <c r="C726" t="s">
        <v>1611</v>
      </c>
      <c r="D726" t="s">
        <v>3375</v>
      </c>
      <c r="E726" t="s">
        <v>25</v>
      </c>
      <c r="F726" t="s">
        <v>26</v>
      </c>
      <c r="G726" t="s">
        <v>73</v>
      </c>
      <c r="H726" t="s">
        <v>249</v>
      </c>
      <c r="I726" t="s">
        <v>250</v>
      </c>
      <c r="J726" t="s">
        <v>45</v>
      </c>
      <c r="K726" t="s">
        <v>65</v>
      </c>
      <c r="L726" t="s">
        <v>3376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  <c r="V726" s="1" t="s">
        <v>25</v>
      </c>
      <c r="W726" s="1" t="s">
        <v>26</v>
      </c>
      <c r="X726" s="1" t="s">
        <v>73</v>
      </c>
      <c r="Y726" s="1" t="s">
        <v>249</v>
      </c>
      <c r="Z726" s="1" t="s">
        <v>250</v>
      </c>
      <c r="AA726" s="1" t="s">
        <v>45</v>
      </c>
      <c r="AB726" s="1" t="s">
        <v>65</v>
      </c>
      <c r="AC726" s="1" t="s">
        <v>33</v>
      </c>
      <c r="AD726" s="1" t="s">
        <v>34</v>
      </c>
      <c r="AE726" s="1" t="s">
        <v>35</v>
      </c>
      <c r="AF726" s="5">
        <f t="shared" si="44"/>
        <v>45332</v>
      </c>
      <c r="AG726" s="5" t="e">
        <f t="shared" si="44"/>
        <v>#N/A</v>
      </c>
      <c r="AH726" s="5" t="b">
        <f t="shared" si="45"/>
        <v>1</v>
      </c>
      <c r="AI726" s="5" t="b">
        <f t="shared" si="45"/>
        <v>0</v>
      </c>
      <c r="AJ726" t="e">
        <f t="shared" si="46"/>
        <v>#N/A</v>
      </c>
      <c r="AK726" t="e">
        <f t="shared" si="47"/>
        <v>#N/A</v>
      </c>
    </row>
    <row r="727" spans="1:37">
      <c r="A727" t="s">
        <v>3377</v>
      </c>
      <c r="B727" t="s">
        <v>3378</v>
      </c>
      <c r="C727" t="s">
        <v>139</v>
      </c>
      <c r="D727" t="s">
        <v>3379</v>
      </c>
      <c r="E727" t="s">
        <v>142</v>
      </c>
      <c r="F727" t="s">
        <v>108</v>
      </c>
      <c r="G727" t="s">
        <v>62</v>
      </c>
      <c r="H727" t="s">
        <v>229</v>
      </c>
      <c r="I727" t="s">
        <v>230</v>
      </c>
      <c r="J727" t="s">
        <v>45</v>
      </c>
      <c r="K727" t="s">
        <v>46</v>
      </c>
      <c r="L727" t="s">
        <v>3380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  <c r="V727" s="1" t="s">
        <v>142</v>
      </c>
      <c r="W727" s="1" t="s">
        <v>108</v>
      </c>
      <c r="X727" s="1" t="s">
        <v>62</v>
      </c>
      <c r="Y727" s="1" t="s">
        <v>229</v>
      </c>
      <c r="Z727" s="1" t="s">
        <v>230</v>
      </c>
      <c r="AA727" s="1" t="s">
        <v>45</v>
      </c>
      <c r="AB727" s="1" t="s">
        <v>46</v>
      </c>
      <c r="AC727" s="1" t="s">
        <v>33</v>
      </c>
      <c r="AD727" s="1" t="s">
        <v>34</v>
      </c>
      <c r="AE727" s="1" t="s">
        <v>35</v>
      </c>
      <c r="AF727" s="5">
        <f t="shared" si="44"/>
        <v>45935</v>
      </c>
      <c r="AG727" s="5">
        <f t="shared" si="44"/>
        <v>45942</v>
      </c>
      <c r="AH727" s="5" t="b">
        <f t="shared" si="45"/>
        <v>1</v>
      </c>
      <c r="AI727" s="5" t="b">
        <f t="shared" si="45"/>
        <v>1</v>
      </c>
      <c r="AJ727" t="str">
        <f t="shared" si="46"/>
        <v>OK</v>
      </c>
      <c r="AK727">
        <f t="shared" si="47"/>
        <v>7</v>
      </c>
    </row>
    <row r="728" spans="1:37">
      <c r="A728" t="s">
        <v>3381</v>
      </c>
      <c r="B728" t="s">
        <v>3382</v>
      </c>
      <c r="C728" t="s">
        <v>3383</v>
      </c>
      <c r="D728" t="s">
        <v>3384</v>
      </c>
      <c r="E728" t="s">
        <v>366</v>
      </c>
      <c r="F728" t="s">
        <v>115</v>
      </c>
      <c r="G728" t="s">
        <v>73</v>
      </c>
      <c r="H728" t="s">
        <v>235</v>
      </c>
      <c r="I728" t="s">
        <v>236</v>
      </c>
      <c r="J728" t="s">
        <v>86</v>
      </c>
      <c r="K728" t="s">
        <v>223</v>
      </c>
      <c r="L728" t="s">
        <v>3385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137</v>
      </c>
      <c r="U728" t="s">
        <v>125</v>
      </c>
      <c r="V728" s="1" t="s">
        <v>366</v>
      </c>
      <c r="W728" s="1" t="s">
        <v>115</v>
      </c>
      <c r="X728" s="1" t="s">
        <v>73</v>
      </c>
      <c r="Y728" s="1" t="s">
        <v>235</v>
      </c>
      <c r="Z728" s="1" t="s">
        <v>236</v>
      </c>
      <c r="AA728" s="1" t="s">
        <v>86</v>
      </c>
      <c r="AB728" s="1" t="s">
        <v>223</v>
      </c>
      <c r="AC728" s="1" t="s">
        <v>67</v>
      </c>
      <c r="AD728" s="1" t="s">
        <v>137</v>
      </c>
      <c r="AE728" s="1" t="s">
        <v>125</v>
      </c>
      <c r="AF728" s="5">
        <f t="shared" si="44"/>
        <v>45308</v>
      </c>
      <c r="AG728" s="5">
        <f t="shared" si="44"/>
        <v>45314</v>
      </c>
      <c r="AH728" s="5" t="b">
        <f t="shared" si="45"/>
        <v>1</v>
      </c>
      <c r="AI728" s="5" t="b">
        <f t="shared" si="45"/>
        <v>1</v>
      </c>
      <c r="AJ728" t="str">
        <f t="shared" si="46"/>
        <v>OK</v>
      </c>
      <c r="AK728">
        <f t="shared" si="47"/>
        <v>6</v>
      </c>
    </row>
    <row r="729" spans="1:37">
      <c r="A729" t="s">
        <v>3386</v>
      </c>
      <c r="B729" t="s">
        <v>3387</v>
      </c>
      <c r="C729" t="s">
        <v>3387</v>
      </c>
      <c r="D729" t="s">
        <v>3388</v>
      </c>
      <c r="E729" t="s">
        <v>162</v>
      </c>
      <c r="F729" t="s">
        <v>41</v>
      </c>
      <c r="G729" t="s">
        <v>42</v>
      </c>
      <c r="H729" t="s">
        <v>216</v>
      </c>
      <c r="I729" t="s">
        <v>217</v>
      </c>
      <c r="J729" t="s">
        <v>86</v>
      </c>
      <c r="K729" t="s">
        <v>87</v>
      </c>
      <c r="L729" t="s">
        <v>3389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  <c r="V729" s="1" t="s">
        <v>162</v>
      </c>
      <c r="W729" s="1" t="s">
        <v>41</v>
      </c>
      <c r="X729" s="1" t="s">
        <v>42</v>
      </c>
      <c r="Y729" s="1" t="s">
        <v>216</v>
      </c>
      <c r="Z729" s="1" t="s">
        <v>217</v>
      </c>
      <c r="AA729" s="1" t="s">
        <v>86</v>
      </c>
      <c r="AB729" s="1" t="s">
        <v>87</v>
      </c>
      <c r="AC729" s="1" t="s">
        <v>33</v>
      </c>
      <c r="AD729" s="1" t="s">
        <v>34</v>
      </c>
      <c r="AE729" s="1" t="s">
        <v>35</v>
      </c>
      <c r="AF729" s="5">
        <f t="shared" si="44"/>
        <v>45578</v>
      </c>
      <c r="AG729" s="5">
        <f t="shared" si="44"/>
        <v>45578</v>
      </c>
      <c r="AH729" s="5" t="b">
        <f t="shared" si="45"/>
        <v>1</v>
      </c>
      <c r="AI729" s="5" t="b">
        <f t="shared" si="45"/>
        <v>1</v>
      </c>
      <c r="AJ729" t="str">
        <f t="shared" si="46"/>
        <v>OK</v>
      </c>
      <c r="AK729">
        <f t="shared" si="47"/>
        <v>0</v>
      </c>
    </row>
    <row r="730" spans="1:37">
      <c r="A730" t="s">
        <v>3390</v>
      </c>
      <c r="B730" t="s">
        <v>3052</v>
      </c>
      <c r="C730" t="s">
        <v>1762</v>
      </c>
      <c r="D730" t="s">
        <v>3391</v>
      </c>
      <c r="E730" t="s">
        <v>168</v>
      </c>
      <c r="F730" t="s">
        <v>41</v>
      </c>
      <c r="G730" t="s">
        <v>62</v>
      </c>
      <c r="H730" t="s">
        <v>229</v>
      </c>
      <c r="I730" t="s">
        <v>230</v>
      </c>
      <c r="J730" t="s">
        <v>86</v>
      </c>
      <c r="K730" t="s">
        <v>382</v>
      </c>
      <c r="L730" t="s">
        <v>3392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  <c r="V730" s="1" t="s">
        <v>168</v>
      </c>
      <c r="W730" s="1" t="s">
        <v>41</v>
      </c>
      <c r="X730" s="1" t="s">
        <v>62</v>
      </c>
      <c r="Y730" s="1" t="s">
        <v>229</v>
      </c>
      <c r="Z730" s="1" t="s">
        <v>230</v>
      </c>
      <c r="AA730" s="1" t="s">
        <v>86</v>
      </c>
      <c r="AB730" s="1" t="s">
        <v>382</v>
      </c>
      <c r="AC730" s="1" t="s">
        <v>56</v>
      </c>
      <c r="AD730" s="1" t="s">
        <v>34</v>
      </c>
      <c r="AE730" s="1" t="s">
        <v>35</v>
      </c>
      <c r="AF730" s="5">
        <f t="shared" si="44"/>
        <v>45295</v>
      </c>
      <c r="AG730" s="5">
        <f t="shared" si="44"/>
        <v>45474</v>
      </c>
      <c r="AH730" s="5" t="b">
        <f t="shared" si="45"/>
        <v>1</v>
      </c>
      <c r="AI730" s="5" t="b">
        <f t="shared" si="45"/>
        <v>1</v>
      </c>
      <c r="AJ730" t="str">
        <f t="shared" si="46"/>
        <v>OK</v>
      </c>
      <c r="AK730">
        <f t="shared" si="47"/>
        <v>179</v>
      </c>
    </row>
    <row r="731" spans="1:37">
      <c r="A731" t="s">
        <v>3393</v>
      </c>
      <c r="B731" t="s">
        <v>3394</v>
      </c>
      <c r="C731" t="s">
        <v>3395</v>
      </c>
      <c r="D731" t="s">
        <v>3396</v>
      </c>
      <c r="E731" t="s">
        <v>72</v>
      </c>
      <c r="F731" t="s">
        <v>108</v>
      </c>
      <c r="G731" t="s">
        <v>62</v>
      </c>
      <c r="H731" t="s">
        <v>339</v>
      </c>
      <c r="I731" t="s">
        <v>340</v>
      </c>
      <c r="J731" t="s">
        <v>86</v>
      </c>
      <c r="K731" t="s">
        <v>382</v>
      </c>
      <c r="L731" t="s">
        <v>3397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  <c r="V731" s="1" t="s">
        <v>72</v>
      </c>
      <c r="W731" s="1" t="s">
        <v>108</v>
      </c>
      <c r="X731" s="1" t="s">
        <v>62</v>
      </c>
      <c r="Y731" s="1" t="s">
        <v>339</v>
      </c>
      <c r="Z731" s="1" t="s">
        <v>340</v>
      </c>
      <c r="AA731" s="1" t="s">
        <v>86</v>
      </c>
      <c r="AB731" s="1" t="s">
        <v>382</v>
      </c>
      <c r="AC731" s="1" t="s">
        <v>48</v>
      </c>
      <c r="AD731" s="1" t="s">
        <v>34</v>
      </c>
      <c r="AE731" s="1" t="s">
        <v>35</v>
      </c>
      <c r="AF731" s="5" t="e">
        <f t="shared" si="44"/>
        <v>#N/A</v>
      </c>
      <c r="AG731" s="5">
        <f t="shared" si="44"/>
        <v>45802</v>
      </c>
      <c r="AH731" s="5" t="b">
        <f t="shared" si="45"/>
        <v>0</v>
      </c>
      <c r="AI731" s="5" t="b">
        <f t="shared" si="45"/>
        <v>1</v>
      </c>
      <c r="AJ731" t="e">
        <f t="shared" si="46"/>
        <v>#N/A</v>
      </c>
      <c r="AK731" t="e">
        <f t="shared" si="47"/>
        <v>#N/A</v>
      </c>
    </row>
    <row r="732" spans="1:37">
      <c r="A732" t="s">
        <v>3398</v>
      </c>
      <c r="B732" t="s">
        <v>3399</v>
      </c>
      <c r="C732" t="s">
        <v>3310</v>
      </c>
      <c r="D732" t="s">
        <v>3400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3401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  <c r="V732" s="1" t="s">
        <v>61</v>
      </c>
      <c r="W732" s="1" t="s">
        <v>26</v>
      </c>
      <c r="X732" s="1" t="s">
        <v>42</v>
      </c>
      <c r="Y732" s="1" t="s">
        <v>121</v>
      </c>
      <c r="Z732" s="1" t="s">
        <v>122</v>
      </c>
      <c r="AA732" s="1" t="s">
        <v>30</v>
      </c>
      <c r="AB732" s="1" t="s">
        <v>54</v>
      </c>
      <c r="AC732" s="1" t="s">
        <v>33</v>
      </c>
      <c r="AD732" s="1" t="s">
        <v>124</v>
      </c>
      <c r="AE732" s="1" t="s">
        <v>125</v>
      </c>
      <c r="AF732" s="5">
        <f t="shared" si="44"/>
        <v>45827</v>
      </c>
      <c r="AG732" s="5" t="e">
        <f t="shared" si="44"/>
        <v>#N/A</v>
      </c>
      <c r="AH732" s="5" t="b">
        <f t="shared" si="45"/>
        <v>1</v>
      </c>
      <c r="AI732" s="5" t="b">
        <f t="shared" si="45"/>
        <v>0</v>
      </c>
      <c r="AJ732" t="e">
        <f t="shared" si="46"/>
        <v>#N/A</v>
      </c>
      <c r="AK732" t="e">
        <f t="shared" si="47"/>
        <v>#N/A</v>
      </c>
    </row>
    <row r="733" spans="1:37">
      <c r="A733" t="s">
        <v>3402</v>
      </c>
      <c r="B733" t="s">
        <v>3403</v>
      </c>
      <c r="C733" t="s">
        <v>3404</v>
      </c>
      <c r="D733" t="s">
        <v>3405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198</v>
      </c>
      <c r="L733" t="s">
        <v>3406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  <c r="V733" s="1" t="s">
        <v>72</v>
      </c>
      <c r="W733" s="1" t="s">
        <v>108</v>
      </c>
      <c r="X733" s="1" t="s">
        <v>42</v>
      </c>
      <c r="Y733" s="1" t="s">
        <v>43</v>
      </c>
      <c r="Z733" s="1" t="s">
        <v>44</v>
      </c>
      <c r="AA733" s="1" t="s">
        <v>30</v>
      </c>
      <c r="AB733" s="1" t="s">
        <v>198</v>
      </c>
      <c r="AC733" s="1" t="s">
        <v>56</v>
      </c>
      <c r="AD733" s="1" t="s">
        <v>34</v>
      </c>
      <c r="AE733" s="1" t="s">
        <v>35</v>
      </c>
      <c r="AF733" s="5">
        <f t="shared" si="44"/>
        <v>45368</v>
      </c>
      <c r="AG733" s="5">
        <f t="shared" si="44"/>
        <v>45370</v>
      </c>
      <c r="AH733" s="5" t="b">
        <f t="shared" si="45"/>
        <v>1</v>
      </c>
      <c r="AI733" s="5" t="b">
        <f t="shared" si="45"/>
        <v>1</v>
      </c>
      <c r="AJ733" t="str">
        <f t="shared" si="46"/>
        <v>OK</v>
      </c>
      <c r="AK733">
        <f t="shared" si="47"/>
        <v>2</v>
      </c>
    </row>
    <row r="734" spans="1:37">
      <c r="A734" t="s">
        <v>3407</v>
      </c>
      <c r="B734" t="s">
        <v>3408</v>
      </c>
      <c r="C734" t="s">
        <v>2821</v>
      </c>
      <c r="D734" t="s">
        <v>3409</v>
      </c>
      <c r="E734" t="s">
        <v>61</v>
      </c>
      <c r="F734" t="s">
        <v>41</v>
      </c>
      <c r="G734" t="s">
        <v>27</v>
      </c>
      <c r="H734" t="s">
        <v>154</v>
      </c>
      <c r="I734" t="s">
        <v>155</v>
      </c>
      <c r="J734" t="s">
        <v>86</v>
      </c>
      <c r="K734" t="s">
        <v>223</v>
      </c>
      <c r="L734" t="s">
        <v>3410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  <c r="V734" s="1" t="s">
        <v>61</v>
      </c>
      <c r="W734" s="1" t="s">
        <v>41</v>
      </c>
      <c r="X734" s="1" t="s">
        <v>27</v>
      </c>
      <c r="Y734" s="1" t="s">
        <v>154</v>
      </c>
      <c r="Z734" s="1" t="s">
        <v>155</v>
      </c>
      <c r="AA734" s="1" t="s">
        <v>86</v>
      </c>
      <c r="AB734" s="1" t="s">
        <v>223</v>
      </c>
      <c r="AC734" s="1" t="s">
        <v>67</v>
      </c>
      <c r="AD734" s="1" t="s">
        <v>34</v>
      </c>
      <c r="AE734" s="1" t="s">
        <v>35</v>
      </c>
      <c r="AF734" s="5">
        <f t="shared" si="44"/>
        <v>45624</v>
      </c>
      <c r="AG734" s="5">
        <f t="shared" si="44"/>
        <v>45632</v>
      </c>
      <c r="AH734" s="5" t="b">
        <f t="shared" si="45"/>
        <v>1</v>
      </c>
      <c r="AI734" s="5" t="b">
        <f t="shared" si="45"/>
        <v>1</v>
      </c>
      <c r="AJ734" t="str">
        <f t="shared" si="46"/>
        <v>OK</v>
      </c>
      <c r="AK734">
        <f t="shared" si="47"/>
        <v>8</v>
      </c>
    </row>
    <row r="735" spans="1:37">
      <c r="A735" t="s">
        <v>3411</v>
      </c>
      <c r="B735" t="s">
        <v>1832</v>
      </c>
      <c r="C735" t="s">
        <v>3412</v>
      </c>
      <c r="D735" t="s">
        <v>3413</v>
      </c>
      <c r="E735" t="s">
        <v>162</v>
      </c>
      <c r="F735" t="s">
        <v>115</v>
      </c>
      <c r="G735" t="s">
        <v>27</v>
      </c>
      <c r="H735" t="s">
        <v>28</v>
      </c>
      <c r="I735" t="s">
        <v>29</v>
      </c>
      <c r="J735" t="s">
        <v>45</v>
      </c>
      <c r="K735" t="s">
        <v>65</v>
      </c>
      <c r="L735" t="s">
        <v>3414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  <c r="V735" s="1" t="s">
        <v>162</v>
      </c>
      <c r="W735" s="1" t="s">
        <v>115</v>
      </c>
      <c r="X735" s="1" t="s">
        <v>27</v>
      </c>
      <c r="Y735" s="1" t="s">
        <v>28</v>
      </c>
      <c r="Z735" s="1" t="s">
        <v>29</v>
      </c>
      <c r="AA735" s="1" t="s">
        <v>45</v>
      </c>
      <c r="AB735" s="1" t="s">
        <v>65</v>
      </c>
      <c r="AC735" s="1" t="s">
        <v>56</v>
      </c>
      <c r="AD735" s="1" t="s">
        <v>34</v>
      </c>
      <c r="AE735" s="1" t="s">
        <v>35</v>
      </c>
      <c r="AF735" s="5" t="e">
        <f t="shared" si="44"/>
        <v>#N/A</v>
      </c>
      <c r="AG735" s="5">
        <f t="shared" si="44"/>
        <v>45471</v>
      </c>
      <c r="AH735" s="5" t="b">
        <f t="shared" si="45"/>
        <v>0</v>
      </c>
      <c r="AI735" s="5" t="b">
        <f t="shared" si="45"/>
        <v>1</v>
      </c>
      <c r="AJ735" t="e">
        <f t="shared" si="46"/>
        <v>#N/A</v>
      </c>
      <c r="AK735" t="e">
        <f t="shared" si="47"/>
        <v>#N/A</v>
      </c>
    </row>
    <row r="736" spans="1:37">
      <c r="A736" t="s">
        <v>3415</v>
      </c>
      <c r="B736" t="s">
        <v>3416</v>
      </c>
      <c r="C736" t="s">
        <v>3416</v>
      </c>
      <c r="D736" t="s">
        <v>3417</v>
      </c>
      <c r="E736" t="s">
        <v>72</v>
      </c>
      <c r="F736" t="s">
        <v>41</v>
      </c>
      <c r="G736" t="s">
        <v>27</v>
      </c>
      <c r="H736" t="s">
        <v>28</v>
      </c>
      <c r="I736" t="s">
        <v>29</v>
      </c>
      <c r="J736" t="s">
        <v>86</v>
      </c>
      <c r="K736" t="s">
        <v>87</v>
      </c>
      <c r="L736" t="s">
        <v>3418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  <c r="V736" s="1" t="s">
        <v>72</v>
      </c>
      <c r="W736" s="1" t="s">
        <v>41</v>
      </c>
      <c r="X736" s="1" t="s">
        <v>27</v>
      </c>
      <c r="Y736" s="1" t="s">
        <v>28</v>
      </c>
      <c r="Z736" s="1" t="s">
        <v>29</v>
      </c>
      <c r="AA736" s="1" t="s">
        <v>86</v>
      </c>
      <c r="AB736" s="1" t="s">
        <v>87</v>
      </c>
      <c r="AC736" s="1" t="s">
        <v>56</v>
      </c>
      <c r="AD736" s="1" t="s">
        <v>34</v>
      </c>
      <c r="AE736" s="1" t="s">
        <v>35</v>
      </c>
      <c r="AF736" s="5" t="e">
        <f t="shared" si="44"/>
        <v>#N/A</v>
      </c>
      <c r="AG736" s="5" t="e">
        <f t="shared" si="44"/>
        <v>#N/A</v>
      </c>
      <c r="AH736" s="5" t="b">
        <f t="shared" si="45"/>
        <v>0</v>
      </c>
      <c r="AI736" s="5" t="b">
        <f t="shared" si="45"/>
        <v>0</v>
      </c>
      <c r="AJ736" t="e">
        <f t="shared" si="46"/>
        <v>#N/A</v>
      </c>
      <c r="AK736" t="e">
        <f t="shared" si="47"/>
        <v>#N/A</v>
      </c>
    </row>
    <row r="737" spans="1:37">
      <c r="A737" t="s">
        <v>3419</v>
      </c>
      <c r="B737" t="s">
        <v>3420</v>
      </c>
      <c r="C737" t="s">
        <v>2861</v>
      </c>
      <c r="D737" t="s">
        <v>3421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3422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  <c r="V737" s="1" t="s">
        <v>40</v>
      </c>
      <c r="W737" s="1" t="s">
        <v>26</v>
      </c>
      <c r="X737" s="1" t="s">
        <v>73</v>
      </c>
      <c r="Y737" s="1" t="s">
        <v>74</v>
      </c>
      <c r="Z737" s="1" t="s">
        <v>75</v>
      </c>
      <c r="AA737" s="1" t="s">
        <v>45</v>
      </c>
      <c r="AB737" s="1" t="s">
        <v>46</v>
      </c>
      <c r="AC737" s="1" t="s">
        <v>67</v>
      </c>
      <c r="AD737" s="1" t="s">
        <v>34</v>
      </c>
      <c r="AE737" s="1" t="s">
        <v>35</v>
      </c>
      <c r="AF737" s="5">
        <f t="shared" si="44"/>
        <v>45515</v>
      </c>
      <c r="AG737" s="5" t="e">
        <f t="shared" si="44"/>
        <v>#N/A</v>
      </c>
      <c r="AH737" s="5" t="b">
        <f t="shared" si="45"/>
        <v>1</v>
      </c>
      <c r="AI737" s="5" t="b">
        <f t="shared" si="45"/>
        <v>0</v>
      </c>
      <c r="AJ737" t="e">
        <f t="shared" si="46"/>
        <v>#N/A</v>
      </c>
      <c r="AK737" t="e">
        <f t="shared" si="47"/>
        <v>#N/A</v>
      </c>
    </row>
    <row r="738" spans="1:37">
      <c r="A738" t="s">
        <v>3423</v>
      </c>
      <c r="B738" t="s">
        <v>2821</v>
      </c>
      <c r="C738" t="s">
        <v>3424</v>
      </c>
      <c r="D738" t="s">
        <v>3425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3426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  <c r="V738" s="1" t="s">
        <v>107</v>
      </c>
      <c r="W738" s="1" t="s">
        <v>26</v>
      </c>
      <c r="X738" s="1" t="s">
        <v>73</v>
      </c>
      <c r="Y738" s="1" t="s">
        <v>74</v>
      </c>
      <c r="Z738" s="1" t="s">
        <v>75</v>
      </c>
      <c r="AA738" s="1" t="s">
        <v>45</v>
      </c>
      <c r="AB738" s="1" t="s">
        <v>76</v>
      </c>
      <c r="AC738" s="1" t="s">
        <v>33</v>
      </c>
      <c r="AD738" s="1" t="s">
        <v>34</v>
      </c>
      <c r="AE738" s="1" t="s">
        <v>35</v>
      </c>
      <c r="AF738" s="5">
        <f t="shared" si="44"/>
        <v>45632</v>
      </c>
      <c r="AG738" s="5">
        <f t="shared" si="44"/>
        <v>45547</v>
      </c>
      <c r="AH738" s="5" t="b">
        <f t="shared" si="45"/>
        <v>1</v>
      </c>
      <c r="AI738" s="5" t="b">
        <f t="shared" si="45"/>
        <v>1</v>
      </c>
      <c r="AJ738" t="str">
        <f t="shared" si="46"/>
        <v>Invalid: Ship before Order</v>
      </c>
      <c r="AK738" t="e">
        <f t="shared" si="47"/>
        <v>#NUM!</v>
      </c>
    </row>
    <row r="739" spans="1:37">
      <c r="A739" t="s">
        <v>3427</v>
      </c>
      <c r="B739" t="s">
        <v>2249</v>
      </c>
      <c r="C739" t="s">
        <v>2129</v>
      </c>
      <c r="D739" t="s">
        <v>3428</v>
      </c>
      <c r="E739" t="s">
        <v>53</v>
      </c>
      <c r="F739" t="s">
        <v>115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3429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  <c r="V739" s="1" t="s">
        <v>53</v>
      </c>
      <c r="W739" s="1" t="s">
        <v>115</v>
      </c>
      <c r="X739" s="1" t="s">
        <v>73</v>
      </c>
      <c r="Y739" s="1" t="s">
        <v>74</v>
      </c>
      <c r="Z739" s="1" t="s">
        <v>75</v>
      </c>
      <c r="AA739" s="1" t="s">
        <v>45</v>
      </c>
      <c r="AB739" s="1" t="s">
        <v>76</v>
      </c>
      <c r="AC739" s="1" t="s">
        <v>48</v>
      </c>
      <c r="AD739" s="1" t="s">
        <v>34</v>
      </c>
      <c r="AE739" s="1" t="s">
        <v>35</v>
      </c>
      <c r="AF739" s="5">
        <f t="shared" si="44"/>
        <v>45332</v>
      </c>
      <c r="AG739" s="5">
        <f t="shared" si="44"/>
        <v>45332</v>
      </c>
      <c r="AH739" s="5" t="b">
        <f t="shared" si="45"/>
        <v>1</v>
      </c>
      <c r="AI739" s="5" t="b">
        <f t="shared" si="45"/>
        <v>1</v>
      </c>
      <c r="AJ739" t="str">
        <f t="shared" si="46"/>
        <v>OK</v>
      </c>
      <c r="AK739">
        <f t="shared" si="47"/>
        <v>0</v>
      </c>
    </row>
    <row r="740" spans="1:37">
      <c r="A740" t="s">
        <v>3430</v>
      </c>
      <c r="B740" t="s">
        <v>1566</v>
      </c>
      <c r="C740" t="s">
        <v>3431</v>
      </c>
      <c r="D740" t="s">
        <v>3432</v>
      </c>
      <c r="E740" t="s">
        <v>142</v>
      </c>
      <c r="F740" t="s">
        <v>108</v>
      </c>
      <c r="G740" t="s">
        <v>62</v>
      </c>
      <c r="H740" t="s">
        <v>242</v>
      </c>
      <c r="I740" t="s">
        <v>243</v>
      </c>
      <c r="J740" t="s">
        <v>30</v>
      </c>
      <c r="K740" t="s">
        <v>31</v>
      </c>
      <c r="L740" t="s">
        <v>3433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  <c r="V740" s="1" t="s">
        <v>142</v>
      </c>
      <c r="W740" s="1" t="s">
        <v>108</v>
      </c>
      <c r="X740" s="1" t="s">
        <v>62</v>
      </c>
      <c r="Y740" s="1" t="s">
        <v>242</v>
      </c>
      <c r="Z740" s="1" t="s">
        <v>243</v>
      </c>
      <c r="AA740" s="1" t="s">
        <v>30</v>
      </c>
      <c r="AB740" s="1" t="s">
        <v>31</v>
      </c>
      <c r="AC740" s="1" t="s">
        <v>56</v>
      </c>
      <c r="AD740" s="1" t="s">
        <v>34</v>
      </c>
      <c r="AE740" s="1" t="s">
        <v>35</v>
      </c>
      <c r="AF740" s="5">
        <f t="shared" si="44"/>
        <v>45708</v>
      </c>
      <c r="AG740" s="5">
        <f t="shared" si="44"/>
        <v>45710</v>
      </c>
      <c r="AH740" s="5" t="b">
        <f t="shared" si="45"/>
        <v>1</v>
      </c>
      <c r="AI740" s="5" t="b">
        <f t="shared" si="45"/>
        <v>1</v>
      </c>
      <c r="AJ740" t="str">
        <f t="shared" si="46"/>
        <v>OK</v>
      </c>
      <c r="AK740">
        <f t="shared" si="47"/>
        <v>2</v>
      </c>
    </row>
    <row r="741" spans="1:37">
      <c r="A741" t="s">
        <v>3434</v>
      </c>
      <c r="B741" t="s">
        <v>3435</v>
      </c>
      <c r="C741" t="s">
        <v>3436</v>
      </c>
      <c r="D741" t="s">
        <v>3437</v>
      </c>
      <c r="E741" t="s">
        <v>93</v>
      </c>
      <c r="F741" t="s">
        <v>108</v>
      </c>
      <c r="G741" t="s">
        <v>27</v>
      </c>
      <c r="H741" t="s">
        <v>28</v>
      </c>
      <c r="I741" t="s">
        <v>29</v>
      </c>
      <c r="J741" t="s">
        <v>86</v>
      </c>
      <c r="K741" t="s">
        <v>223</v>
      </c>
      <c r="L741" t="s">
        <v>3438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  <c r="V741" s="1" t="s">
        <v>93</v>
      </c>
      <c r="W741" s="1" t="s">
        <v>108</v>
      </c>
      <c r="X741" s="1" t="s">
        <v>27</v>
      </c>
      <c r="Y741" s="1" t="s">
        <v>28</v>
      </c>
      <c r="Z741" s="1" t="s">
        <v>29</v>
      </c>
      <c r="AA741" s="1" t="s">
        <v>86</v>
      </c>
      <c r="AB741" s="1" t="s">
        <v>223</v>
      </c>
      <c r="AC741" s="1" t="s">
        <v>67</v>
      </c>
      <c r="AD741" s="1" t="s">
        <v>34</v>
      </c>
      <c r="AE741" s="1" t="s">
        <v>35</v>
      </c>
      <c r="AF741" s="5">
        <f t="shared" si="44"/>
        <v>45629</v>
      </c>
      <c r="AG741" s="5">
        <f t="shared" si="44"/>
        <v>45636</v>
      </c>
      <c r="AH741" s="5" t="b">
        <f t="shared" si="45"/>
        <v>1</v>
      </c>
      <c r="AI741" s="5" t="b">
        <f t="shared" si="45"/>
        <v>1</v>
      </c>
      <c r="AJ741" t="str">
        <f t="shared" si="46"/>
        <v>OK</v>
      </c>
      <c r="AK741">
        <f t="shared" si="47"/>
        <v>7</v>
      </c>
    </row>
    <row r="742" spans="1:37">
      <c r="A742" t="s">
        <v>3439</v>
      </c>
      <c r="B742" t="s">
        <v>3440</v>
      </c>
      <c r="C742" t="s">
        <v>2170</v>
      </c>
      <c r="D742" t="s">
        <v>778</v>
      </c>
      <c r="E742" t="s">
        <v>168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3441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  <c r="V742" s="1" t="s">
        <v>168</v>
      </c>
      <c r="W742" s="1" t="s">
        <v>41</v>
      </c>
      <c r="X742" s="1" t="s">
        <v>73</v>
      </c>
      <c r="Y742" s="1" t="s">
        <v>74</v>
      </c>
      <c r="Z742" s="1" t="s">
        <v>75</v>
      </c>
      <c r="AA742" s="1" t="s">
        <v>45</v>
      </c>
      <c r="AB742" s="1" t="s">
        <v>76</v>
      </c>
      <c r="AC742" s="1" t="s">
        <v>56</v>
      </c>
      <c r="AD742" s="1" t="s">
        <v>34</v>
      </c>
      <c r="AE742" s="1" t="s">
        <v>35</v>
      </c>
      <c r="AF742" s="5">
        <f t="shared" si="44"/>
        <v>45384</v>
      </c>
      <c r="AG742" s="5">
        <f t="shared" si="44"/>
        <v>45384</v>
      </c>
      <c r="AH742" s="5" t="b">
        <f t="shared" si="45"/>
        <v>1</v>
      </c>
      <c r="AI742" s="5" t="b">
        <f t="shared" si="45"/>
        <v>1</v>
      </c>
      <c r="AJ742" t="str">
        <f t="shared" si="46"/>
        <v>OK</v>
      </c>
      <c r="AK742">
        <f t="shared" si="47"/>
        <v>0</v>
      </c>
    </row>
    <row r="743" spans="1:37">
      <c r="A743" t="s">
        <v>3442</v>
      </c>
      <c r="B743" t="s">
        <v>3443</v>
      </c>
      <c r="C743" t="s">
        <v>3444</v>
      </c>
      <c r="D743" t="s">
        <v>3445</v>
      </c>
      <c r="E743" t="s">
        <v>53</v>
      </c>
      <c r="F743" t="s">
        <v>115</v>
      </c>
      <c r="G743" t="s">
        <v>62</v>
      </c>
      <c r="H743" t="s">
        <v>339</v>
      </c>
      <c r="I743" t="s">
        <v>340</v>
      </c>
      <c r="J743" t="s">
        <v>45</v>
      </c>
      <c r="K743" t="s">
        <v>76</v>
      </c>
      <c r="L743" t="s">
        <v>3446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  <c r="V743" s="1" t="s">
        <v>53</v>
      </c>
      <c r="W743" s="1" t="s">
        <v>115</v>
      </c>
      <c r="X743" s="1" t="s">
        <v>62</v>
      </c>
      <c r="Y743" s="1" t="s">
        <v>339</v>
      </c>
      <c r="Z743" s="1" t="s">
        <v>340</v>
      </c>
      <c r="AA743" s="1" t="s">
        <v>45</v>
      </c>
      <c r="AB743" s="1" t="s">
        <v>76</v>
      </c>
      <c r="AC743" s="1" t="s">
        <v>33</v>
      </c>
      <c r="AD743" s="1" t="s">
        <v>34</v>
      </c>
      <c r="AE743" s="1" t="s">
        <v>78</v>
      </c>
      <c r="AF743" s="5">
        <f t="shared" si="44"/>
        <v>45770</v>
      </c>
      <c r="AG743" s="5">
        <f t="shared" si="44"/>
        <v>45772</v>
      </c>
      <c r="AH743" s="5" t="b">
        <f t="shared" si="45"/>
        <v>1</v>
      </c>
      <c r="AI743" s="5" t="b">
        <f t="shared" si="45"/>
        <v>1</v>
      </c>
      <c r="AJ743" t="str">
        <f t="shared" si="46"/>
        <v>OK</v>
      </c>
      <c r="AK743">
        <f t="shared" si="47"/>
        <v>2</v>
      </c>
    </row>
    <row r="744" spans="1:37">
      <c r="A744" t="s">
        <v>3447</v>
      </c>
      <c r="B744" t="s">
        <v>3448</v>
      </c>
      <c r="C744" t="s">
        <v>3449</v>
      </c>
      <c r="D744" t="s">
        <v>3450</v>
      </c>
      <c r="E744" t="s">
        <v>25</v>
      </c>
      <c r="F744" t="s">
        <v>108</v>
      </c>
      <c r="G744" t="s">
        <v>3451</v>
      </c>
      <c r="H744" t="s">
        <v>43</v>
      </c>
      <c r="I744" t="s">
        <v>44</v>
      </c>
      <c r="J744" t="s">
        <v>30</v>
      </c>
      <c r="K744" t="s">
        <v>31</v>
      </c>
      <c r="L744" t="s">
        <v>3452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  <c r="V744" s="1" t="s">
        <v>25</v>
      </c>
      <c r="W744" s="1" t="s">
        <v>108</v>
      </c>
      <c r="X744" s="1" t="s">
        <v>42</v>
      </c>
      <c r="Y744" s="1" t="s">
        <v>43</v>
      </c>
      <c r="Z744" s="1" t="s">
        <v>44</v>
      </c>
      <c r="AA744" s="1" t="s">
        <v>30</v>
      </c>
      <c r="AB744" s="1" t="s">
        <v>31</v>
      </c>
      <c r="AC744" s="1" t="s">
        <v>67</v>
      </c>
      <c r="AD744" s="1" t="s">
        <v>34</v>
      </c>
      <c r="AE744" s="1" t="s">
        <v>35</v>
      </c>
      <c r="AF744" s="5">
        <f t="shared" si="44"/>
        <v>45580</v>
      </c>
      <c r="AG744" s="5">
        <f t="shared" si="44"/>
        <v>45587</v>
      </c>
      <c r="AH744" s="5" t="b">
        <f t="shared" si="45"/>
        <v>1</v>
      </c>
      <c r="AI744" s="5" t="b">
        <f t="shared" si="45"/>
        <v>1</v>
      </c>
      <c r="AJ744" t="str">
        <f t="shared" si="46"/>
        <v>OK</v>
      </c>
      <c r="AK744">
        <f t="shared" si="47"/>
        <v>7</v>
      </c>
    </row>
    <row r="745" spans="1:37">
      <c r="A745" t="s">
        <v>3453</v>
      </c>
      <c r="B745" t="s">
        <v>1397</v>
      </c>
      <c r="C745" t="s">
        <v>1940</v>
      </c>
      <c r="D745" t="s">
        <v>3454</v>
      </c>
      <c r="E745" t="s">
        <v>168</v>
      </c>
      <c r="F745" t="s">
        <v>26</v>
      </c>
      <c r="G745" t="s">
        <v>27</v>
      </c>
      <c r="H745" t="s">
        <v>174</v>
      </c>
      <c r="I745" t="s">
        <v>175</v>
      </c>
      <c r="J745" t="s">
        <v>30</v>
      </c>
      <c r="K745" t="s">
        <v>54</v>
      </c>
      <c r="L745" t="s">
        <v>3455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  <c r="V745" s="1" t="s">
        <v>168</v>
      </c>
      <c r="W745" s="1" t="s">
        <v>26</v>
      </c>
      <c r="X745" s="1" t="s">
        <v>27</v>
      </c>
      <c r="Y745" s="1" t="s">
        <v>174</v>
      </c>
      <c r="Z745" s="1" t="s">
        <v>175</v>
      </c>
      <c r="AA745" s="1" t="s">
        <v>30</v>
      </c>
      <c r="AB745" s="1" t="s">
        <v>54</v>
      </c>
      <c r="AC745" s="1" t="s">
        <v>67</v>
      </c>
      <c r="AD745" s="1" t="s">
        <v>34</v>
      </c>
      <c r="AE745" s="1" t="s">
        <v>35</v>
      </c>
      <c r="AF745" s="5">
        <f t="shared" si="44"/>
        <v>45700</v>
      </c>
      <c r="AG745" s="5">
        <f t="shared" si="44"/>
        <v>45702</v>
      </c>
      <c r="AH745" s="5" t="b">
        <f t="shared" si="45"/>
        <v>1</v>
      </c>
      <c r="AI745" s="5" t="b">
        <f t="shared" si="45"/>
        <v>1</v>
      </c>
      <c r="AJ745" t="str">
        <f t="shared" si="46"/>
        <v>OK</v>
      </c>
      <c r="AK745">
        <f t="shared" si="47"/>
        <v>2</v>
      </c>
    </row>
    <row r="746" spans="1:37">
      <c r="A746" t="s">
        <v>3456</v>
      </c>
      <c r="B746" t="s">
        <v>3457</v>
      </c>
      <c r="C746" t="s">
        <v>1470</v>
      </c>
      <c r="D746" t="s">
        <v>3458</v>
      </c>
      <c r="E746" t="s">
        <v>40</v>
      </c>
      <c r="F746" t="s">
        <v>115</v>
      </c>
      <c r="G746" t="s">
        <v>27</v>
      </c>
      <c r="H746" t="s">
        <v>154</v>
      </c>
      <c r="I746" t="s">
        <v>155</v>
      </c>
      <c r="J746" t="s">
        <v>30</v>
      </c>
      <c r="K746" t="s">
        <v>198</v>
      </c>
      <c r="L746" t="s">
        <v>3459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  <c r="V746" s="1" t="s">
        <v>40</v>
      </c>
      <c r="W746" s="1" t="s">
        <v>115</v>
      </c>
      <c r="X746" s="1" t="s">
        <v>27</v>
      </c>
      <c r="Y746" s="1" t="s">
        <v>154</v>
      </c>
      <c r="Z746" s="1" t="s">
        <v>155</v>
      </c>
      <c r="AA746" s="1" t="s">
        <v>30</v>
      </c>
      <c r="AB746" s="1" t="s">
        <v>198</v>
      </c>
      <c r="AC746" s="1" t="s">
        <v>56</v>
      </c>
      <c r="AD746" s="1" t="s">
        <v>34</v>
      </c>
      <c r="AE746" s="1" t="s">
        <v>78</v>
      </c>
      <c r="AF746" s="5">
        <f t="shared" si="44"/>
        <v>45886</v>
      </c>
      <c r="AG746" s="5">
        <f t="shared" si="44"/>
        <v>45889</v>
      </c>
      <c r="AH746" s="5" t="b">
        <f t="shared" si="45"/>
        <v>1</v>
      </c>
      <c r="AI746" s="5" t="b">
        <f t="shared" si="45"/>
        <v>1</v>
      </c>
      <c r="AJ746" t="str">
        <f t="shared" si="46"/>
        <v>OK</v>
      </c>
      <c r="AK746">
        <f t="shared" si="47"/>
        <v>3</v>
      </c>
    </row>
    <row r="747" spans="1:37">
      <c r="A747" t="s">
        <v>3460</v>
      </c>
      <c r="B747" t="s">
        <v>3461</v>
      </c>
      <c r="C747" t="s">
        <v>3462</v>
      </c>
      <c r="D747" t="s">
        <v>3463</v>
      </c>
      <c r="E747" t="s">
        <v>40</v>
      </c>
      <c r="F747" t="s">
        <v>41</v>
      </c>
      <c r="G747" t="s">
        <v>42</v>
      </c>
      <c r="H747" t="s">
        <v>216</v>
      </c>
      <c r="I747" t="s">
        <v>217</v>
      </c>
      <c r="J747" t="s">
        <v>86</v>
      </c>
      <c r="K747" t="s">
        <v>94</v>
      </c>
      <c r="L747" t="s">
        <v>3464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  <c r="V747" s="1" t="s">
        <v>40</v>
      </c>
      <c r="W747" s="1" t="s">
        <v>41</v>
      </c>
      <c r="X747" s="1" t="s">
        <v>42</v>
      </c>
      <c r="Y747" s="1" t="s">
        <v>216</v>
      </c>
      <c r="Z747" s="1" t="s">
        <v>217</v>
      </c>
      <c r="AA747" s="1" t="s">
        <v>86</v>
      </c>
      <c r="AB747" s="1" t="s">
        <v>94</v>
      </c>
      <c r="AC747" s="1" t="s">
        <v>67</v>
      </c>
      <c r="AD747" s="1" t="s">
        <v>34</v>
      </c>
      <c r="AE747" s="1" t="s">
        <v>35</v>
      </c>
      <c r="AF747" s="5">
        <f t="shared" si="44"/>
        <v>45589</v>
      </c>
      <c r="AG747" s="5" t="e">
        <f t="shared" si="44"/>
        <v>#N/A</v>
      </c>
      <c r="AH747" s="5" t="b">
        <f t="shared" si="45"/>
        <v>1</v>
      </c>
      <c r="AI747" s="5" t="b">
        <f t="shared" si="45"/>
        <v>0</v>
      </c>
      <c r="AJ747" t="e">
        <f t="shared" si="46"/>
        <v>#N/A</v>
      </c>
      <c r="AK747" t="e">
        <f t="shared" si="47"/>
        <v>#N/A</v>
      </c>
    </row>
    <row r="748" spans="1:37">
      <c r="A748" t="s">
        <v>3465</v>
      </c>
      <c r="B748" t="s">
        <v>1348</v>
      </c>
      <c r="C748" t="s">
        <v>3466</v>
      </c>
      <c r="D748" t="s">
        <v>3053</v>
      </c>
      <c r="E748" t="s">
        <v>162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3467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  <c r="V748" s="1" t="s">
        <v>162</v>
      </c>
      <c r="W748" s="1" t="s">
        <v>115</v>
      </c>
      <c r="X748" s="1" t="s">
        <v>42</v>
      </c>
      <c r="Y748" s="1" t="s">
        <v>121</v>
      </c>
      <c r="Z748" s="1" t="s">
        <v>122</v>
      </c>
      <c r="AA748" s="1" t="s">
        <v>30</v>
      </c>
      <c r="AB748" s="1" t="s">
        <v>31</v>
      </c>
      <c r="AC748" s="1" t="s">
        <v>67</v>
      </c>
      <c r="AD748" s="1" t="s">
        <v>34</v>
      </c>
      <c r="AE748" s="1" t="s">
        <v>35</v>
      </c>
      <c r="AF748" s="5">
        <f t="shared" si="44"/>
        <v>45661</v>
      </c>
      <c r="AG748" s="5">
        <f t="shared" si="44"/>
        <v>45931</v>
      </c>
      <c r="AH748" s="5" t="b">
        <f t="shared" si="45"/>
        <v>1</v>
      </c>
      <c r="AI748" s="5" t="b">
        <f t="shared" si="45"/>
        <v>1</v>
      </c>
      <c r="AJ748" t="str">
        <f t="shared" si="46"/>
        <v>OK</v>
      </c>
      <c r="AK748">
        <f t="shared" si="47"/>
        <v>270</v>
      </c>
    </row>
    <row r="749" spans="1:37">
      <c r="A749" t="s">
        <v>3468</v>
      </c>
      <c r="B749" t="s">
        <v>3469</v>
      </c>
      <c r="C749" t="s">
        <v>3470</v>
      </c>
      <c r="D749" t="s">
        <v>3471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3472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  <c r="V749" s="1" t="s">
        <v>53</v>
      </c>
      <c r="W749" s="1" t="s">
        <v>115</v>
      </c>
      <c r="X749" s="1" t="s">
        <v>42</v>
      </c>
      <c r="Y749" s="1" t="s">
        <v>43</v>
      </c>
      <c r="Z749" s="1" t="s">
        <v>44</v>
      </c>
      <c r="AA749" s="1" t="s">
        <v>30</v>
      </c>
      <c r="AB749" s="1" t="s">
        <v>31</v>
      </c>
      <c r="AC749" s="1" t="s">
        <v>48</v>
      </c>
      <c r="AD749" s="1" t="s">
        <v>34</v>
      </c>
      <c r="AE749" s="1" t="s">
        <v>35</v>
      </c>
      <c r="AF749" s="5">
        <f t="shared" si="44"/>
        <v>45413</v>
      </c>
      <c r="AG749" s="5">
        <f t="shared" si="44"/>
        <v>45419</v>
      </c>
      <c r="AH749" s="5" t="b">
        <f t="shared" si="45"/>
        <v>1</v>
      </c>
      <c r="AI749" s="5" t="b">
        <f t="shared" si="45"/>
        <v>1</v>
      </c>
      <c r="AJ749" t="str">
        <f t="shared" si="46"/>
        <v>OK</v>
      </c>
      <c r="AK749">
        <f t="shared" si="47"/>
        <v>6</v>
      </c>
    </row>
    <row r="750" spans="1:37">
      <c r="A750" t="s">
        <v>3473</v>
      </c>
      <c r="B750" t="s">
        <v>3474</v>
      </c>
      <c r="C750" t="s">
        <v>3475</v>
      </c>
      <c r="D750" t="s">
        <v>3476</v>
      </c>
      <c r="E750" t="s">
        <v>210</v>
      </c>
      <c r="F750" t="s">
        <v>115</v>
      </c>
      <c r="G750" t="s">
        <v>27</v>
      </c>
      <c r="H750" t="s">
        <v>323</v>
      </c>
      <c r="I750" t="s">
        <v>324</v>
      </c>
      <c r="J750" t="s">
        <v>86</v>
      </c>
      <c r="K750" t="s">
        <v>223</v>
      </c>
      <c r="L750" t="s">
        <v>3477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  <c r="V750" s="1" t="s">
        <v>210</v>
      </c>
      <c r="W750" s="1" t="s">
        <v>115</v>
      </c>
      <c r="X750" s="1" t="s">
        <v>27</v>
      </c>
      <c r="Y750" s="1" t="s">
        <v>323</v>
      </c>
      <c r="Z750" s="1" t="s">
        <v>324</v>
      </c>
      <c r="AA750" s="1" t="s">
        <v>86</v>
      </c>
      <c r="AB750" s="1" t="s">
        <v>223</v>
      </c>
      <c r="AC750" s="1" t="s">
        <v>33</v>
      </c>
      <c r="AD750" s="1" t="s">
        <v>34</v>
      </c>
      <c r="AE750" s="1" t="s">
        <v>35</v>
      </c>
      <c r="AF750" s="5" t="e">
        <f t="shared" si="44"/>
        <v>#N/A</v>
      </c>
      <c r="AG750" s="5">
        <f t="shared" si="44"/>
        <v>45442</v>
      </c>
      <c r="AH750" s="5" t="b">
        <f t="shared" si="45"/>
        <v>0</v>
      </c>
      <c r="AI750" s="5" t="b">
        <f t="shared" si="45"/>
        <v>1</v>
      </c>
      <c r="AJ750" t="e">
        <f t="shared" si="46"/>
        <v>#N/A</v>
      </c>
      <c r="AK750" t="e">
        <f t="shared" si="47"/>
        <v>#N/A</v>
      </c>
    </row>
    <row r="751" spans="1:37">
      <c r="A751" t="s">
        <v>3478</v>
      </c>
      <c r="B751" t="s">
        <v>3479</v>
      </c>
      <c r="C751" t="s">
        <v>3480</v>
      </c>
      <c r="D751" t="s">
        <v>3481</v>
      </c>
      <c r="E751" t="s">
        <v>107</v>
      </c>
      <c r="F751" t="s">
        <v>115</v>
      </c>
      <c r="G751" t="s">
        <v>42</v>
      </c>
      <c r="H751" t="s">
        <v>216</v>
      </c>
      <c r="I751" t="s">
        <v>217</v>
      </c>
      <c r="J751" t="s">
        <v>86</v>
      </c>
      <c r="K751" t="s">
        <v>382</v>
      </c>
      <c r="L751" t="s">
        <v>3482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  <c r="V751" s="1" t="s">
        <v>107</v>
      </c>
      <c r="W751" s="1" t="s">
        <v>115</v>
      </c>
      <c r="X751" s="1" t="s">
        <v>42</v>
      </c>
      <c r="Y751" s="1" t="s">
        <v>216</v>
      </c>
      <c r="Z751" s="1" t="s">
        <v>217</v>
      </c>
      <c r="AA751" s="1" t="s">
        <v>86</v>
      </c>
      <c r="AB751" s="1" t="s">
        <v>382</v>
      </c>
      <c r="AC751" s="1" t="s">
        <v>67</v>
      </c>
      <c r="AD751" s="1" t="s">
        <v>34</v>
      </c>
      <c r="AE751" s="1" t="s">
        <v>35</v>
      </c>
      <c r="AF751" s="5">
        <f t="shared" si="44"/>
        <v>45372</v>
      </c>
      <c r="AG751" s="5">
        <f t="shared" si="44"/>
        <v>45376</v>
      </c>
      <c r="AH751" s="5" t="b">
        <f t="shared" si="45"/>
        <v>1</v>
      </c>
      <c r="AI751" s="5" t="b">
        <f t="shared" si="45"/>
        <v>1</v>
      </c>
      <c r="AJ751" t="str">
        <f t="shared" si="46"/>
        <v>OK</v>
      </c>
      <c r="AK751">
        <f t="shared" si="47"/>
        <v>4</v>
      </c>
    </row>
    <row r="752" spans="1:37">
      <c r="A752" t="s">
        <v>3483</v>
      </c>
      <c r="B752" t="s">
        <v>3484</v>
      </c>
      <c r="C752" t="s">
        <v>375</v>
      </c>
      <c r="D752" t="s">
        <v>3485</v>
      </c>
      <c r="E752" t="s">
        <v>162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3486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  <c r="V752" s="1" t="s">
        <v>162</v>
      </c>
      <c r="W752" s="1" t="s">
        <v>115</v>
      </c>
      <c r="X752" s="1" t="s">
        <v>62</v>
      </c>
      <c r="Y752" s="1" t="s">
        <v>63</v>
      </c>
      <c r="Z752" s="1" t="s">
        <v>64</v>
      </c>
      <c r="AA752" s="1" t="s">
        <v>86</v>
      </c>
      <c r="AB752" s="1" t="s">
        <v>87</v>
      </c>
      <c r="AC752" s="1" t="s">
        <v>56</v>
      </c>
      <c r="AD752" s="1" t="s">
        <v>34</v>
      </c>
      <c r="AE752" s="1" t="s">
        <v>35</v>
      </c>
      <c r="AF752" s="5">
        <f t="shared" si="44"/>
        <v>45810</v>
      </c>
      <c r="AG752" s="5">
        <f t="shared" si="44"/>
        <v>45810</v>
      </c>
      <c r="AH752" s="5" t="b">
        <f t="shared" si="45"/>
        <v>1</v>
      </c>
      <c r="AI752" s="5" t="b">
        <f t="shared" si="45"/>
        <v>1</v>
      </c>
      <c r="AJ752" t="str">
        <f t="shared" si="46"/>
        <v>OK</v>
      </c>
      <c r="AK752">
        <f t="shared" si="47"/>
        <v>0</v>
      </c>
    </row>
    <row r="753" spans="1:37">
      <c r="A753" t="s">
        <v>3487</v>
      </c>
      <c r="B753" t="s">
        <v>720</v>
      </c>
      <c r="C753" t="s">
        <v>3488</v>
      </c>
      <c r="D753" t="s">
        <v>3489</v>
      </c>
      <c r="E753" t="s">
        <v>142</v>
      </c>
      <c r="F753" t="s">
        <v>115</v>
      </c>
      <c r="H753" t="s">
        <v>174</v>
      </c>
      <c r="I753" t="s">
        <v>175</v>
      </c>
      <c r="J753" t="s">
        <v>86</v>
      </c>
      <c r="K753" t="s">
        <v>382</v>
      </c>
      <c r="L753" t="s">
        <v>3490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  <c r="V753" s="1" t="s">
        <v>142</v>
      </c>
      <c r="W753" s="1" t="s">
        <v>115</v>
      </c>
      <c r="X753" s="1" t="s">
        <v>4119</v>
      </c>
      <c r="Y753" s="1" t="s">
        <v>174</v>
      </c>
      <c r="Z753" s="1" t="s">
        <v>175</v>
      </c>
      <c r="AA753" s="1" t="s">
        <v>86</v>
      </c>
      <c r="AB753" s="1" t="s">
        <v>382</v>
      </c>
      <c r="AC753" s="1" t="s">
        <v>4119</v>
      </c>
      <c r="AD753" s="1" t="s">
        <v>34</v>
      </c>
      <c r="AE753" s="1" t="s">
        <v>35</v>
      </c>
      <c r="AF753" s="5" t="e">
        <f t="shared" si="44"/>
        <v>#N/A</v>
      </c>
      <c r="AG753" s="5" t="e">
        <f t="shared" si="44"/>
        <v>#N/A</v>
      </c>
      <c r="AH753" s="5" t="b">
        <f t="shared" si="45"/>
        <v>0</v>
      </c>
      <c r="AI753" s="5" t="b">
        <f t="shared" si="45"/>
        <v>0</v>
      </c>
      <c r="AJ753" t="e">
        <f t="shared" si="46"/>
        <v>#N/A</v>
      </c>
      <c r="AK753" t="e">
        <f t="shared" si="47"/>
        <v>#N/A</v>
      </c>
    </row>
    <row r="754" spans="1:37">
      <c r="A754" t="s">
        <v>3491</v>
      </c>
      <c r="B754" t="s">
        <v>2217</v>
      </c>
      <c r="C754" t="s">
        <v>3162</v>
      </c>
      <c r="D754" t="s">
        <v>3492</v>
      </c>
      <c r="E754" t="s">
        <v>107</v>
      </c>
      <c r="F754" t="s">
        <v>108</v>
      </c>
      <c r="G754" t="s">
        <v>73</v>
      </c>
      <c r="H754" t="s">
        <v>235</v>
      </c>
      <c r="I754" t="s">
        <v>236</v>
      </c>
      <c r="J754" t="s">
        <v>30</v>
      </c>
      <c r="K754" t="s">
        <v>156</v>
      </c>
      <c r="L754" t="s">
        <v>3493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  <c r="V754" s="1" t="s">
        <v>107</v>
      </c>
      <c r="W754" s="1" t="s">
        <v>108</v>
      </c>
      <c r="X754" s="1" t="s">
        <v>73</v>
      </c>
      <c r="Y754" s="1" t="s">
        <v>235</v>
      </c>
      <c r="Z754" s="1" t="s">
        <v>236</v>
      </c>
      <c r="AA754" s="1" t="s">
        <v>30</v>
      </c>
      <c r="AB754" s="1" t="s">
        <v>156</v>
      </c>
      <c r="AC754" s="1" t="s">
        <v>56</v>
      </c>
      <c r="AD754" s="1" t="s">
        <v>34</v>
      </c>
      <c r="AE754" s="1" t="s">
        <v>35</v>
      </c>
      <c r="AF754" s="5" t="e">
        <f t="shared" si="44"/>
        <v>#N/A</v>
      </c>
      <c r="AG754" s="5" t="e">
        <f t="shared" si="44"/>
        <v>#N/A</v>
      </c>
      <c r="AH754" s="5" t="b">
        <f t="shared" si="45"/>
        <v>0</v>
      </c>
      <c r="AI754" s="5" t="b">
        <f t="shared" si="45"/>
        <v>0</v>
      </c>
      <c r="AJ754" t="e">
        <f t="shared" si="46"/>
        <v>#N/A</v>
      </c>
      <c r="AK754" t="e">
        <f t="shared" si="47"/>
        <v>#N/A</v>
      </c>
    </row>
    <row r="755" spans="1:37">
      <c r="A755" t="s">
        <v>3494</v>
      </c>
      <c r="B755" t="s">
        <v>2438</v>
      </c>
      <c r="C755" t="s">
        <v>2798</v>
      </c>
      <c r="D755" t="s">
        <v>3495</v>
      </c>
      <c r="E755" t="s">
        <v>107</v>
      </c>
      <c r="F755" t="s">
        <v>108</v>
      </c>
      <c r="G755" t="s">
        <v>27</v>
      </c>
      <c r="H755" t="s">
        <v>506</v>
      </c>
      <c r="I755" t="s">
        <v>507</v>
      </c>
      <c r="J755" t="s">
        <v>45</v>
      </c>
      <c r="K755" t="s">
        <v>65</v>
      </c>
      <c r="L755" t="s">
        <v>3496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200</v>
      </c>
      <c r="U755" t="s">
        <v>125</v>
      </c>
      <c r="V755" s="1" t="s">
        <v>107</v>
      </c>
      <c r="W755" s="1" t="s">
        <v>108</v>
      </c>
      <c r="X755" s="1" t="s">
        <v>27</v>
      </c>
      <c r="Y755" s="1" t="s">
        <v>506</v>
      </c>
      <c r="Z755" s="1" t="s">
        <v>507</v>
      </c>
      <c r="AA755" s="1" t="s">
        <v>45</v>
      </c>
      <c r="AB755" s="1" t="s">
        <v>65</v>
      </c>
      <c r="AC755" s="1" t="s">
        <v>33</v>
      </c>
      <c r="AD755" s="1" t="s">
        <v>200</v>
      </c>
      <c r="AE755" s="1" t="s">
        <v>125</v>
      </c>
      <c r="AF755" s="5">
        <f t="shared" si="44"/>
        <v>45515</v>
      </c>
      <c r="AG755" s="5">
        <f t="shared" si="44"/>
        <v>45573</v>
      </c>
      <c r="AH755" s="5" t="b">
        <f t="shared" si="45"/>
        <v>1</v>
      </c>
      <c r="AI755" s="5" t="b">
        <f t="shared" si="45"/>
        <v>1</v>
      </c>
      <c r="AJ755" t="str">
        <f t="shared" si="46"/>
        <v>OK</v>
      </c>
      <c r="AK755">
        <f t="shared" si="47"/>
        <v>58</v>
      </c>
    </row>
    <row r="756" spans="1:37">
      <c r="A756" t="s">
        <v>3497</v>
      </c>
      <c r="B756" t="s">
        <v>3498</v>
      </c>
      <c r="C756" t="s">
        <v>3498</v>
      </c>
      <c r="D756" t="s">
        <v>3499</v>
      </c>
      <c r="E756" t="s">
        <v>93</v>
      </c>
      <c r="F756" t="s">
        <v>108</v>
      </c>
      <c r="G756" t="s">
        <v>62</v>
      </c>
      <c r="H756" t="s">
        <v>242</v>
      </c>
      <c r="I756" t="s">
        <v>243</v>
      </c>
      <c r="J756" t="s">
        <v>30</v>
      </c>
      <c r="K756" t="s">
        <v>156</v>
      </c>
      <c r="L756" t="s">
        <v>3500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  <c r="V756" s="1" t="s">
        <v>93</v>
      </c>
      <c r="W756" s="1" t="s">
        <v>108</v>
      </c>
      <c r="X756" s="1" t="s">
        <v>62</v>
      </c>
      <c r="Y756" s="1" t="s">
        <v>242</v>
      </c>
      <c r="Z756" s="1" t="s">
        <v>243</v>
      </c>
      <c r="AA756" s="1" t="s">
        <v>30</v>
      </c>
      <c r="AB756" s="1" t="s">
        <v>156</v>
      </c>
      <c r="AC756" s="1" t="s">
        <v>67</v>
      </c>
      <c r="AD756" s="1" t="s">
        <v>34</v>
      </c>
      <c r="AE756" s="1" t="s">
        <v>35</v>
      </c>
      <c r="AF756" s="5">
        <f t="shared" si="44"/>
        <v>45812</v>
      </c>
      <c r="AG756" s="5">
        <f t="shared" si="44"/>
        <v>45812</v>
      </c>
      <c r="AH756" s="5" t="b">
        <f t="shared" si="45"/>
        <v>1</v>
      </c>
      <c r="AI756" s="5" t="b">
        <f t="shared" si="45"/>
        <v>1</v>
      </c>
      <c r="AJ756" t="str">
        <f t="shared" si="46"/>
        <v>OK</v>
      </c>
      <c r="AK756">
        <f t="shared" si="47"/>
        <v>0</v>
      </c>
    </row>
    <row r="757" spans="1:37">
      <c r="A757" t="s">
        <v>3501</v>
      </c>
      <c r="B757" t="s">
        <v>1094</v>
      </c>
      <c r="C757" t="s">
        <v>1729</v>
      </c>
      <c r="D757" t="s">
        <v>3502</v>
      </c>
      <c r="E757" t="s">
        <v>142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156</v>
      </c>
      <c r="L757" t="s">
        <v>3503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  <c r="V757" s="1" t="s">
        <v>142</v>
      </c>
      <c r="W757" s="1" t="s">
        <v>115</v>
      </c>
      <c r="X757" s="1" t="s">
        <v>73</v>
      </c>
      <c r="Y757" s="1" t="s">
        <v>84</v>
      </c>
      <c r="Z757" s="1" t="s">
        <v>85</v>
      </c>
      <c r="AA757" s="1" t="s">
        <v>30</v>
      </c>
      <c r="AB757" s="1" t="s">
        <v>156</v>
      </c>
      <c r="AC757" s="1" t="s">
        <v>33</v>
      </c>
      <c r="AD757" s="1" t="s">
        <v>34</v>
      </c>
      <c r="AE757" s="1" t="s">
        <v>35</v>
      </c>
      <c r="AF757" s="5" t="e">
        <f t="shared" si="44"/>
        <v>#N/A</v>
      </c>
      <c r="AG757" s="5" t="e">
        <f t="shared" si="44"/>
        <v>#N/A</v>
      </c>
      <c r="AH757" s="5" t="b">
        <f t="shared" si="45"/>
        <v>0</v>
      </c>
      <c r="AI757" s="5" t="b">
        <f t="shared" si="45"/>
        <v>0</v>
      </c>
      <c r="AJ757" t="e">
        <f t="shared" si="46"/>
        <v>#N/A</v>
      </c>
      <c r="AK757" t="e">
        <f t="shared" si="47"/>
        <v>#N/A</v>
      </c>
    </row>
    <row r="758" spans="1:37">
      <c r="A758" t="s">
        <v>3504</v>
      </c>
      <c r="B758" t="s">
        <v>3505</v>
      </c>
      <c r="C758" t="s">
        <v>3506</v>
      </c>
      <c r="D758" t="s">
        <v>3507</v>
      </c>
      <c r="E758" t="s">
        <v>180</v>
      </c>
      <c r="F758" t="s">
        <v>26</v>
      </c>
      <c r="G758" t="s">
        <v>27</v>
      </c>
      <c r="H758" t="s">
        <v>28</v>
      </c>
      <c r="I758" t="s">
        <v>29</v>
      </c>
      <c r="J758" t="s">
        <v>86</v>
      </c>
      <c r="K758" t="s">
        <v>87</v>
      </c>
      <c r="L758" t="s">
        <v>3508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  <c r="V758" s="1" t="s">
        <v>180</v>
      </c>
      <c r="W758" s="1" t="s">
        <v>26</v>
      </c>
      <c r="X758" s="1" t="s">
        <v>27</v>
      </c>
      <c r="Y758" s="1" t="s">
        <v>28</v>
      </c>
      <c r="Z758" s="1" t="s">
        <v>29</v>
      </c>
      <c r="AA758" s="1" t="s">
        <v>86</v>
      </c>
      <c r="AB758" s="1" t="s">
        <v>87</v>
      </c>
      <c r="AC758" s="1" t="s">
        <v>48</v>
      </c>
      <c r="AD758" s="1" t="s">
        <v>34</v>
      </c>
      <c r="AE758" s="1" t="s">
        <v>125</v>
      </c>
      <c r="AF758" s="5">
        <f t="shared" si="44"/>
        <v>45592</v>
      </c>
      <c r="AG758" s="5">
        <f t="shared" si="44"/>
        <v>45597</v>
      </c>
      <c r="AH758" s="5" t="b">
        <f t="shared" si="45"/>
        <v>1</v>
      </c>
      <c r="AI758" s="5" t="b">
        <f t="shared" si="45"/>
        <v>1</v>
      </c>
      <c r="AJ758" t="str">
        <f t="shared" si="46"/>
        <v>OK</v>
      </c>
      <c r="AK758">
        <f t="shared" si="47"/>
        <v>5</v>
      </c>
    </row>
    <row r="759" spans="1:37">
      <c r="A759" t="s">
        <v>3509</v>
      </c>
      <c r="B759" t="s">
        <v>3510</v>
      </c>
      <c r="C759" t="s">
        <v>3511</v>
      </c>
      <c r="D759" t="s">
        <v>3512</v>
      </c>
      <c r="E759" t="s">
        <v>107</v>
      </c>
      <c r="F759" t="s">
        <v>41</v>
      </c>
      <c r="G759" t="s">
        <v>62</v>
      </c>
      <c r="H759" t="s">
        <v>242</v>
      </c>
      <c r="I759" t="s">
        <v>243</v>
      </c>
      <c r="J759" t="s">
        <v>45</v>
      </c>
      <c r="K759" t="s">
        <v>204</v>
      </c>
      <c r="L759" t="s">
        <v>3513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200</v>
      </c>
      <c r="U759" t="s">
        <v>78</v>
      </c>
      <c r="V759" s="1" t="s">
        <v>107</v>
      </c>
      <c r="W759" s="1" t="s">
        <v>41</v>
      </c>
      <c r="X759" s="1" t="s">
        <v>62</v>
      </c>
      <c r="Y759" s="1" t="s">
        <v>242</v>
      </c>
      <c r="Z759" s="1" t="s">
        <v>243</v>
      </c>
      <c r="AA759" s="1" t="s">
        <v>45</v>
      </c>
      <c r="AB759" s="1" t="s">
        <v>204</v>
      </c>
      <c r="AC759" s="1" t="s">
        <v>67</v>
      </c>
      <c r="AD759" s="1" t="s">
        <v>200</v>
      </c>
      <c r="AE759" s="1" t="s">
        <v>78</v>
      </c>
      <c r="AF759" s="5">
        <f t="shared" si="44"/>
        <v>45870</v>
      </c>
      <c r="AG759" s="5">
        <f t="shared" si="44"/>
        <v>45872</v>
      </c>
      <c r="AH759" s="5" t="b">
        <f t="shared" si="45"/>
        <v>1</v>
      </c>
      <c r="AI759" s="5" t="b">
        <f t="shared" si="45"/>
        <v>1</v>
      </c>
      <c r="AJ759" t="str">
        <f t="shared" si="46"/>
        <v>OK</v>
      </c>
      <c r="AK759">
        <f t="shared" si="47"/>
        <v>2</v>
      </c>
    </row>
    <row r="760" spans="1:37">
      <c r="A760" t="s">
        <v>3514</v>
      </c>
      <c r="B760" t="s">
        <v>3515</v>
      </c>
      <c r="C760" t="s">
        <v>2704</v>
      </c>
      <c r="D760" t="s">
        <v>3516</v>
      </c>
      <c r="E760" t="s">
        <v>162</v>
      </c>
      <c r="F760" t="s">
        <v>41</v>
      </c>
      <c r="G760" t="s">
        <v>62</v>
      </c>
      <c r="H760" t="s">
        <v>229</v>
      </c>
      <c r="I760" t="s">
        <v>230</v>
      </c>
      <c r="J760" t="s">
        <v>45</v>
      </c>
      <c r="K760" t="s">
        <v>76</v>
      </c>
      <c r="L760" t="s">
        <v>3517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  <c r="V760" s="1" t="s">
        <v>162</v>
      </c>
      <c r="W760" s="1" t="s">
        <v>41</v>
      </c>
      <c r="X760" s="1" t="s">
        <v>62</v>
      </c>
      <c r="Y760" s="1" t="s">
        <v>229</v>
      </c>
      <c r="Z760" s="1" t="s">
        <v>230</v>
      </c>
      <c r="AA760" s="1" t="s">
        <v>45</v>
      </c>
      <c r="AB760" s="1" t="s">
        <v>76</v>
      </c>
      <c r="AC760" s="1" t="s">
        <v>67</v>
      </c>
      <c r="AD760" s="1" t="s">
        <v>34</v>
      </c>
      <c r="AE760" s="1" t="s">
        <v>35</v>
      </c>
      <c r="AF760" s="5">
        <f t="shared" si="44"/>
        <v>45414</v>
      </c>
      <c r="AG760" s="5">
        <f t="shared" si="44"/>
        <v>45422</v>
      </c>
      <c r="AH760" s="5" t="b">
        <f t="shared" si="45"/>
        <v>1</v>
      </c>
      <c r="AI760" s="5" t="b">
        <f t="shared" si="45"/>
        <v>1</v>
      </c>
      <c r="AJ760" t="str">
        <f t="shared" si="46"/>
        <v>OK</v>
      </c>
      <c r="AK760">
        <f t="shared" si="47"/>
        <v>8</v>
      </c>
    </row>
    <row r="761" spans="1:37">
      <c r="A761" t="s">
        <v>3518</v>
      </c>
      <c r="B761" t="s">
        <v>406</v>
      </c>
      <c r="C761" t="s">
        <v>3519</v>
      </c>
      <c r="D761" t="s">
        <v>3520</v>
      </c>
      <c r="E761" t="s">
        <v>61</v>
      </c>
      <c r="F761" t="s">
        <v>115</v>
      </c>
      <c r="G761" t="s">
        <v>62</v>
      </c>
      <c r="H761" t="s">
        <v>229</v>
      </c>
      <c r="I761" t="s">
        <v>230</v>
      </c>
      <c r="J761" t="s">
        <v>45</v>
      </c>
      <c r="K761" t="s">
        <v>46</v>
      </c>
      <c r="L761" t="s">
        <v>3521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  <c r="V761" s="1" t="s">
        <v>61</v>
      </c>
      <c r="W761" s="1" t="s">
        <v>115</v>
      </c>
      <c r="X761" s="1" t="s">
        <v>62</v>
      </c>
      <c r="Y761" s="1" t="s">
        <v>229</v>
      </c>
      <c r="Z761" s="1" t="s">
        <v>230</v>
      </c>
      <c r="AA761" s="1" t="s">
        <v>45</v>
      </c>
      <c r="AB761" s="1" t="s">
        <v>46</v>
      </c>
      <c r="AC761" s="1" t="s">
        <v>33</v>
      </c>
      <c r="AD761" s="1" t="s">
        <v>34</v>
      </c>
      <c r="AE761" s="1" t="s">
        <v>35</v>
      </c>
      <c r="AF761" s="5">
        <f t="shared" si="44"/>
        <v>45492</v>
      </c>
      <c r="AG761" s="5" t="e">
        <f t="shared" si="44"/>
        <v>#N/A</v>
      </c>
      <c r="AH761" s="5" t="b">
        <f t="shared" si="45"/>
        <v>1</v>
      </c>
      <c r="AI761" s="5" t="b">
        <f t="shared" si="45"/>
        <v>0</v>
      </c>
      <c r="AJ761" t="e">
        <f t="shared" si="46"/>
        <v>#N/A</v>
      </c>
      <c r="AK761" t="e">
        <f t="shared" si="47"/>
        <v>#N/A</v>
      </c>
    </row>
    <row r="762" spans="1:37">
      <c r="A762" t="s">
        <v>3522</v>
      </c>
      <c r="B762" t="s">
        <v>3523</v>
      </c>
      <c r="C762" t="s">
        <v>1195</v>
      </c>
      <c r="D762" t="s">
        <v>3524</v>
      </c>
      <c r="E762" t="s">
        <v>107</v>
      </c>
      <c r="F762" t="s">
        <v>115</v>
      </c>
      <c r="G762" t="s">
        <v>42</v>
      </c>
      <c r="H762" t="s">
        <v>216</v>
      </c>
      <c r="I762" t="s">
        <v>217</v>
      </c>
      <c r="J762" t="s">
        <v>30</v>
      </c>
      <c r="K762" t="s">
        <v>54</v>
      </c>
      <c r="L762" t="s">
        <v>3525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137</v>
      </c>
      <c r="U762" t="s">
        <v>125</v>
      </c>
      <c r="V762" s="1" t="s">
        <v>107</v>
      </c>
      <c r="W762" s="1" t="s">
        <v>115</v>
      </c>
      <c r="X762" s="1" t="s">
        <v>42</v>
      </c>
      <c r="Y762" s="1" t="s">
        <v>216</v>
      </c>
      <c r="Z762" s="1" t="s">
        <v>217</v>
      </c>
      <c r="AA762" s="1" t="s">
        <v>30</v>
      </c>
      <c r="AB762" s="1" t="s">
        <v>54</v>
      </c>
      <c r="AC762" s="1" t="s">
        <v>33</v>
      </c>
      <c r="AD762" s="1" t="s">
        <v>137</v>
      </c>
      <c r="AE762" s="1" t="s">
        <v>125</v>
      </c>
      <c r="AF762" s="5" t="e">
        <f t="shared" si="44"/>
        <v>#N/A</v>
      </c>
      <c r="AG762" s="5">
        <f t="shared" si="44"/>
        <v>45537</v>
      </c>
      <c r="AH762" s="5" t="b">
        <f t="shared" si="45"/>
        <v>0</v>
      </c>
      <c r="AI762" s="5" t="b">
        <f t="shared" si="45"/>
        <v>1</v>
      </c>
      <c r="AJ762" t="e">
        <f t="shared" si="46"/>
        <v>#N/A</v>
      </c>
      <c r="AK762" t="e">
        <f t="shared" si="47"/>
        <v>#N/A</v>
      </c>
    </row>
    <row r="763" spans="1:37">
      <c r="A763" t="s">
        <v>3526</v>
      </c>
      <c r="B763" t="s">
        <v>455</v>
      </c>
      <c r="C763" t="s">
        <v>3527</v>
      </c>
      <c r="D763" t="s">
        <v>3528</v>
      </c>
      <c r="E763" t="s">
        <v>53</v>
      </c>
      <c r="F763" t="s">
        <v>26</v>
      </c>
      <c r="G763" t="s">
        <v>62</v>
      </c>
      <c r="H763" t="s">
        <v>229</v>
      </c>
      <c r="I763" t="s">
        <v>230</v>
      </c>
      <c r="J763" t="s">
        <v>86</v>
      </c>
      <c r="K763" t="s">
        <v>382</v>
      </c>
      <c r="L763" t="s">
        <v>3529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  <c r="V763" s="1" t="s">
        <v>53</v>
      </c>
      <c r="W763" s="1" t="s">
        <v>26</v>
      </c>
      <c r="X763" s="1" t="s">
        <v>62</v>
      </c>
      <c r="Y763" s="1" t="s">
        <v>229</v>
      </c>
      <c r="Z763" s="1" t="s">
        <v>230</v>
      </c>
      <c r="AA763" s="1" t="s">
        <v>86</v>
      </c>
      <c r="AB763" s="1" t="s">
        <v>382</v>
      </c>
      <c r="AC763" s="1" t="s">
        <v>56</v>
      </c>
      <c r="AD763" s="1" t="s">
        <v>34</v>
      </c>
      <c r="AE763" s="1" t="s">
        <v>35</v>
      </c>
      <c r="AF763" s="5">
        <f t="shared" si="44"/>
        <v>45896</v>
      </c>
      <c r="AG763" s="5">
        <f t="shared" si="44"/>
        <v>45900</v>
      </c>
      <c r="AH763" s="5" t="b">
        <f t="shared" si="45"/>
        <v>1</v>
      </c>
      <c r="AI763" s="5" t="b">
        <f t="shared" si="45"/>
        <v>1</v>
      </c>
      <c r="AJ763" t="str">
        <f t="shared" si="46"/>
        <v>OK</v>
      </c>
      <c r="AK763">
        <f t="shared" si="47"/>
        <v>4</v>
      </c>
    </row>
    <row r="764" spans="1:37">
      <c r="A764" t="s">
        <v>3530</v>
      </c>
      <c r="B764" t="s">
        <v>3531</v>
      </c>
      <c r="C764" t="s">
        <v>3532</v>
      </c>
      <c r="D764" t="s">
        <v>3533</v>
      </c>
      <c r="E764" t="s">
        <v>210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382</v>
      </c>
      <c r="L764" t="s">
        <v>3534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  <c r="V764" s="1" t="s">
        <v>210</v>
      </c>
      <c r="W764" s="1" t="s">
        <v>108</v>
      </c>
      <c r="X764" s="1" t="s">
        <v>73</v>
      </c>
      <c r="Y764" s="1" t="s">
        <v>84</v>
      </c>
      <c r="Z764" s="1" t="s">
        <v>85</v>
      </c>
      <c r="AA764" s="1" t="s">
        <v>86</v>
      </c>
      <c r="AB764" s="1" t="s">
        <v>382</v>
      </c>
      <c r="AC764" s="1" t="s">
        <v>33</v>
      </c>
      <c r="AD764" s="1" t="s">
        <v>124</v>
      </c>
      <c r="AE764" s="1" t="s">
        <v>125</v>
      </c>
      <c r="AF764" s="5">
        <f t="shared" si="44"/>
        <v>45292</v>
      </c>
      <c r="AG764" s="5">
        <f t="shared" si="44"/>
        <v>45296</v>
      </c>
      <c r="AH764" s="5" t="b">
        <f t="shared" si="45"/>
        <v>1</v>
      </c>
      <c r="AI764" s="5" t="b">
        <f t="shared" si="45"/>
        <v>1</v>
      </c>
      <c r="AJ764" t="str">
        <f t="shared" si="46"/>
        <v>OK</v>
      </c>
      <c r="AK764">
        <f t="shared" si="47"/>
        <v>4</v>
      </c>
    </row>
    <row r="765" spans="1:37">
      <c r="A765" t="s">
        <v>3535</v>
      </c>
      <c r="B765" t="s">
        <v>3536</v>
      </c>
      <c r="C765" t="s">
        <v>3537</v>
      </c>
      <c r="D765" t="s">
        <v>3538</v>
      </c>
      <c r="E765" t="s">
        <v>210</v>
      </c>
      <c r="F765" t="s">
        <v>26</v>
      </c>
      <c r="G765" t="s">
        <v>27</v>
      </c>
      <c r="H765" t="s">
        <v>28</v>
      </c>
      <c r="I765" t="s">
        <v>29</v>
      </c>
      <c r="J765" t="s">
        <v>45</v>
      </c>
      <c r="K765" t="s">
        <v>65</v>
      </c>
      <c r="L765" t="s">
        <v>3539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  <c r="V765" s="1" t="s">
        <v>210</v>
      </c>
      <c r="W765" s="1" t="s">
        <v>26</v>
      </c>
      <c r="X765" s="1" t="s">
        <v>27</v>
      </c>
      <c r="Y765" s="1" t="s">
        <v>28</v>
      </c>
      <c r="Z765" s="1" t="s">
        <v>29</v>
      </c>
      <c r="AA765" s="1" t="s">
        <v>45</v>
      </c>
      <c r="AB765" s="1" t="s">
        <v>65</v>
      </c>
      <c r="AC765" s="1" t="s">
        <v>48</v>
      </c>
      <c r="AD765" s="1" t="s">
        <v>34</v>
      </c>
      <c r="AE765" s="1" t="s">
        <v>35</v>
      </c>
      <c r="AF765" s="5">
        <f t="shared" si="44"/>
        <v>45892</v>
      </c>
      <c r="AG765" s="5">
        <f t="shared" si="44"/>
        <v>45894</v>
      </c>
      <c r="AH765" s="5" t="b">
        <f t="shared" si="45"/>
        <v>1</v>
      </c>
      <c r="AI765" s="5" t="b">
        <f t="shared" si="45"/>
        <v>1</v>
      </c>
      <c r="AJ765" t="str">
        <f t="shared" si="46"/>
        <v>OK</v>
      </c>
      <c r="AK765">
        <f t="shared" si="47"/>
        <v>2</v>
      </c>
    </row>
    <row r="766" spans="1:37">
      <c r="A766" t="s">
        <v>3540</v>
      </c>
      <c r="B766" t="s">
        <v>1862</v>
      </c>
      <c r="C766" t="s">
        <v>2913</v>
      </c>
      <c r="D766" t="s">
        <v>1354</v>
      </c>
      <c r="E766" t="s">
        <v>142</v>
      </c>
      <c r="F766" t="s">
        <v>108</v>
      </c>
      <c r="G766" t="s">
        <v>62</v>
      </c>
      <c r="H766" t="s">
        <v>242</v>
      </c>
      <c r="I766" t="s">
        <v>243</v>
      </c>
      <c r="J766" t="s">
        <v>45</v>
      </c>
      <c r="K766" t="s">
        <v>204</v>
      </c>
      <c r="L766" t="s">
        <v>3541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  <c r="V766" s="1" t="s">
        <v>142</v>
      </c>
      <c r="W766" s="1" t="s">
        <v>108</v>
      </c>
      <c r="X766" s="1" t="s">
        <v>62</v>
      </c>
      <c r="Y766" s="1" t="s">
        <v>242</v>
      </c>
      <c r="Z766" s="1" t="s">
        <v>243</v>
      </c>
      <c r="AA766" s="1" t="s">
        <v>45</v>
      </c>
      <c r="AB766" s="1" t="s">
        <v>204</v>
      </c>
      <c r="AC766" s="1" t="s">
        <v>56</v>
      </c>
      <c r="AD766" s="1" t="s">
        <v>34</v>
      </c>
      <c r="AE766" s="1" t="s">
        <v>35</v>
      </c>
      <c r="AF766" s="5">
        <f t="shared" si="44"/>
        <v>45760</v>
      </c>
      <c r="AG766" s="5" t="e">
        <f t="shared" si="44"/>
        <v>#N/A</v>
      </c>
      <c r="AH766" s="5" t="b">
        <f t="shared" si="45"/>
        <v>1</v>
      </c>
      <c r="AI766" s="5" t="b">
        <f t="shared" si="45"/>
        <v>0</v>
      </c>
      <c r="AJ766" t="e">
        <f t="shared" si="46"/>
        <v>#N/A</v>
      </c>
      <c r="AK766" t="e">
        <f t="shared" si="47"/>
        <v>#N/A</v>
      </c>
    </row>
    <row r="767" spans="1:37">
      <c r="A767" t="s">
        <v>3542</v>
      </c>
      <c r="B767" t="s">
        <v>3543</v>
      </c>
      <c r="C767" t="s">
        <v>3544</v>
      </c>
      <c r="D767" t="s">
        <v>3545</v>
      </c>
      <c r="E767" t="s">
        <v>83</v>
      </c>
      <c r="F767" t="s">
        <v>108</v>
      </c>
      <c r="G767" t="s">
        <v>42</v>
      </c>
      <c r="H767" t="s">
        <v>311</v>
      </c>
      <c r="I767" t="s">
        <v>312</v>
      </c>
      <c r="J767" t="s">
        <v>30</v>
      </c>
      <c r="K767" t="s">
        <v>109</v>
      </c>
      <c r="L767" t="s">
        <v>3546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  <c r="V767" s="1" t="s">
        <v>83</v>
      </c>
      <c r="W767" s="1" t="s">
        <v>108</v>
      </c>
      <c r="X767" s="1" t="s">
        <v>42</v>
      </c>
      <c r="Y767" s="1" t="s">
        <v>311</v>
      </c>
      <c r="Z767" s="1" t="s">
        <v>312</v>
      </c>
      <c r="AA767" s="1" t="s">
        <v>30</v>
      </c>
      <c r="AB767" s="1" t="s">
        <v>109</v>
      </c>
      <c r="AC767" s="1" t="s">
        <v>56</v>
      </c>
      <c r="AD767" s="1" t="s">
        <v>34</v>
      </c>
      <c r="AE767" s="1" t="s">
        <v>35</v>
      </c>
      <c r="AF767" s="5" t="e">
        <f t="shared" si="44"/>
        <v>#N/A</v>
      </c>
      <c r="AG767" s="5">
        <f t="shared" si="44"/>
        <v>45841</v>
      </c>
      <c r="AH767" s="5" t="b">
        <f t="shared" si="45"/>
        <v>0</v>
      </c>
      <c r="AI767" s="5" t="b">
        <f t="shared" si="45"/>
        <v>1</v>
      </c>
      <c r="AJ767" t="e">
        <f t="shared" si="46"/>
        <v>#N/A</v>
      </c>
      <c r="AK767" t="e">
        <f t="shared" si="47"/>
        <v>#N/A</v>
      </c>
    </row>
    <row r="768" spans="1:37">
      <c r="A768" t="s">
        <v>3547</v>
      </c>
      <c r="B768" t="s">
        <v>3548</v>
      </c>
      <c r="C768" t="s">
        <v>2009</v>
      </c>
      <c r="D768" t="s">
        <v>3549</v>
      </c>
      <c r="E768" t="s">
        <v>40</v>
      </c>
      <c r="F768" t="s">
        <v>108</v>
      </c>
      <c r="G768" t="s">
        <v>73</v>
      </c>
      <c r="H768" t="s">
        <v>235</v>
      </c>
      <c r="I768" t="s">
        <v>236</v>
      </c>
      <c r="J768" t="s">
        <v>30</v>
      </c>
      <c r="K768" t="s">
        <v>54</v>
      </c>
      <c r="L768" t="s">
        <v>3550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  <c r="V768" s="1" t="s">
        <v>40</v>
      </c>
      <c r="W768" s="1" t="s">
        <v>108</v>
      </c>
      <c r="X768" s="1" t="s">
        <v>73</v>
      </c>
      <c r="Y768" s="1" t="s">
        <v>235</v>
      </c>
      <c r="Z768" s="1" t="s">
        <v>236</v>
      </c>
      <c r="AA768" s="1" t="s">
        <v>30</v>
      </c>
      <c r="AB768" s="1" t="s">
        <v>54</v>
      </c>
      <c r="AC768" s="1" t="s">
        <v>33</v>
      </c>
      <c r="AD768" s="1" t="s">
        <v>34</v>
      </c>
      <c r="AE768" s="1" t="s">
        <v>78</v>
      </c>
      <c r="AF768" s="5">
        <f t="shared" si="44"/>
        <v>45552</v>
      </c>
      <c r="AG768" s="5">
        <f t="shared" si="44"/>
        <v>45559</v>
      </c>
      <c r="AH768" s="5" t="b">
        <f t="shared" si="45"/>
        <v>1</v>
      </c>
      <c r="AI768" s="5" t="b">
        <f t="shared" si="45"/>
        <v>1</v>
      </c>
      <c r="AJ768" t="str">
        <f t="shared" si="46"/>
        <v>OK</v>
      </c>
      <c r="AK768">
        <f t="shared" si="47"/>
        <v>7</v>
      </c>
    </row>
    <row r="769" spans="1:37">
      <c r="A769" t="s">
        <v>3551</v>
      </c>
      <c r="B769" t="s">
        <v>3552</v>
      </c>
      <c r="C769" t="s">
        <v>2708</v>
      </c>
      <c r="D769" t="s">
        <v>3553</v>
      </c>
      <c r="E769" t="s">
        <v>72</v>
      </c>
      <c r="F769" t="s">
        <v>115</v>
      </c>
      <c r="G769" t="s">
        <v>27</v>
      </c>
      <c r="H769" t="s">
        <v>174</v>
      </c>
      <c r="I769" t="s">
        <v>175</v>
      </c>
      <c r="J769" t="s">
        <v>918</v>
      </c>
      <c r="K769" t="s">
        <v>198</v>
      </c>
      <c r="L769" t="s">
        <v>3554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  <c r="V769" s="1" t="s">
        <v>72</v>
      </c>
      <c r="W769" s="1" t="s">
        <v>115</v>
      </c>
      <c r="X769" s="1" t="s">
        <v>27</v>
      </c>
      <c r="Y769" s="1" t="s">
        <v>174</v>
      </c>
      <c r="Z769" s="1" t="s">
        <v>175</v>
      </c>
      <c r="AA769" s="1" t="s">
        <v>30</v>
      </c>
      <c r="AB769" s="1" t="s">
        <v>198</v>
      </c>
      <c r="AC769" s="1" t="s">
        <v>67</v>
      </c>
      <c r="AD769" s="1" t="s">
        <v>34</v>
      </c>
      <c r="AE769" s="1" t="s">
        <v>35</v>
      </c>
      <c r="AF769" s="5">
        <f t="shared" si="44"/>
        <v>45415</v>
      </c>
      <c r="AG769" s="5">
        <f t="shared" si="44"/>
        <v>45418</v>
      </c>
      <c r="AH769" s="5" t="b">
        <f t="shared" si="45"/>
        <v>1</v>
      </c>
      <c r="AI769" s="5" t="b">
        <f t="shared" si="45"/>
        <v>1</v>
      </c>
      <c r="AJ769" t="str">
        <f t="shared" si="46"/>
        <v>OK</v>
      </c>
      <c r="AK769">
        <f t="shared" si="47"/>
        <v>3</v>
      </c>
    </row>
    <row r="770" spans="1:37">
      <c r="A770" t="s">
        <v>3555</v>
      </c>
      <c r="B770" t="s">
        <v>1812</v>
      </c>
      <c r="C770" t="s">
        <v>3556</v>
      </c>
      <c r="D770" t="s">
        <v>3557</v>
      </c>
      <c r="E770" t="s">
        <v>168</v>
      </c>
      <c r="F770" t="s">
        <v>115</v>
      </c>
      <c r="G770" t="s">
        <v>42</v>
      </c>
      <c r="H770" t="s">
        <v>311</v>
      </c>
      <c r="I770" t="s">
        <v>312</v>
      </c>
      <c r="J770" t="s">
        <v>30</v>
      </c>
      <c r="K770" t="s">
        <v>31</v>
      </c>
      <c r="L770" t="s">
        <v>3558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  <c r="V770" s="1" t="s">
        <v>168</v>
      </c>
      <c r="W770" s="1" t="s">
        <v>115</v>
      </c>
      <c r="X770" s="1" t="s">
        <v>42</v>
      </c>
      <c r="Y770" s="1" t="s">
        <v>311</v>
      </c>
      <c r="Z770" s="1" t="s">
        <v>312</v>
      </c>
      <c r="AA770" s="1" t="s">
        <v>30</v>
      </c>
      <c r="AB770" s="1" t="s">
        <v>31</v>
      </c>
      <c r="AC770" s="1" t="s">
        <v>48</v>
      </c>
      <c r="AD770" s="1" t="s">
        <v>34</v>
      </c>
      <c r="AE770" s="1" t="s">
        <v>35</v>
      </c>
      <c r="AF770" s="5">
        <f t="shared" si="44"/>
        <v>45749</v>
      </c>
      <c r="AG770" s="5">
        <f t="shared" si="44"/>
        <v>45751</v>
      </c>
      <c r="AH770" s="5" t="b">
        <f t="shared" si="45"/>
        <v>1</v>
      </c>
      <c r="AI770" s="5" t="b">
        <f t="shared" si="45"/>
        <v>1</v>
      </c>
      <c r="AJ770" t="str">
        <f t="shared" si="46"/>
        <v>OK</v>
      </c>
      <c r="AK770">
        <f t="shared" si="47"/>
        <v>2</v>
      </c>
    </row>
    <row r="771" spans="1:37">
      <c r="A771" t="s">
        <v>3559</v>
      </c>
      <c r="B771" t="s">
        <v>3560</v>
      </c>
      <c r="C771" t="s">
        <v>2018</v>
      </c>
      <c r="D771" t="s">
        <v>3561</v>
      </c>
      <c r="E771" t="s">
        <v>142</v>
      </c>
      <c r="F771" t="s">
        <v>115</v>
      </c>
      <c r="G771" t="s">
        <v>73</v>
      </c>
      <c r="H771" t="s">
        <v>249</v>
      </c>
      <c r="I771" t="s">
        <v>250</v>
      </c>
      <c r="J771" t="s">
        <v>45</v>
      </c>
      <c r="K771" t="s">
        <v>204</v>
      </c>
      <c r="L771" t="s">
        <v>3562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  <c r="V771" s="1" t="s">
        <v>142</v>
      </c>
      <c r="W771" s="1" t="s">
        <v>115</v>
      </c>
      <c r="X771" s="1" t="s">
        <v>73</v>
      </c>
      <c r="Y771" s="1" t="s">
        <v>249</v>
      </c>
      <c r="Z771" s="1" t="s">
        <v>250</v>
      </c>
      <c r="AA771" s="1" t="s">
        <v>45</v>
      </c>
      <c r="AB771" s="1" t="s">
        <v>204</v>
      </c>
      <c r="AC771" s="1" t="s">
        <v>48</v>
      </c>
      <c r="AD771" s="1" t="s">
        <v>34</v>
      </c>
      <c r="AE771" s="1" t="s">
        <v>35</v>
      </c>
      <c r="AF771" s="5">
        <f t="shared" ref="AF771:AG834" si="48">IFERROR(DATEVALUE(B771),IFERROR(DATE(VALUE(RIGHT(B771,4)),VALUE(MID(SUBSTITUTE(B771,"-","/"),6,2)),VALUE(LEFT(B771,2))),NA()))</f>
        <v>45423</v>
      </c>
      <c r="AG771" s="5">
        <f t="shared" si="48"/>
        <v>45425</v>
      </c>
      <c r="AH771" s="5" t="b">
        <f t="shared" ref="AH771:AI834" si="49">ISNUMBER(AF771)</f>
        <v>1</v>
      </c>
      <c r="AI771" s="5" t="b">
        <f t="shared" si="49"/>
        <v>1</v>
      </c>
      <c r="AJ771" t="str">
        <f t="shared" ref="AJ771:AJ834" si="50">IF(AG771&lt;AF771,"Invalid: Ship before Order","OK")</f>
        <v>OK</v>
      </c>
      <c r="AK771">
        <f t="shared" ref="AK771:AK834" si="51">DATEDIF(AF771, AG771, "D")</f>
        <v>2</v>
      </c>
    </row>
    <row r="772" spans="1:37">
      <c r="A772" t="s">
        <v>3563</v>
      </c>
      <c r="B772" t="s">
        <v>2307</v>
      </c>
      <c r="C772" t="s">
        <v>2762</v>
      </c>
      <c r="D772" t="s">
        <v>3564</v>
      </c>
      <c r="E772" t="s">
        <v>93</v>
      </c>
      <c r="F772" t="s">
        <v>26</v>
      </c>
      <c r="G772" t="s">
        <v>27</v>
      </c>
      <c r="H772" t="s">
        <v>174</v>
      </c>
      <c r="I772" t="s">
        <v>175</v>
      </c>
      <c r="J772" t="s">
        <v>86</v>
      </c>
      <c r="K772" t="s">
        <v>94</v>
      </c>
      <c r="L772" t="s">
        <v>3565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  <c r="V772" s="1" t="s">
        <v>93</v>
      </c>
      <c r="W772" s="1" t="s">
        <v>26</v>
      </c>
      <c r="X772" s="1" t="s">
        <v>27</v>
      </c>
      <c r="Y772" s="1" t="s">
        <v>174</v>
      </c>
      <c r="Z772" s="1" t="s">
        <v>175</v>
      </c>
      <c r="AA772" s="1" t="s">
        <v>86</v>
      </c>
      <c r="AB772" s="1" t="s">
        <v>94</v>
      </c>
      <c r="AC772" s="1" t="s">
        <v>56</v>
      </c>
      <c r="AD772" s="1" t="s">
        <v>34</v>
      </c>
      <c r="AE772" s="1" t="s">
        <v>35</v>
      </c>
      <c r="AF772" s="5">
        <f t="shared" si="48"/>
        <v>45337</v>
      </c>
      <c r="AG772" s="5" t="e">
        <f t="shared" si="48"/>
        <v>#N/A</v>
      </c>
      <c r="AH772" s="5" t="b">
        <f t="shared" si="49"/>
        <v>1</v>
      </c>
      <c r="AI772" s="5" t="b">
        <f t="shared" si="49"/>
        <v>0</v>
      </c>
      <c r="AJ772" t="e">
        <f t="shared" si="50"/>
        <v>#N/A</v>
      </c>
      <c r="AK772" t="e">
        <f t="shared" si="51"/>
        <v>#N/A</v>
      </c>
    </row>
    <row r="773" spans="1:37">
      <c r="A773" t="s">
        <v>3566</v>
      </c>
      <c r="B773" t="s">
        <v>3567</v>
      </c>
      <c r="C773" t="s">
        <v>2623</v>
      </c>
      <c r="D773" t="s">
        <v>691</v>
      </c>
      <c r="E773" t="s">
        <v>72</v>
      </c>
      <c r="F773" t="s">
        <v>26</v>
      </c>
      <c r="G773" t="s">
        <v>27</v>
      </c>
      <c r="H773" t="s">
        <v>323</v>
      </c>
      <c r="I773" t="s">
        <v>324</v>
      </c>
      <c r="J773" t="s">
        <v>86</v>
      </c>
      <c r="K773" t="s">
        <v>382</v>
      </c>
      <c r="L773" t="s">
        <v>3568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  <c r="V773" s="1" t="s">
        <v>72</v>
      </c>
      <c r="W773" s="1" t="s">
        <v>26</v>
      </c>
      <c r="X773" s="1" t="s">
        <v>27</v>
      </c>
      <c r="Y773" s="1" t="s">
        <v>323</v>
      </c>
      <c r="Z773" s="1" t="s">
        <v>324</v>
      </c>
      <c r="AA773" s="1" t="s">
        <v>86</v>
      </c>
      <c r="AB773" s="1" t="s">
        <v>382</v>
      </c>
      <c r="AC773" s="1" t="s">
        <v>33</v>
      </c>
      <c r="AD773" s="1" t="s">
        <v>34</v>
      </c>
      <c r="AE773" s="1" t="s">
        <v>35</v>
      </c>
      <c r="AF773" s="5">
        <f t="shared" si="48"/>
        <v>45485</v>
      </c>
      <c r="AG773" s="5">
        <f t="shared" si="48"/>
        <v>45487</v>
      </c>
      <c r="AH773" s="5" t="b">
        <f t="shared" si="49"/>
        <v>1</v>
      </c>
      <c r="AI773" s="5" t="b">
        <f t="shared" si="49"/>
        <v>1</v>
      </c>
      <c r="AJ773" t="str">
        <f t="shared" si="50"/>
        <v>OK</v>
      </c>
      <c r="AK773">
        <f t="shared" si="51"/>
        <v>2</v>
      </c>
    </row>
    <row r="774" spans="1:37">
      <c r="A774" t="s">
        <v>3569</v>
      </c>
      <c r="B774" t="s">
        <v>171</v>
      </c>
      <c r="C774" t="s">
        <v>1571</v>
      </c>
      <c r="D774" t="s">
        <v>3570</v>
      </c>
      <c r="E774" t="s">
        <v>210</v>
      </c>
      <c r="F774" t="s">
        <v>26</v>
      </c>
      <c r="G774" t="s">
        <v>62</v>
      </c>
      <c r="H774" t="s">
        <v>339</v>
      </c>
      <c r="I774" t="s">
        <v>340</v>
      </c>
      <c r="J774" t="s">
        <v>45</v>
      </c>
      <c r="K774" t="s">
        <v>76</v>
      </c>
      <c r="L774" t="s">
        <v>3571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137</v>
      </c>
      <c r="U774" t="s">
        <v>78</v>
      </c>
      <c r="V774" s="1" t="s">
        <v>210</v>
      </c>
      <c r="W774" s="1" t="s">
        <v>26</v>
      </c>
      <c r="X774" s="1" t="s">
        <v>62</v>
      </c>
      <c r="Y774" s="1" t="s">
        <v>339</v>
      </c>
      <c r="Z774" s="1" t="s">
        <v>340</v>
      </c>
      <c r="AA774" s="1" t="s">
        <v>45</v>
      </c>
      <c r="AB774" s="1" t="s">
        <v>76</v>
      </c>
      <c r="AC774" s="1" t="s">
        <v>48</v>
      </c>
      <c r="AD774" s="1" t="s">
        <v>137</v>
      </c>
      <c r="AE774" s="1" t="s">
        <v>78</v>
      </c>
      <c r="AF774" s="5">
        <f t="shared" si="48"/>
        <v>45853</v>
      </c>
      <c r="AG774" s="5">
        <f t="shared" si="48"/>
        <v>45857</v>
      </c>
      <c r="AH774" s="5" t="b">
        <f t="shared" si="49"/>
        <v>1</v>
      </c>
      <c r="AI774" s="5" t="b">
        <f t="shared" si="49"/>
        <v>1</v>
      </c>
      <c r="AJ774" t="str">
        <f t="shared" si="50"/>
        <v>OK</v>
      </c>
      <c r="AK774">
        <f t="shared" si="51"/>
        <v>4</v>
      </c>
    </row>
    <row r="775" spans="1:37">
      <c r="A775" t="s">
        <v>3572</v>
      </c>
      <c r="B775" t="s">
        <v>3573</v>
      </c>
      <c r="C775" t="s">
        <v>3574</v>
      </c>
      <c r="D775" t="s">
        <v>3575</v>
      </c>
      <c r="E775" t="s">
        <v>25</v>
      </c>
      <c r="F775" t="s">
        <v>115</v>
      </c>
      <c r="G775" t="s">
        <v>73</v>
      </c>
      <c r="H775" t="s">
        <v>235</v>
      </c>
      <c r="I775" t="s">
        <v>236</v>
      </c>
      <c r="J775" t="s">
        <v>86</v>
      </c>
      <c r="K775" t="s">
        <v>223</v>
      </c>
      <c r="L775" t="s">
        <v>3576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  <c r="V775" s="1" t="s">
        <v>25</v>
      </c>
      <c r="W775" s="1" t="s">
        <v>115</v>
      </c>
      <c r="X775" s="1" t="s">
        <v>73</v>
      </c>
      <c r="Y775" s="1" t="s">
        <v>235</v>
      </c>
      <c r="Z775" s="1" t="s">
        <v>236</v>
      </c>
      <c r="AA775" s="1" t="s">
        <v>86</v>
      </c>
      <c r="AB775" s="1" t="s">
        <v>223</v>
      </c>
      <c r="AC775" s="1" t="s">
        <v>4119</v>
      </c>
      <c r="AD775" s="1" t="s">
        <v>34</v>
      </c>
      <c r="AE775" s="1" t="s">
        <v>35</v>
      </c>
      <c r="AF775" s="5">
        <f t="shared" si="48"/>
        <v>45709</v>
      </c>
      <c r="AG775" s="5">
        <f t="shared" si="48"/>
        <v>45709</v>
      </c>
      <c r="AH775" s="5" t="b">
        <f t="shared" si="49"/>
        <v>1</v>
      </c>
      <c r="AI775" s="5" t="b">
        <f t="shared" si="49"/>
        <v>1</v>
      </c>
      <c r="AJ775" t="str">
        <f t="shared" si="50"/>
        <v>OK</v>
      </c>
      <c r="AK775">
        <f t="shared" si="51"/>
        <v>0</v>
      </c>
    </row>
    <row r="776" spans="1:37">
      <c r="A776" t="s">
        <v>3577</v>
      </c>
      <c r="B776" t="s">
        <v>3578</v>
      </c>
      <c r="C776" t="s">
        <v>1799</v>
      </c>
      <c r="D776" t="s">
        <v>3579</v>
      </c>
      <c r="E776" t="s">
        <v>366</v>
      </c>
      <c r="F776" t="s">
        <v>26</v>
      </c>
      <c r="G776" t="s">
        <v>73</v>
      </c>
      <c r="H776" t="s">
        <v>28</v>
      </c>
      <c r="I776" t="s">
        <v>135</v>
      </c>
      <c r="J776" t="s">
        <v>86</v>
      </c>
      <c r="K776" t="s">
        <v>382</v>
      </c>
      <c r="L776" t="s">
        <v>3580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  <c r="V776" s="1" t="s">
        <v>366</v>
      </c>
      <c r="W776" s="1" t="s">
        <v>26</v>
      </c>
      <c r="X776" s="1" t="s">
        <v>73</v>
      </c>
      <c r="Y776" s="1" t="s">
        <v>28</v>
      </c>
      <c r="Z776" s="1" t="s">
        <v>135</v>
      </c>
      <c r="AA776" s="1" t="s">
        <v>86</v>
      </c>
      <c r="AB776" s="1" t="s">
        <v>382</v>
      </c>
      <c r="AC776" s="1" t="s">
        <v>4119</v>
      </c>
      <c r="AD776" s="1" t="s">
        <v>34</v>
      </c>
      <c r="AE776" s="1" t="s">
        <v>35</v>
      </c>
      <c r="AF776" s="5">
        <f t="shared" si="48"/>
        <v>45846</v>
      </c>
      <c r="AG776" s="5">
        <f t="shared" si="48"/>
        <v>45876</v>
      </c>
      <c r="AH776" s="5" t="b">
        <f t="shared" si="49"/>
        <v>1</v>
      </c>
      <c r="AI776" s="5" t="b">
        <f t="shared" si="49"/>
        <v>1</v>
      </c>
      <c r="AJ776" t="str">
        <f t="shared" si="50"/>
        <v>OK</v>
      </c>
      <c r="AK776">
        <f t="shared" si="51"/>
        <v>30</v>
      </c>
    </row>
    <row r="777" spans="1:37">
      <c r="A777" t="s">
        <v>3581</v>
      </c>
      <c r="B777" t="s">
        <v>3582</v>
      </c>
      <c r="C777" t="s">
        <v>3583</v>
      </c>
      <c r="D777" t="s">
        <v>3584</v>
      </c>
      <c r="E777" t="s">
        <v>61</v>
      </c>
      <c r="F777" t="s">
        <v>26</v>
      </c>
      <c r="G777" t="s">
        <v>27</v>
      </c>
      <c r="H777" t="s">
        <v>323</v>
      </c>
      <c r="I777" t="s">
        <v>324</v>
      </c>
      <c r="J777" t="s">
        <v>86</v>
      </c>
      <c r="K777" t="s">
        <v>87</v>
      </c>
      <c r="L777" t="s">
        <v>3585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  <c r="V777" s="1" t="s">
        <v>61</v>
      </c>
      <c r="W777" s="1" t="s">
        <v>26</v>
      </c>
      <c r="X777" s="1" t="s">
        <v>27</v>
      </c>
      <c r="Y777" s="1" t="s">
        <v>323</v>
      </c>
      <c r="Z777" s="1" t="s">
        <v>324</v>
      </c>
      <c r="AA777" s="1" t="s">
        <v>86</v>
      </c>
      <c r="AB777" s="1" t="s">
        <v>87</v>
      </c>
      <c r="AC777" s="1" t="s">
        <v>67</v>
      </c>
      <c r="AD777" s="1" t="s">
        <v>34</v>
      </c>
      <c r="AE777" s="1" t="s">
        <v>35</v>
      </c>
      <c r="AF777" s="5">
        <f t="shared" si="48"/>
        <v>45396</v>
      </c>
      <c r="AG777" s="5" t="e">
        <f t="shared" si="48"/>
        <v>#N/A</v>
      </c>
      <c r="AH777" s="5" t="b">
        <f t="shared" si="49"/>
        <v>1</v>
      </c>
      <c r="AI777" s="5" t="b">
        <f t="shared" si="49"/>
        <v>0</v>
      </c>
      <c r="AJ777" t="e">
        <f t="shared" si="50"/>
        <v>#N/A</v>
      </c>
      <c r="AK777" t="e">
        <f t="shared" si="51"/>
        <v>#N/A</v>
      </c>
    </row>
    <row r="778" spans="1:37">
      <c r="A778" t="s">
        <v>3586</v>
      </c>
      <c r="B778" t="s">
        <v>3587</v>
      </c>
      <c r="C778" t="s">
        <v>2351</v>
      </c>
      <c r="D778" t="s">
        <v>3588</v>
      </c>
      <c r="E778" t="s">
        <v>107</v>
      </c>
      <c r="F778" t="s">
        <v>41</v>
      </c>
      <c r="G778" t="s">
        <v>27</v>
      </c>
      <c r="H778" t="s">
        <v>28</v>
      </c>
      <c r="I778" t="s">
        <v>29</v>
      </c>
      <c r="J778" t="s">
        <v>86</v>
      </c>
      <c r="K778" t="s">
        <v>94</v>
      </c>
      <c r="L778" t="s">
        <v>3589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  <c r="V778" s="1" t="s">
        <v>107</v>
      </c>
      <c r="W778" s="1" t="s">
        <v>41</v>
      </c>
      <c r="X778" s="1" t="s">
        <v>27</v>
      </c>
      <c r="Y778" s="1" t="s">
        <v>28</v>
      </c>
      <c r="Z778" s="1" t="s">
        <v>29</v>
      </c>
      <c r="AA778" s="1" t="s">
        <v>86</v>
      </c>
      <c r="AB778" s="1" t="s">
        <v>94</v>
      </c>
      <c r="AC778" s="1" t="s">
        <v>33</v>
      </c>
      <c r="AD778" s="1" t="s">
        <v>34</v>
      </c>
      <c r="AE778" s="1" t="s">
        <v>35</v>
      </c>
      <c r="AF778" s="5">
        <f t="shared" si="48"/>
        <v>45875</v>
      </c>
      <c r="AG778" s="5">
        <f t="shared" si="48"/>
        <v>45821</v>
      </c>
      <c r="AH778" s="5" t="b">
        <f t="shared" si="49"/>
        <v>1</v>
      </c>
      <c r="AI778" s="5" t="b">
        <f t="shared" si="49"/>
        <v>1</v>
      </c>
      <c r="AJ778" t="str">
        <f t="shared" si="50"/>
        <v>Invalid: Ship before Order</v>
      </c>
      <c r="AK778" t="e">
        <f t="shared" si="51"/>
        <v>#NUM!</v>
      </c>
    </row>
    <row r="779" spans="1:37">
      <c r="A779" t="s">
        <v>3590</v>
      </c>
      <c r="B779" t="s">
        <v>3591</v>
      </c>
      <c r="C779" t="s">
        <v>2280</v>
      </c>
      <c r="D779" t="s">
        <v>3592</v>
      </c>
      <c r="E779" t="s">
        <v>366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3593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200</v>
      </c>
      <c r="U779" t="s">
        <v>78</v>
      </c>
      <c r="V779" s="1" t="s">
        <v>366</v>
      </c>
      <c r="W779" s="1" t="s">
        <v>41</v>
      </c>
      <c r="X779" s="1" t="s">
        <v>73</v>
      </c>
      <c r="Y779" s="1" t="s">
        <v>84</v>
      </c>
      <c r="Z779" s="1" t="s">
        <v>85</v>
      </c>
      <c r="AA779" s="1" t="s">
        <v>86</v>
      </c>
      <c r="AB779" s="1" t="s">
        <v>87</v>
      </c>
      <c r="AC779" s="1" t="s">
        <v>33</v>
      </c>
      <c r="AD779" s="1" t="s">
        <v>200</v>
      </c>
      <c r="AE779" s="1" t="s">
        <v>78</v>
      </c>
      <c r="AF779" s="5">
        <f t="shared" si="48"/>
        <v>45384</v>
      </c>
      <c r="AG779" s="5">
        <f t="shared" si="48"/>
        <v>45328</v>
      </c>
      <c r="AH779" s="5" t="b">
        <f t="shared" si="49"/>
        <v>1</v>
      </c>
      <c r="AI779" s="5" t="b">
        <f t="shared" si="49"/>
        <v>1</v>
      </c>
      <c r="AJ779" t="str">
        <f t="shared" si="50"/>
        <v>Invalid: Ship before Order</v>
      </c>
      <c r="AK779" t="e">
        <f t="shared" si="51"/>
        <v>#NUM!</v>
      </c>
    </row>
    <row r="780" spans="1:37">
      <c r="A780" t="s">
        <v>3594</v>
      </c>
      <c r="B780" t="s">
        <v>715</v>
      </c>
      <c r="C780" t="s">
        <v>3595</v>
      </c>
      <c r="D780" t="s">
        <v>3596</v>
      </c>
      <c r="E780" t="s">
        <v>25</v>
      </c>
      <c r="F780" t="s">
        <v>41</v>
      </c>
      <c r="G780" t="s">
        <v>27</v>
      </c>
      <c r="H780" t="s">
        <v>323</v>
      </c>
      <c r="I780" t="s">
        <v>324</v>
      </c>
      <c r="J780" t="s">
        <v>86</v>
      </c>
      <c r="K780" t="s">
        <v>94</v>
      </c>
      <c r="L780" t="s">
        <v>3597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  <c r="V780" s="1" t="s">
        <v>25</v>
      </c>
      <c r="W780" s="1" t="s">
        <v>41</v>
      </c>
      <c r="X780" s="1" t="s">
        <v>27</v>
      </c>
      <c r="Y780" s="1" t="s">
        <v>323</v>
      </c>
      <c r="Z780" s="1" t="s">
        <v>324</v>
      </c>
      <c r="AA780" s="1" t="s">
        <v>86</v>
      </c>
      <c r="AB780" s="1" t="s">
        <v>94</v>
      </c>
      <c r="AC780" s="1" t="s">
        <v>33</v>
      </c>
      <c r="AD780" s="1" t="s">
        <v>34</v>
      </c>
      <c r="AE780" s="1" t="s">
        <v>35</v>
      </c>
      <c r="AF780" s="5">
        <f t="shared" si="48"/>
        <v>45497</v>
      </c>
      <c r="AG780" s="5" t="e">
        <f t="shared" si="48"/>
        <v>#N/A</v>
      </c>
      <c r="AH780" s="5" t="b">
        <f t="shared" si="49"/>
        <v>1</v>
      </c>
      <c r="AI780" s="5" t="b">
        <f t="shared" si="49"/>
        <v>0</v>
      </c>
      <c r="AJ780" t="e">
        <f t="shared" si="50"/>
        <v>#N/A</v>
      </c>
      <c r="AK780" t="e">
        <f t="shared" si="51"/>
        <v>#N/A</v>
      </c>
    </row>
    <row r="781" spans="1:37">
      <c r="A781" t="s">
        <v>3598</v>
      </c>
      <c r="B781" t="s">
        <v>2205</v>
      </c>
      <c r="C781" t="s">
        <v>3599</v>
      </c>
      <c r="D781" t="s">
        <v>3600</v>
      </c>
      <c r="E781" t="s">
        <v>142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3601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  <c r="V781" s="1" t="s">
        <v>142</v>
      </c>
      <c r="W781" s="1" t="s">
        <v>41</v>
      </c>
      <c r="X781" s="1" t="s">
        <v>62</v>
      </c>
      <c r="Y781" s="1" t="s">
        <v>100</v>
      </c>
      <c r="Z781" s="1" t="s">
        <v>101</v>
      </c>
      <c r="AA781" s="1" t="s">
        <v>45</v>
      </c>
      <c r="AB781" s="1" t="s">
        <v>76</v>
      </c>
      <c r="AC781" s="1" t="s">
        <v>67</v>
      </c>
      <c r="AD781" s="1" t="s">
        <v>34</v>
      </c>
      <c r="AE781" s="1" t="s">
        <v>35</v>
      </c>
      <c r="AF781" s="5">
        <f t="shared" si="48"/>
        <v>45306</v>
      </c>
      <c r="AG781" s="5" t="e">
        <f t="shared" si="48"/>
        <v>#N/A</v>
      </c>
      <c r="AH781" s="5" t="b">
        <f t="shared" si="49"/>
        <v>1</v>
      </c>
      <c r="AI781" s="5" t="b">
        <f t="shared" si="49"/>
        <v>0</v>
      </c>
      <c r="AJ781" t="e">
        <f t="shared" si="50"/>
        <v>#N/A</v>
      </c>
      <c r="AK781" t="e">
        <f t="shared" si="51"/>
        <v>#N/A</v>
      </c>
    </row>
    <row r="782" spans="1:37">
      <c r="A782" t="s">
        <v>3602</v>
      </c>
      <c r="B782" t="s">
        <v>3603</v>
      </c>
      <c r="C782" t="s">
        <v>2654</v>
      </c>
      <c r="D782" t="s">
        <v>3604</v>
      </c>
      <c r="E782" t="s">
        <v>210</v>
      </c>
      <c r="F782" t="s">
        <v>41</v>
      </c>
      <c r="G782" t="s">
        <v>73</v>
      </c>
      <c r="H782" t="s">
        <v>28</v>
      </c>
      <c r="I782" t="s">
        <v>135</v>
      </c>
      <c r="J782" t="s">
        <v>45</v>
      </c>
      <c r="K782" t="s">
        <v>76</v>
      </c>
      <c r="L782" t="s">
        <v>3605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  <c r="V782" s="1" t="s">
        <v>210</v>
      </c>
      <c r="W782" s="1" t="s">
        <v>41</v>
      </c>
      <c r="X782" s="1" t="s">
        <v>73</v>
      </c>
      <c r="Y782" s="1" t="s">
        <v>28</v>
      </c>
      <c r="Z782" s="1" t="s">
        <v>135</v>
      </c>
      <c r="AA782" s="1" t="s">
        <v>45</v>
      </c>
      <c r="AB782" s="1" t="s">
        <v>76</v>
      </c>
      <c r="AC782" s="1" t="s">
        <v>48</v>
      </c>
      <c r="AD782" s="1" t="s">
        <v>34</v>
      </c>
      <c r="AE782" s="1" t="s">
        <v>35</v>
      </c>
      <c r="AF782" s="5">
        <f t="shared" si="48"/>
        <v>45508</v>
      </c>
      <c r="AG782" s="5">
        <f t="shared" si="48"/>
        <v>45514</v>
      </c>
      <c r="AH782" s="5" t="b">
        <f t="shared" si="49"/>
        <v>1</v>
      </c>
      <c r="AI782" s="5" t="b">
        <f t="shared" si="49"/>
        <v>1</v>
      </c>
      <c r="AJ782" t="str">
        <f t="shared" si="50"/>
        <v>OK</v>
      </c>
      <c r="AK782">
        <f t="shared" si="51"/>
        <v>6</v>
      </c>
    </row>
    <row r="783" spans="1:37">
      <c r="A783" t="s">
        <v>3606</v>
      </c>
      <c r="B783" t="s">
        <v>3607</v>
      </c>
      <c r="C783" t="s">
        <v>2129</v>
      </c>
      <c r="D783" t="s">
        <v>3608</v>
      </c>
      <c r="E783" t="s">
        <v>25</v>
      </c>
      <c r="F783" t="s">
        <v>115</v>
      </c>
      <c r="G783" t="s">
        <v>73</v>
      </c>
      <c r="H783" t="s">
        <v>28</v>
      </c>
      <c r="I783" t="s">
        <v>135</v>
      </c>
      <c r="J783" t="s">
        <v>30</v>
      </c>
      <c r="K783" t="s">
        <v>109</v>
      </c>
      <c r="L783" t="s">
        <v>3609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137</v>
      </c>
      <c r="U783" t="s">
        <v>125</v>
      </c>
      <c r="V783" s="1" t="s">
        <v>25</v>
      </c>
      <c r="W783" s="1" t="s">
        <v>115</v>
      </c>
      <c r="X783" s="1" t="s">
        <v>73</v>
      </c>
      <c r="Y783" s="1" t="s">
        <v>28</v>
      </c>
      <c r="Z783" s="1" t="s">
        <v>135</v>
      </c>
      <c r="AA783" s="1" t="s">
        <v>30</v>
      </c>
      <c r="AB783" s="1" t="s">
        <v>109</v>
      </c>
      <c r="AC783" s="1" t="s">
        <v>56</v>
      </c>
      <c r="AD783" s="1" t="s">
        <v>137</v>
      </c>
      <c r="AE783" s="1" t="s">
        <v>125</v>
      </c>
      <c r="AF783" s="5">
        <f t="shared" si="48"/>
        <v>45324</v>
      </c>
      <c r="AG783" s="5">
        <f t="shared" si="48"/>
        <v>45332</v>
      </c>
      <c r="AH783" s="5" t="b">
        <f t="shared" si="49"/>
        <v>1</v>
      </c>
      <c r="AI783" s="5" t="b">
        <f t="shared" si="49"/>
        <v>1</v>
      </c>
      <c r="AJ783" t="str">
        <f t="shared" si="50"/>
        <v>OK</v>
      </c>
      <c r="AK783">
        <f t="shared" si="51"/>
        <v>8</v>
      </c>
    </row>
    <row r="784" spans="1:37">
      <c r="A784" t="s">
        <v>3610</v>
      </c>
      <c r="B784" t="s">
        <v>1435</v>
      </c>
      <c r="C784" t="s">
        <v>3611</v>
      </c>
      <c r="D784" t="s">
        <v>3612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3613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  <c r="V784" s="1" t="s">
        <v>40</v>
      </c>
      <c r="W784" s="1" t="s">
        <v>108</v>
      </c>
      <c r="X784" s="1" t="s">
        <v>42</v>
      </c>
      <c r="Y784" s="1" t="s">
        <v>121</v>
      </c>
      <c r="Z784" s="1" t="s">
        <v>122</v>
      </c>
      <c r="AA784" s="1" t="s">
        <v>86</v>
      </c>
      <c r="AB784" s="1" t="s">
        <v>94</v>
      </c>
      <c r="AC784" s="1" t="s">
        <v>67</v>
      </c>
      <c r="AD784" s="1" t="s">
        <v>34</v>
      </c>
      <c r="AE784" s="1" t="s">
        <v>35</v>
      </c>
      <c r="AF784" s="5">
        <f t="shared" si="48"/>
        <v>45730</v>
      </c>
      <c r="AG784" s="5">
        <f t="shared" si="48"/>
        <v>45738</v>
      </c>
      <c r="AH784" s="5" t="b">
        <f t="shared" si="49"/>
        <v>1</v>
      </c>
      <c r="AI784" s="5" t="b">
        <f t="shared" si="49"/>
        <v>1</v>
      </c>
      <c r="AJ784" t="str">
        <f t="shared" si="50"/>
        <v>OK</v>
      </c>
      <c r="AK784">
        <f t="shared" si="51"/>
        <v>8</v>
      </c>
    </row>
    <row r="785" spans="1:37">
      <c r="A785" t="s">
        <v>3614</v>
      </c>
      <c r="B785" t="s">
        <v>3615</v>
      </c>
      <c r="C785" t="s">
        <v>3616</v>
      </c>
      <c r="D785" t="s">
        <v>3617</v>
      </c>
      <c r="E785" t="s">
        <v>162</v>
      </c>
      <c r="F785" t="s">
        <v>41</v>
      </c>
      <c r="G785" t="s">
        <v>42</v>
      </c>
      <c r="H785" t="s">
        <v>186</v>
      </c>
      <c r="I785" t="s">
        <v>187</v>
      </c>
      <c r="J785" t="s">
        <v>30</v>
      </c>
      <c r="K785" t="s">
        <v>54</v>
      </c>
      <c r="L785" t="s">
        <v>3618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  <c r="V785" s="1" t="s">
        <v>162</v>
      </c>
      <c r="W785" s="1" t="s">
        <v>41</v>
      </c>
      <c r="X785" s="1" t="s">
        <v>42</v>
      </c>
      <c r="Y785" s="1" t="s">
        <v>186</v>
      </c>
      <c r="Z785" s="1" t="s">
        <v>187</v>
      </c>
      <c r="AA785" s="1" t="s">
        <v>30</v>
      </c>
      <c r="AB785" s="1" t="s">
        <v>54</v>
      </c>
      <c r="AC785" s="1" t="s">
        <v>33</v>
      </c>
      <c r="AD785" s="1" t="s">
        <v>34</v>
      </c>
      <c r="AE785" s="1" t="s">
        <v>35</v>
      </c>
      <c r="AF785" s="5">
        <f t="shared" si="48"/>
        <v>45450</v>
      </c>
      <c r="AG785" s="5">
        <f t="shared" si="48"/>
        <v>45450</v>
      </c>
      <c r="AH785" s="5" t="b">
        <f t="shared" si="49"/>
        <v>1</v>
      </c>
      <c r="AI785" s="5" t="b">
        <f t="shared" si="49"/>
        <v>1</v>
      </c>
      <c r="AJ785" t="str">
        <f t="shared" si="50"/>
        <v>OK</v>
      </c>
      <c r="AK785">
        <f t="shared" si="51"/>
        <v>0</v>
      </c>
    </row>
    <row r="786" spans="1:37">
      <c r="A786" t="s">
        <v>3619</v>
      </c>
      <c r="B786" t="s">
        <v>3620</v>
      </c>
      <c r="C786" t="s">
        <v>2553</v>
      </c>
      <c r="D786" t="s">
        <v>3621</v>
      </c>
      <c r="E786" t="s">
        <v>142</v>
      </c>
      <c r="F786" t="s">
        <v>108</v>
      </c>
      <c r="G786" t="s">
        <v>3622</v>
      </c>
      <c r="H786" t="s">
        <v>154</v>
      </c>
      <c r="I786" t="s">
        <v>155</v>
      </c>
      <c r="J786" t="s">
        <v>86</v>
      </c>
      <c r="K786" t="s">
        <v>94</v>
      </c>
      <c r="L786" t="s">
        <v>3623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  <c r="V786" s="1" t="s">
        <v>142</v>
      </c>
      <c r="W786" s="1" t="s">
        <v>108</v>
      </c>
      <c r="X786" s="1" t="s">
        <v>27</v>
      </c>
      <c r="Y786" s="1" t="s">
        <v>154</v>
      </c>
      <c r="Z786" s="1" t="s">
        <v>155</v>
      </c>
      <c r="AA786" s="1" t="s">
        <v>86</v>
      </c>
      <c r="AB786" s="1" t="s">
        <v>94</v>
      </c>
      <c r="AC786" s="1" t="s">
        <v>56</v>
      </c>
      <c r="AD786" s="1" t="s">
        <v>34</v>
      </c>
      <c r="AE786" s="1" t="s">
        <v>35</v>
      </c>
      <c r="AF786" s="5">
        <f t="shared" si="48"/>
        <v>45934</v>
      </c>
      <c r="AG786" s="5">
        <f t="shared" si="48"/>
        <v>45935</v>
      </c>
      <c r="AH786" s="5" t="b">
        <f t="shared" si="49"/>
        <v>1</v>
      </c>
      <c r="AI786" s="5" t="b">
        <f t="shared" si="49"/>
        <v>1</v>
      </c>
      <c r="AJ786" t="str">
        <f t="shared" si="50"/>
        <v>OK</v>
      </c>
      <c r="AK786">
        <f t="shared" si="51"/>
        <v>1</v>
      </c>
    </row>
    <row r="787" spans="1:37">
      <c r="A787" t="s">
        <v>3624</v>
      </c>
      <c r="B787" t="s">
        <v>3625</v>
      </c>
      <c r="C787" t="s">
        <v>273</v>
      </c>
      <c r="D787" t="s">
        <v>3626</v>
      </c>
      <c r="E787" t="s">
        <v>210</v>
      </c>
      <c r="F787" t="s">
        <v>41</v>
      </c>
      <c r="G787" t="s">
        <v>27</v>
      </c>
      <c r="H787" t="s">
        <v>323</v>
      </c>
      <c r="I787" t="s">
        <v>324</v>
      </c>
      <c r="J787" t="s">
        <v>30</v>
      </c>
      <c r="K787" t="s">
        <v>156</v>
      </c>
      <c r="L787" t="s">
        <v>3627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200</v>
      </c>
      <c r="U787" t="s">
        <v>78</v>
      </c>
      <c r="V787" s="1" t="s">
        <v>210</v>
      </c>
      <c r="W787" s="1" t="s">
        <v>41</v>
      </c>
      <c r="X787" s="1" t="s">
        <v>27</v>
      </c>
      <c r="Y787" s="1" t="s">
        <v>323</v>
      </c>
      <c r="Z787" s="1" t="s">
        <v>324</v>
      </c>
      <c r="AA787" s="1" t="s">
        <v>30</v>
      </c>
      <c r="AB787" s="1" t="s">
        <v>156</v>
      </c>
      <c r="AC787" s="1" t="s">
        <v>48</v>
      </c>
      <c r="AD787" s="1" t="s">
        <v>200</v>
      </c>
      <c r="AE787" s="1" t="s">
        <v>78</v>
      </c>
      <c r="AF787" s="5" t="e">
        <f t="shared" si="48"/>
        <v>#N/A</v>
      </c>
      <c r="AG787" s="5" t="e">
        <f t="shared" si="48"/>
        <v>#N/A</v>
      </c>
      <c r="AH787" s="5" t="b">
        <f t="shared" si="49"/>
        <v>0</v>
      </c>
      <c r="AI787" s="5" t="b">
        <f t="shared" si="49"/>
        <v>0</v>
      </c>
      <c r="AJ787" t="e">
        <f t="shared" si="50"/>
        <v>#N/A</v>
      </c>
      <c r="AK787" t="e">
        <f t="shared" si="51"/>
        <v>#N/A</v>
      </c>
    </row>
    <row r="788" spans="1:37">
      <c r="A788" t="s">
        <v>3628</v>
      </c>
      <c r="B788" t="s">
        <v>1271</v>
      </c>
      <c r="C788" t="s">
        <v>2853</v>
      </c>
      <c r="D788" t="s">
        <v>3629</v>
      </c>
      <c r="E788" t="s">
        <v>72</v>
      </c>
      <c r="F788" t="s">
        <v>108</v>
      </c>
      <c r="G788" t="s">
        <v>27</v>
      </c>
      <c r="H788" t="s">
        <v>28</v>
      </c>
      <c r="I788" t="s">
        <v>29</v>
      </c>
      <c r="J788" t="s">
        <v>45</v>
      </c>
      <c r="K788" t="s">
        <v>65</v>
      </c>
      <c r="L788" t="s">
        <v>3630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  <c r="V788" s="1" t="s">
        <v>72</v>
      </c>
      <c r="W788" s="1" t="s">
        <v>108</v>
      </c>
      <c r="X788" s="1" t="s">
        <v>27</v>
      </c>
      <c r="Y788" s="1" t="s">
        <v>28</v>
      </c>
      <c r="Z788" s="1" t="s">
        <v>29</v>
      </c>
      <c r="AA788" s="1" t="s">
        <v>45</v>
      </c>
      <c r="AB788" s="1" t="s">
        <v>65</v>
      </c>
      <c r="AC788" s="1" t="s">
        <v>4119</v>
      </c>
      <c r="AD788" s="1" t="s">
        <v>124</v>
      </c>
      <c r="AE788" s="1" t="s">
        <v>125</v>
      </c>
      <c r="AF788" s="5">
        <f t="shared" si="48"/>
        <v>45844</v>
      </c>
      <c r="AG788" s="5">
        <f t="shared" si="48"/>
        <v>45846</v>
      </c>
      <c r="AH788" s="5" t="b">
        <f t="shared" si="49"/>
        <v>1</v>
      </c>
      <c r="AI788" s="5" t="b">
        <f t="shared" si="49"/>
        <v>1</v>
      </c>
      <c r="AJ788" t="str">
        <f t="shared" si="50"/>
        <v>OK</v>
      </c>
      <c r="AK788">
        <f t="shared" si="51"/>
        <v>2</v>
      </c>
    </row>
    <row r="789" spans="1:37">
      <c r="A789" t="s">
        <v>3631</v>
      </c>
      <c r="B789" t="s">
        <v>1324</v>
      </c>
      <c r="C789" t="s">
        <v>3632</v>
      </c>
      <c r="D789" t="s">
        <v>3633</v>
      </c>
      <c r="E789" t="s">
        <v>72</v>
      </c>
      <c r="F789" t="s">
        <v>115</v>
      </c>
      <c r="G789" t="s">
        <v>42</v>
      </c>
      <c r="H789" t="s">
        <v>186</v>
      </c>
      <c r="I789" t="s">
        <v>187</v>
      </c>
      <c r="J789" t="s">
        <v>30</v>
      </c>
      <c r="K789" t="s">
        <v>31</v>
      </c>
      <c r="L789" t="s">
        <v>3634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34</v>
      </c>
      <c r="U789" t="s">
        <v>35</v>
      </c>
      <c r="V789" s="1" t="s">
        <v>72</v>
      </c>
      <c r="W789" s="1" t="s">
        <v>115</v>
      </c>
      <c r="X789" s="1" t="s">
        <v>42</v>
      </c>
      <c r="Y789" s="1" t="s">
        <v>186</v>
      </c>
      <c r="Z789" s="1" t="s">
        <v>187</v>
      </c>
      <c r="AA789" s="1" t="s">
        <v>30</v>
      </c>
      <c r="AB789" s="1" t="s">
        <v>31</v>
      </c>
      <c r="AC789" s="1" t="s">
        <v>33</v>
      </c>
      <c r="AD789" s="1" t="s">
        <v>34</v>
      </c>
      <c r="AE789" s="1" t="s">
        <v>35</v>
      </c>
      <c r="AF789" s="5">
        <f t="shared" si="48"/>
        <v>45547</v>
      </c>
      <c r="AG789" s="5">
        <f t="shared" si="48"/>
        <v>45553</v>
      </c>
      <c r="AH789" s="5" t="b">
        <f t="shared" si="49"/>
        <v>1</v>
      </c>
      <c r="AI789" s="5" t="b">
        <f t="shared" si="49"/>
        <v>1</v>
      </c>
      <c r="AJ789" t="str">
        <f t="shared" si="50"/>
        <v>OK</v>
      </c>
      <c r="AK789">
        <f t="shared" si="51"/>
        <v>6</v>
      </c>
    </row>
    <row r="790" spans="1:37">
      <c r="A790" t="s">
        <v>3635</v>
      </c>
      <c r="B790" t="s">
        <v>1299</v>
      </c>
      <c r="C790" t="s">
        <v>538</v>
      </c>
      <c r="D790" t="s">
        <v>3636</v>
      </c>
      <c r="E790" t="s">
        <v>53</v>
      </c>
      <c r="F790" t="s">
        <v>108</v>
      </c>
      <c r="G790" t="s">
        <v>27</v>
      </c>
      <c r="H790" t="s">
        <v>174</v>
      </c>
      <c r="I790" t="s">
        <v>175</v>
      </c>
      <c r="J790" t="s">
        <v>45</v>
      </c>
      <c r="K790" t="s">
        <v>76</v>
      </c>
      <c r="L790" t="s">
        <v>3637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200</v>
      </c>
      <c r="U790" t="s">
        <v>125</v>
      </c>
      <c r="V790" s="1" t="s">
        <v>53</v>
      </c>
      <c r="W790" s="1" t="s">
        <v>108</v>
      </c>
      <c r="X790" s="1" t="s">
        <v>27</v>
      </c>
      <c r="Y790" s="1" t="s">
        <v>174</v>
      </c>
      <c r="Z790" s="1" t="s">
        <v>175</v>
      </c>
      <c r="AA790" s="1" t="s">
        <v>45</v>
      </c>
      <c r="AB790" s="1" t="s">
        <v>76</v>
      </c>
      <c r="AC790" s="1" t="s">
        <v>67</v>
      </c>
      <c r="AD790" s="1" t="s">
        <v>200</v>
      </c>
      <c r="AE790" s="1" t="s">
        <v>125</v>
      </c>
      <c r="AF790" s="5">
        <f t="shared" si="48"/>
        <v>45505</v>
      </c>
      <c r="AG790" s="5">
        <f t="shared" si="48"/>
        <v>45330</v>
      </c>
      <c r="AH790" s="5" t="b">
        <f t="shared" si="49"/>
        <v>1</v>
      </c>
      <c r="AI790" s="5" t="b">
        <f t="shared" si="49"/>
        <v>1</v>
      </c>
      <c r="AJ790" t="str">
        <f t="shared" si="50"/>
        <v>Invalid: Ship before Order</v>
      </c>
      <c r="AK790" t="e">
        <f t="shared" si="51"/>
        <v>#NUM!</v>
      </c>
    </row>
    <row r="791" spans="1:37">
      <c r="A791" t="s">
        <v>3638</v>
      </c>
      <c r="B791" t="s">
        <v>3639</v>
      </c>
      <c r="C791" t="s">
        <v>2324</v>
      </c>
      <c r="D791" t="s">
        <v>3640</v>
      </c>
      <c r="E791" t="s">
        <v>142</v>
      </c>
      <c r="F791" t="s">
        <v>115</v>
      </c>
      <c r="H791" t="s">
        <v>28</v>
      </c>
      <c r="I791" t="s">
        <v>135</v>
      </c>
      <c r="J791" t="s">
        <v>86</v>
      </c>
      <c r="K791" t="s">
        <v>94</v>
      </c>
      <c r="L791" t="s">
        <v>3641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  <c r="V791" s="1" t="s">
        <v>142</v>
      </c>
      <c r="W791" s="1" t="s">
        <v>115</v>
      </c>
      <c r="X791" s="1" t="s">
        <v>4119</v>
      </c>
      <c r="Y791" s="1" t="s">
        <v>28</v>
      </c>
      <c r="Z791" s="1" t="s">
        <v>135</v>
      </c>
      <c r="AA791" s="1" t="s">
        <v>86</v>
      </c>
      <c r="AB791" s="1" t="s">
        <v>94</v>
      </c>
      <c r="AC791" s="1" t="s">
        <v>48</v>
      </c>
      <c r="AD791" s="1" t="s">
        <v>34</v>
      </c>
      <c r="AE791" s="1" t="s">
        <v>35</v>
      </c>
      <c r="AF791" s="5">
        <f t="shared" si="48"/>
        <v>45723</v>
      </c>
      <c r="AG791" s="5">
        <f t="shared" si="48"/>
        <v>45724</v>
      </c>
      <c r="AH791" s="5" t="b">
        <f t="shared" si="49"/>
        <v>1</v>
      </c>
      <c r="AI791" s="5" t="b">
        <f t="shared" si="49"/>
        <v>1</v>
      </c>
      <c r="AJ791" t="str">
        <f t="shared" si="50"/>
        <v>OK</v>
      </c>
      <c r="AK791">
        <f t="shared" si="51"/>
        <v>1</v>
      </c>
    </row>
    <row r="792" spans="1:37">
      <c r="A792" t="s">
        <v>3642</v>
      </c>
      <c r="B792" t="s">
        <v>3643</v>
      </c>
      <c r="C792" t="s">
        <v>3644</v>
      </c>
      <c r="D792" t="s">
        <v>3645</v>
      </c>
      <c r="E792" t="s">
        <v>148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3646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  <c r="V792" s="1" t="s">
        <v>148</v>
      </c>
      <c r="W792" s="1" t="s">
        <v>108</v>
      </c>
      <c r="X792" s="1" t="s">
        <v>62</v>
      </c>
      <c r="Y792" s="1" t="s">
        <v>100</v>
      </c>
      <c r="Z792" s="1" t="s">
        <v>101</v>
      </c>
      <c r="AA792" s="1" t="s">
        <v>30</v>
      </c>
      <c r="AB792" s="1" t="s">
        <v>54</v>
      </c>
      <c r="AC792" s="1" t="s">
        <v>67</v>
      </c>
      <c r="AD792" s="1" t="s">
        <v>34</v>
      </c>
      <c r="AE792" s="1" t="s">
        <v>35</v>
      </c>
      <c r="AF792" s="5">
        <f t="shared" si="48"/>
        <v>45443</v>
      </c>
      <c r="AG792" s="5">
        <f t="shared" si="48"/>
        <v>45445</v>
      </c>
      <c r="AH792" s="5" t="b">
        <f t="shared" si="49"/>
        <v>1</v>
      </c>
      <c r="AI792" s="5" t="b">
        <f t="shared" si="49"/>
        <v>1</v>
      </c>
      <c r="AJ792" t="str">
        <f t="shared" si="50"/>
        <v>OK</v>
      </c>
      <c r="AK792">
        <f t="shared" si="51"/>
        <v>2</v>
      </c>
    </row>
    <row r="793" spans="1:37">
      <c r="A793" t="s">
        <v>3647</v>
      </c>
      <c r="B793" t="s">
        <v>3013</v>
      </c>
      <c r="C793" t="s">
        <v>3648</v>
      </c>
      <c r="D793" t="s">
        <v>3649</v>
      </c>
      <c r="E793" t="s">
        <v>148</v>
      </c>
      <c r="F793" t="s">
        <v>115</v>
      </c>
      <c r="G793" t="s">
        <v>62</v>
      </c>
      <c r="H793" t="s">
        <v>229</v>
      </c>
      <c r="I793" t="s">
        <v>230</v>
      </c>
      <c r="J793" t="s">
        <v>45</v>
      </c>
      <c r="K793" t="s">
        <v>204</v>
      </c>
      <c r="L793" t="s">
        <v>3650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  <c r="V793" s="1" t="s">
        <v>148</v>
      </c>
      <c r="W793" s="1" t="s">
        <v>115</v>
      </c>
      <c r="X793" s="1" t="s">
        <v>62</v>
      </c>
      <c r="Y793" s="1" t="s">
        <v>229</v>
      </c>
      <c r="Z793" s="1" t="s">
        <v>230</v>
      </c>
      <c r="AA793" s="1" t="s">
        <v>45</v>
      </c>
      <c r="AB793" s="1" t="s">
        <v>204</v>
      </c>
      <c r="AC793" s="1" t="s">
        <v>48</v>
      </c>
      <c r="AD793" s="1" t="s">
        <v>34</v>
      </c>
      <c r="AE793" s="1" t="s">
        <v>35</v>
      </c>
      <c r="AF793" s="5">
        <f t="shared" si="48"/>
        <v>45567</v>
      </c>
      <c r="AG793" s="5">
        <f t="shared" si="48"/>
        <v>45571</v>
      </c>
      <c r="AH793" s="5" t="b">
        <f t="shared" si="49"/>
        <v>1</v>
      </c>
      <c r="AI793" s="5" t="b">
        <f t="shared" si="49"/>
        <v>1</v>
      </c>
      <c r="AJ793" t="str">
        <f t="shared" si="50"/>
        <v>OK</v>
      </c>
      <c r="AK793">
        <f t="shared" si="51"/>
        <v>4</v>
      </c>
    </row>
    <row r="794" spans="1:37">
      <c r="A794" t="s">
        <v>3651</v>
      </c>
      <c r="B794" t="s">
        <v>1230</v>
      </c>
      <c r="C794" t="s">
        <v>3652</v>
      </c>
      <c r="D794" t="s">
        <v>3653</v>
      </c>
      <c r="E794" t="s">
        <v>61</v>
      </c>
      <c r="F794" t="s">
        <v>41</v>
      </c>
      <c r="G794" t="s">
        <v>42</v>
      </c>
      <c r="H794" t="s">
        <v>216</v>
      </c>
      <c r="I794" t="s">
        <v>217</v>
      </c>
      <c r="J794" t="s">
        <v>45</v>
      </c>
      <c r="K794" t="s">
        <v>65</v>
      </c>
      <c r="L794" t="s">
        <v>3654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  <c r="V794" s="1" t="s">
        <v>61</v>
      </c>
      <c r="W794" s="1" t="s">
        <v>41</v>
      </c>
      <c r="X794" s="1" t="s">
        <v>42</v>
      </c>
      <c r="Y794" s="1" t="s">
        <v>216</v>
      </c>
      <c r="Z794" s="1" t="s">
        <v>217</v>
      </c>
      <c r="AA794" s="1" t="s">
        <v>45</v>
      </c>
      <c r="AB794" s="1" t="s">
        <v>65</v>
      </c>
      <c r="AC794" s="1" t="s">
        <v>33</v>
      </c>
      <c r="AD794" s="1" t="s">
        <v>34</v>
      </c>
      <c r="AE794" s="1" t="s">
        <v>125</v>
      </c>
      <c r="AF794" s="5">
        <f t="shared" si="48"/>
        <v>45812</v>
      </c>
      <c r="AG794" s="5">
        <f t="shared" si="48"/>
        <v>45816</v>
      </c>
      <c r="AH794" s="5" t="b">
        <f t="shared" si="49"/>
        <v>1</v>
      </c>
      <c r="AI794" s="5" t="b">
        <f t="shared" si="49"/>
        <v>1</v>
      </c>
      <c r="AJ794" t="str">
        <f t="shared" si="50"/>
        <v>OK</v>
      </c>
      <c r="AK794">
        <f t="shared" si="51"/>
        <v>4</v>
      </c>
    </row>
    <row r="795" spans="1:37">
      <c r="A795" t="s">
        <v>3655</v>
      </c>
      <c r="B795" t="s">
        <v>81</v>
      </c>
      <c r="C795" t="s">
        <v>3656</v>
      </c>
      <c r="D795" t="s">
        <v>3657</v>
      </c>
      <c r="E795" t="s">
        <v>83</v>
      </c>
      <c r="F795" t="s">
        <v>108</v>
      </c>
      <c r="G795" t="s">
        <v>27</v>
      </c>
      <c r="H795" t="s">
        <v>28</v>
      </c>
      <c r="I795" t="s">
        <v>29</v>
      </c>
      <c r="J795" t="s">
        <v>86</v>
      </c>
      <c r="K795" t="s">
        <v>94</v>
      </c>
      <c r="L795" t="s">
        <v>3658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  <c r="V795" s="1" t="s">
        <v>83</v>
      </c>
      <c r="W795" s="1" t="s">
        <v>108</v>
      </c>
      <c r="X795" s="1" t="s">
        <v>27</v>
      </c>
      <c r="Y795" s="1" t="s">
        <v>28</v>
      </c>
      <c r="Z795" s="1" t="s">
        <v>29</v>
      </c>
      <c r="AA795" s="1" t="s">
        <v>86</v>
      </c>
      <c r="AB795" s="1" t="s">
        <v>94</v>
      </c>
      <c r="AC795" s="1" t="s">
        <v>33</v>
      </c>
      <c r="AD795" s="1" t="s">
        <v>34</v>
      </c>
      <c r="AE795" s="1" t="s">
        <v>35</v>
      </c>
      <c r="AF795" s="5" t="e">
        <f t="shared" si="48"/>
        <v>#N/A</v>
      </c>
      <c r="AG795" s="5">
        <f t="shared" si="48"/>
        <v>45446</v>
      </c>
      <c r="AH795" s="5" t="b">
        <f t="shared" si="49"/>
        <v>0</v>
      </c>
      <c r="AI795" s="5" t="b">
        <f t="shared" si="49"/>
        <v>1</v>
      </c>
      <c r="AJ795" t="e">
        <f t="shared" si="50"/>
        <v>#N/A</v>
      </c>
      <c r="AK795" t="e">
        <f t="shared" si="51"/>
        <v>#N/A</v>
      </c>
    </row>
    <row r="796" spans="1:37">
      <c r="A796" t="s">
        <v>3659</v>
      </c>
      <c r="B796" t="s">
        <v>3660</v>
      </c>
      <c r="C796" t="s">
        <v>996</v>
      </c>
      <c r="D796" t="s">
        <v>3661</v>
      </c>
      <c r="E796" t="s">
        <v>168</v>
      </c>
      <c r="F796" t="s">
        <v>108</v>
      </c>
      <c r="G796" t="s">
        <v>42</v>
      </c>
      <c r="H796" t="s">
        <v>216</v>
      </c>
      <c r="I796" t="s">
        <v>217</v>
      </c>
      <c r="J796" t="s">
        <v>30</v>
      </c>
      <c r="K796" t="s">
        <v>31</v>
      </c>
      <c r="L796" t="s">
        <v>3662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  <c r="V796" s="1" t="s">
        <v>168</v>
      </c>
      <c r="W796" s="1" t="s">
        <v>108</v>
      </c>
      <c r="X796" s="1" t="s">
        <v>42</v>
      </c>
      <c r="Y796" s="1" t="s">
        <v>216</v>
      </c>
      <c r="Z796" s="1" t="s">
        <v>217</v>
      </c>
      <c r="AA796" s="1" t="s">
        <v>30</v>
      </c>
      <c r="AB796" s="1" t="s">
        <v>31</v>
      </c>
      <c r="AC796" s="1" t="s">
        <v>67</v>
      </c>
      <c r="AD796" s="1" t="s">
        <v>34</v>
      </c>
      <c r="AE796" s="1" t="s">
        <v>35</v>
      </c>
      <c r="AF796" s="5">
        <f t="shared" si="48"/>
        <v>45830</v>
      </c>
      <c r="AG796" s="5">
        <f t="shared" si="48"/>
        <v>45832</v>
      </c>
      <c r="AH796" s="5" t="b">
        <f t="shared" si="49"/>
        <v>1</v>
      </c>
      <c r="AI796" s="5" t="b">
        <f t="shared" si="49"/>
        <v>1</v>
      </c>
      <c r="AJ796" t="str">
        <f t="shared" si="50"/>
        <v>OK</v>
      </c>
      <c r="AK796">
        <f t="shared" si="51"/>
        <v>2</v>
      </c>
    </row>
    <row r="797" spans="1:37">
      <c r="A797" t="s">
        <v>3663</v>
      </c>
      <c r="B797" t="s">
        <v>3664</v>
      </c>
      <c r="C797" t="s">
        <v>529</v>
      </c>
      <c r="D797" t="s">
        <v>3665</v>
      </c>
      <c r="E797" t="s">
        <v>210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3666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  <c r="V797" s="1" t="s">
        <v>210</v>
      </c>
      <c r="W797" s="1" t="s">
        <v>115</v>
      </c>
      <c r="X797" s="1" t="s">
        <v>42</v>
      </c>
      <c r="Y797" s="1" t="s">
        <v>43</v>
      </c>
      <c r="Z797" s="1" t="s">
        <v>44</v>
      </c>
      <c r="AA797" s="1" t="s">
        <v>86</v>
      </c>
      <c r="AB797" s="1" t="s">
        <v>94</v>
      </c>
      <c r="AC797" s="1" t="s">
        <v>48</v>
      </c>
      <c r="AD797" s="1" t="s">
        <v>124</v>
      </c>
      <c r="AE797" s="1" t="s">
        <v>78</v>
      </c>
      <c r="AF797" s="5" t="e">
        <f t="shared" si="48"/>
        <v>#N/A</v>
      </c>
      <c r="AG797" s="5">
        <f t="shared" si="48"/>
        <v>45503</v>
      </c>
      <c r="AH797" s="5" t="b">
        <f t="shared" si="49"/>
        <v>0</v>
      </c>
      <c r="AI797" s="5" t="b">
        <f t="shared" si="49"/>
        <v>1</v>
      </c>
      <c r="AJ797" t="e">
        <f t="shared" si="50"/>
        <v>#N/A</v>
      </c>
      <c r="AK797" t="e">
        <f t="shared" si="51"/>
        <v>#N/A</v>
      </c>
    </row>
    <row r="798" spans="1:37">
      <c r="A798" t="s">
        <v>3667</v>
      </c>
      <c r="B798" t="s">
        <v>796</v>
      </c>
      <c r="C798" t="s">
        <v>3668</v>
      </c>
      <c r="D798" t="s">
        <v>3669</v>
      </c>
      <c r="E798" t="s">
        <v>180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382</v>
      </c>
      <c r="L798" t="s">
        <v>3670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  <c r="V798" s="1" t="s">
        <v>180</v>
      </c>
      <c r="W798" s="1" t="s">
        <v>41</v>
      </c>
      <c r="X798" s="1" t="s">
        <v>62</v>
      </c>
      <c r="Y798" s="1" t="s">
        <v>100</v>
      </c>
      <c r="Z798" s="1" t="s">
        <v>101</v>
      </c>
      <c r="AA798" s="1" t="s">
        <v>86</v>
      </c>
      <c r="AB798" s="1" t="s">
        <v>382</v>
      </c>
      <c r="AC798" s="1" t="s">
        <v>56</v>
      </c>
      <c r="AD798" s="1" t="s">
        <v>34</v>
      </c>
      <c r="AE798" s="1" t="s">
        <v>35</v>
      </c>
      <c r="AF798" s="5">
        <f t="shared" si="48"/>
        <v>45374</v>
      </c>
      <c r="AG798" s="5" t="e">
        <f t="shared" si="48"/>
        <v>#N/A</v>
      </c>
      <c r="AH798" s="5" t="b">
        <f t="shared" si="49"/>
        <v>1</v>
      </c>
      <c r="AI798" s="5" t="b">
        <f t="shared" si="49"/>
        <v>0</v>
      </c>
      <c r="AJ798" t="e">
        <f t="shared" si="50"/>
        <v>#N/A</v>
      </c>
      <c r="AK798" t="e">
        <f t="shared" si="51"/>
        <v>#N/A</v>
      </c>
    </row>
    <row r="799" spans="1:37">
      <c r="A799" t="s">
        <v>3671</v>
      </c>
      <c r="B799" t="s">
        <v>3672</v>
      </c>
      <c r="C799" t="s">
        <v>3583</v>
      </c>
      <c r="D799" t="s">
        <v>3673</v>
      </c>
      <c r="E799" t="s">
        <v>162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198</v>
      </c>
      <c r="L799" t="s">
        <v>3674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200</v>
      </c>
      <c r="U799" t="s">
        <v>78</v>
      </c>
      <c r="V799" s="1" t="s">
        <v>162</v>
      </c>
      <c r="W799" s="1" t="s">
        <v>26</v>
      </c>
      <c r="X799" s="1" t="s">
        <v>42</v>
      </c>
      <c r="Y799" s="1" t="s">
        <v>43</v>
      </c>
      <c r="Z799" s="1" t="s">
        <v>44</v>
      </c>
      <c r="AA799" s="1" t="s">
        <v>30</v>
      </c>
      <c r="AB799" s="1" t="s">
        <v>198</v>
      </c>
      <c r="AC799" s="1" t="s">
        <v>56</v>
      </c>
      <c r="AD799" s="1" t="s">
        <v>200</v>
      </c>
      <c r="AE799" s="1" t="s">
        <v>78</v>
      </c>
      <c r="AF799" s="5">
        <f t="shared" si="48"/>
        <v>45400</v>
      </c>
      <c r="AG799" s="5" t="e">
        <f t="shared" si="48"/>
        <v>#N/A</v>
      </c>
      <c r="AH799" s="5" t="b">
        <f t="shared" si="49"/>
        <v>1</v>
      </c>
      <c r="AI799" s="5" t="b">
        <f t="shared" si="49"/>
        <v>0</v>
      </c>
      <c r="AJ799" t="e">
        <f t="shared" si="50"/>
        <v>#N/A</v>
      </c>
      <c r="AK799" t="e">
        <f t="shared" si="51"/>
        <v>#N/A</v>
      </c>
    </row>
    <row r="800" spans="1:37">
      <c r="A800" t="s">
        <v>3675</v>
      </c>
      <c r="B800" t="s">
        <v>3676</v>
      </c>
      <c r="C800" t="s">
        <v>3677</v>
      </c>
      <c r="D800" t="s">
        <v>3678</v>
      </c>
      <c r="E800" t="s">
        <v>107</v>
      </c>
      <c r="F800" t="s">
        <v>108</v>
      </c>
      <c r="G800" t="s">
        <v>27</v>
      </c>
      <c r="H800" t="s">
        <v>506</v>
      </c>
      <c r="I800" t="s">
        <v>507</v>
      </c>
      <c r="J800" t="s">
        <v>45</v>
      </c>
      <c r="K800" t="s">
        <v>65</v>
      </c>
      <c r="L800" t="s">
        <v>3679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  <c r="V800" s="1" t="s">
        <v>107</v>
      </c>
      <c r="W800" s="1" t="s">
        <v>108</v>
      </c>
      <c r="X800" s="1" t="s">
        <v>27</v>
      </c>
      <c r="Y800" s="1" t="s">
        <v>506</v>
      </c>
      <c r="Z800" s="1" t="s">
        <v>507</v>
      </c>
      <c r="AA800" s="1" t="s">
        <v>45</v>
      </c>
      <c r="AB800" s="1" t="s">
        <v>65</v>
      </c>
      <c r="AC800" s="1" t="s">
        <v>67</v>
      </c>
      <c r="AD800" s="1" t="s">
        <v>34</v>
      </c>
      <c r="AE800" s="1" t="s">
        <v>35</v>
      </c>
      <c r="AF800" s="5">
        <f t="shared" si="48"/>
        <v>45849</v>
      </c>
      <c r="AG800" s="5">
        <f t="shared" si="48"/>
        <v>45907</v>
      </c>
      <c r="AH800" s="5" t="b">
        <f t="shared" si="49"/>
        <v>1</v>
      </c>
      <c r="AI800" s="5" t="b">
        <f t="shared" si="49"/>
        <v>1</v>
      </c>
      <c r="AJ800" t="str">
        <f t="shared" si="50"/>
        <v>OK</v>
      </c>
      <c r="AK800">
        <f t="shared" si="51"/>
        <v>58</v>
      </c>
    </row>
    <row r="801" spans="1:37">
      <c r="A801" t="s">
        <v>3680</v>
      </c>
      <c r="B801" t="s">
        <v>3366</v>
      </c>
      <c r="C801" t="s">
        <v>2543</v>
      </c>
      <c r="D801" t="s">
        <v>3681</v>
      </c>
      <c r="E801" t="s">
        <v>53</v>
      </c>
      <c r="F801" t="s">
        <v>115</v>
      </c>
      <c r="G801" t="s">
        <v>27</v>
      </c>
      <c r="H801" t="s">
        <v>323</v>
      </c>
      <c r="I801" t="s">
        <v>324</v>
      </c>
      <c r="J801" t="s">
        <v>86</v>
      </c>
      <c r="K801" t="s">
        <v>87</v>
      </c>
      <c r="L801" t="s">
        <v>3682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  <c r="V801" s="1" t="s">
        <v>53</v>
      </c>
      <c r="W801" s="1" t="s">
        <v>115</v>
      </c>
      <c r="X801" s="1" t="s">
        <v>27</v>
      </c>
      <c r="Y801" s="1" t="s">
        <v>323</v>
      </c>
      <c r="Z801" s="1" t="s">
        <v>324</v>
      </c>
      <c r="AA801" s="1" t="s">
        <v>86</v>
      </c>
      <c r="AB801" s="1" t="s">
        <v>87</v>
      </c>
      <c r="AC801" s="1" t="s">
        <v>4119</v>
      </c>
      <c r="AD801" s="1" t="s">
        <v>34</v>
      </c>
      <c r="AE801" s="1" t="s">
        <v>125</v>
      </c>
      <c r="AF801" s="5">
        <f t="shared" si="48"/>
        <v>45575</v>
      </c>
      <c r="AG801" s="5">
        <f t="shared" si="48"/>
        <v>45582</v>
      </c>
      <c r="AH801" s="5" t="b">
        <f t="shared" si="49"/>
        <v>1</v>
      </c>
      <c r="AI801" s="5" t="b">
        <f t="shared" si="49"/>
        <v>1</v>
      </c>
      <c r="AJ801" t="str">
        <f t="shared" si="50"/>
        <v>OK</v>
      </c>
      <c r="AK801">
        <f t="shared" si="51"/>
        <v>7</v>
      </c>
    </row>
    <row r="802" spans="1:37">
      <c r="A802" t="s">
        <v>3683</v>
      </c>
      <c r="B802" t="s">
        <v>3684</v>
      </c>
      <c r="C802" t="s">
        <v>3685</v>
      </c>
      <c r="D802" t="s">
        <v>3686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156</v>
      </c>
      <c r="L802" t="s">
        <v>3687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  <c r="V802" s="1" t="s">
        <v>83</v>
      </c>
      <c r="W802" s="1" t="s">
        <v>41</v>
      </c>
      <c r="X802" s="1" t="s">
        <v>73</v>
      </c>
      <c r="Y802" s="1" t="s">
        <v>74</v>
      </c>
      <c r="Z802" s="1" t="s">
        <v>75</v>
      </c>
      <c r="AA802" s="1" t="s">
        <v>30</v>
      </c>
      <c r="AB802" s="1" t="s">
        <v>156</v>
      </c>
      <c r="AC802" s="1" t="s">
        <v>33</v>
      </c>
      <c r="AD802" s="1" t="s">
        <v>34</v>
      </c>
      <c r="AE802" s="1" t="s">
        <v>35</v>
      </c>
      <c r="AF802" s="5">
        <f t="shared" si="48"/>
        <v>45352</v>
      </c>
      <c r="AG802" s="5">
        <f t="shared" si="48"/>
        <v>45358</v>
      </c>
      <c r="AH802" s="5" t="b">
        <f t="shared" si="49"/>
        <v>1</v>
      </c>
      <c r="AI802" s="5" t="b">
        <f t="shared" si="49"/>
        <v>1</v>
      </c>
      <c r="AJ802" t="str">
        <f t="shared" si="50"/>
        <v>OK</v>
      </c>
      <c r="AK802">
        <f t="shared" si="51"/>
        <v>6</v>
      </c>
    </row>
    <row r="803" spans="1:37">
      <c r="A803" t="s">
        <v>3688</v>
      </c>
      <c r="B803" t="s">
        <v>3689</v>
      </c>
      <c r="C803" t="s">
        <v>309</v>
      </c>
      <c r="D803" t="s">
        <v>3690</v>
      </c>
      <c r="E803" t="s">
        <v>162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3691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137</v>
      </c>
      <c r="U803" t="s">
        <v>78</v>
      </c>
      <c r="V803" s="1" t="s">
        <v>162</v>
      </c>
      <c r="W803" s="1" t="s">
        <v>115</v>
      </c>
      <c r="X803" s="1" t="s">
        <v>42</v>
      </c>
      <c r="Y803" s="1" t="s">
        <v>43</v>
      </c>
      <c r="Z803" s="1" t="s">
        <v>44</v>
      </c>
      <c r="AA803" s="1" t="s">
        <v>86</v>
      </c>
      <c r="AB803" s="1" t="s">
        <v>87</v>
      </c>
      <c r="AC803" s="1" t="s">
        <v>33</v>
      </c>
      <c r="AD803" s="1" t="s">
        <v>137</v>
      </c>
      <c r="AE803" s="1" t="s">
        <v>78</v>
      </c>
      <c r="AF803" s="5">
        <f t="shared" si="48"/>
        <v>45938</v>
      </c>
      <c r="AG803" s="5">
        <f t="shared" si="48"/>
        <v>45945</v>
      </c>
      <c r="AH803" s="5" t="b">
        <f t="shared" si="49"/>
        <v>1</v>
      </c>
      <c r="AI803" s="5" t="b">
        <f t="shared" si="49"/>
        <v>1</v>
      </c>
      <c r="AJ803" t="str">
        <f t="shared" si="50"/>
        <v>OK</v>
      </c>
      <c r="AK803">
        <f t="shared" si="51"/>
        <v>7</v>
      </c>
    </row>
    <row r="804" spans="1:37">
      <c r="A804" t="s">
        <v>3692</v>
      </c>
      <c r="B804" t="s">
        <v>3172</v>
      </c>
      <c r="C804" t="s">
        <v>3693</v>
      </c>
      <c r="D804" t="s">
        <v>3694</v>
      </c>
      <c r="E804" t="s">
        <v>180</v>
      </c>
      <c r="F804" t="s">
        <v>41</v>
      </c>
      <c r="G804" t="s">
        <v>42</v>
      </c>
      <c r="H804" t="s">
        <v>216</v>
      </c>
      <c r="I804" t="s">
        <v>217</v>
      </c>
      <c r="J804" t="s">
        <v>45</v>
      </c>
      <c r="K804" t="s">
        <v>65</v>
      </c>
      <c r="L804" t="s">
        <v>3695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3696</v>
      </c>
      <c r="U804" t="s">
        <v>125</v>
      </c>
      <c r="V804" s="1" t="s">
        <v>180</v>
      </c>
      <c r="W804" s="1" t="s">
        <v>41</v>
      </c>
      <c r="X804" s="1" t="s">
        <v>42</v>
      </c>
      <c r="Y804" s="1" t="s">
        <v>216</v>
      </c>
      <c r="Z804" s="1" t="s">
        <v>217</v>
      </c>
      <c r="AA804" s="1" t="s">
        <v>45</v>
      </c>
      <c r="AB804" s="1" t="s">
        <v>65</v>
      </c>
      <c r="AC804" s="1" t="s">
        <v>33</v>
      </c>
      <c r="AD804" s="1" t="s">
        <v>200</v>
      </c>
      <c r="AE804" s="1" t="s">
        <v>125</v>
      </c>
      <c r="AF804" s="5">
        <f t="shared" si="48"/>
        <v>45704</v>
      </c>
      <c r="AG804" s="5">
        <f t="shared" si="48"/>
        <v>45704</v>
      </c>
      <c r="AH804" s="5" t="b">
        <f t="shared" si="49"/>
        <v>1</v>
      </c>
      <c r="AI804" s="5" t="b">
        <f t="shared" si="49"/>
        <v>1</v>
      </c>
      <c r="AJ804" t="str">
        <f t="shared" si="50"/>
        <v>OK</v>
      </c>
      <c r="AK804">
        <f t="shared" si="51"/>
        <v>0</v>
      </c>
    </row>
    <row r="805" spans="1:37">
      <c r="A805" t="s">
        <v>3697</v>
      </c>
      <c r="B805" t="s">
        <v>3698</v>
      </c>
      <c r="C805" t="s">
        <v>733</v>
      </c>
      <c r="D805" t="s">
        <v>3699</v>
      </c>
      <c r="E805" t="s">
        <v>180</v>
      </c>
      <c r="F805" t="s">
        <v>26</v>
      </c>
      <c r="H805" t="s">
        <v>311</v>
      </c>
      <c r="I805" t="s">
        <v>312</v>
      </c>
      <c r="J805" t="s">
        <v>30</v>
      </c>
      <c r="K805" t="s">
        <v>109</v>
      </c>
      <c r="L805" t="s">
        <v>3700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  <c r="V805" s="1" t="s">
        <v>180</v>
      </c>
      <c r="W805" s="1" t="s">
        <v>26</v>
      </c>
      <c r="X805" s="1" t="s">
        <v>4119</v>
      </c>
      <c r="Y805" s="1" t="s">
        <v>311</v>
      </c>
      <c r="Z805" s="1" t="s">
        <v>312</v>
      </c>
      <c r="AA805" s="1" t="s">
        <v>30</v>
      </c>
      <c r="AB805" s="1" t="s">
        <v>109</v>
      </c>
      <c r="AC805" s="1" t="s">
        <v>56</v>
      </c>
      <c r="AD805" s="1" t="s">
        <v>34</v>
      </c>
      <c r="AE805" s="1" t="s">
        <v>35</v>
      </c>
      <c r="AF805" s="5">
        <f t="shared" si="48"/>
        <v>45635</v>
      </c>
      <c r="AG805" s="5">
        <f t="shared" si="48"/>
        <v>45639</v>
      </c>
      <c r="AH805" s="5" t="b">
        <f t="shared" si="49"/>
        <v>1</v>
      </c>
      <c r="AI805" s="5" t="b">
        <f t="shared" si="49"/>
        <v>1</v>
      </c>
      <c r="AJ805" t="str">
        <f t="shared" si="50"/>
        <v>OK</v>
      </c>
      <c r="AK805">
        <f t="shared" si="51"/>
        <v>4</v>
      </c>
    </row>
    <row r="806" spans="1:37">
      <c r="A806" t="s">
        <v>3701</v>
      </c>
      <c r="B806" t="s">
        <v>989</v>
      </c>
      <c r="C806" t="s">
        <v>2196</v>
      </c>
      <c r="D806" t="s">
        <v>3702</v>
      </c>
      <c r="E806" t="s">
        <v>148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3703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  <c r="V806" s="1" t="s">
        <v>148</v>
      </c>
      <c r="W806" s="1" t="s">
        <v>115</v>
      </c>
      <c r="X806" s="1" t="s">
        <v>62</v>
      </c>
      <c r="Y806" s="1" t="s">
        <v>63</v>
      </c>
      <c r="Z806" s="1" t="s">
        <v>64</v>
      </c>
      <c r="AA806" s="1" t="s">
        <v>45</v>
      </c>
      <c r="AB806" s="1" t="s">
        <v>65</v>
      </c>
      <c r="AC806" s="1" t="s">
        <v>67</v>
      </c>
      <c r="AD806" s="1" t="s">
        <v>34</v>
      </c>
      <c r="AE806" s="1" t="s">
        <v>35</v>
      </c>
      <c r="AF806" s="5">
        <f t="shared" si="48"/>
        <v>45939</v>
      </c>
      <c r="AG806" s="5" t="e">
        <f t="shared" si="48"/>
        <v>#N/A</v>
      </c>
      <c r="AH806" s="5" t="b">
        <f t="shared" si="49"/>
        <v>1</v>
      </c>
      <c r="AI806" s="5" t="b">
        <f t="shared" si="49"/>
        <v>0</v>
      </c>
      <c r="AJ806" t="e">
        <f t="shared" si="50"/>
        <v>#N/A</v>
      </c>
      <c r="AK806" t="e">
        <f t="shared" si="51"/>
        <v>#N/A</v>
      </c>
    </row>
    <row r="807" spans="1:37">
      <c r="A807" t="s">
        <v>3704</v>
      </c>
      <c r="B807" t="s">
        <v>1316</v>
      </c>
      <c r="C807" t="s">
        <v>1063</v>
      </c>
      <c r="D807" t="s">
        <v>3520</v>
      </c>
      <c r="E807" t="s">
        <v>142</v>
      </c>
      <c r="F807" t="s">
        <v>115</v>
      </c>
      <c r="G807" t="s">
        <v>42</v>
      </c>
      <c r="H807" t="s">
        <v>216</v>
      </c>
      <c r="I807" t="s">
        <v>217</v>
      </c>
      <c r="J807" t="s">
        <v>30</v>
      </c>
      <c r="K807" t="s">
        <v>198</v>
      </c>
      <c r="L807" t="s">
        <v>3705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  <c r="V807" s="1" t="s">
        <v>142</v>
      </c>
      <c r="W807" s="1" t="s">
        <v>115</v>
      </c>
      <c r="X807" s="1" t="s">
        <v>42</v>
      </c>
      <c r="Y807" s="1" t="s">
        <v>216</v>
      </c>
      <c r="Z807" s="1" t="s">
        <v>217</v>
      </c>
      <c r="AA807" s="1" t="s">
        <v>30</v>
      </c>
      <c r="AB807" s="1" t="s">
        <v>198</v>
      </c>
      <c r="AC807" s="1" t="s">
        <v>33</v>
      </c>
      <c r="AD807" s="1" t="s">
        <v>34</v>
      </c>
      <c r="AE807" s="1" t="s">
        <v>35</v>
      </c>
      <c r="AF807" s="5">
        <f t="shared" si="48"/>
        <v>45753</v>
      </c>
      <c r="AG807" s="5">
        <f t="shared" si="48"/>
        <v>45842</v>
      </c>
      <c r="AH807" s="5" t="b">
        <f t="shared" si="49"/>
        <v>1</v>
      </c>
      <c r="AI807" s="5" t="b">
        <f t="shared" si="49"/>
        <v>1</v>
      </c>
      <c r="AJ807" t="str">
        <f t="shared" si="50"/>
        <v>OK</v>
      </c>
      <c r="AK807">
        <f t="shared" si="51"/>
        <v>89</v>
      </c>
    </row>
    <row r="808" spans="1:37">
      <c r="A808" t="s">
        <v>3706</v>
      </c>
      <c r="B808" t="s">
        <v>3707</v>
      </c>
      <c r="C808" t="s">
        <v>3708</v>
      </c>
      <c r="D808" t="s">
        <v>3709</v>
      </c>
      <c r="E808" t="s">
        <v>53</v>
      </c>
      <c r="F808" t="s">
        <v>115</v>
      </c>
      <c r="G808" t="s">
        <v>27</v>
      </c>
      <c r="H808" t="s">
        <v>28</v>
      </c>
      <c r="I808" t="s">
        <v>29</v>
      </c>
      <c r="J808" t="s">
        <v>86</v>
      </c>
      <c r="K808" t="s">
        <v>94</v>
      </c>
      <c r="L808" t="s">
        <v>3710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200</v>
      </c>
      <c r="U808" t="s">
        <v>78</v>
      </c>
      <c r="V808" s="1" t="s">
        <v>53</v>
      </c>
      <c r="W808" s="1" t="s">
        <v>115</v>
      </c>
      <c r="X808" s="1" t="s">
        <v>27</v>
      </c>
      <c r="Y808" s="1" t="s">
        <v>28</v>
      </c>
      <c r="Z808" s="1" t="s">
        <v>29</v>
      </c>
      <c r="AA808" s="1" t="s">
        <v>86</v>
      </c>
      <c r="AB808" s="1" t="s">
        <v>94</v>
      </c>
      <c r="AC808" s="1" t="s">
        <v>67</v>
      </c>
      <c r="AD808" s="1" t="s">
        <v>200</v>
      </c>
      <c r="AE808" s="1" t="s">
        <v>78</v>
      </c>
      <c r="AF808" s="5">
        <f t="shared" si="48"/>
        <v>45546</v>
      </c>
      <c r="AG808" s="5">
        <f t="shared" si="48"/>
        <v>45611</v>
      </c>
      <c r="AH808" s="5" t="b">
        <f t="shared" si="49"/>
        <v>1</v>
      </c>
      <c r="AI808" s="5" t="b">
        <f t="shared" si="49"/>
        <v>1</v>
      </c>
      <c r="AJ808" t="str">
        <f t="shared" si="50"/>
        <v>OK</v>
      </c>
      <c r="AK808">
        <f t="shared" si="51"/>
        <v>65</v>
      </c>
    </row>
    <row r="809" spans="1:37">
      <c r="A809" t="s">
        <v>3711</v>
      </c>
      <c r="B809" t="s">
        <v>1276</v>
      </c>
      <c r="C809" t="s">
        <v>2270</v>
      </c>
      <c r="D809" t="s">
        <v>3712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3713</v>
      </c>
      <c r="M809" t="s">
        <v>3714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  <c r="V809" s="1" t="s">
        <v>25</v>
      </c>
      <c r="W809" s="1" t="s">
        <v>41</v>
      </c>
      <c r="X809" s="1" t="s">
        <v>62</v>
      </c>
      <c r="Y809" s="1" t="s">
        <v>63</v>
      </c>
      <c r="Z809" s="1" t="s">
        <v>64</v>
      </c>
      <c r="AA809" s="1" t="s">
        <v>30</v>
      </c>
      <c r="AB809" s="1" t="s">
        <v>109</v>
      </c>
      <c r="AC809" s="1" t="s">
        <v>67</v>
      </c>
      <c r="AD809" s="1" t="s">
        <v>34</v>
      </c>
      <c r="AE809" s="1" t="s">
        <v>35</v>
      </c>
      <c r="AF809" s="5">
        <f t="shared" si="48"/>
        <v>45695</v>
      </c>
      <c r="AG809" s="5">
        <f t="shared" si="48"/>
        <v>45696</v>
      </c>
      <c r="AH809" s="5" t="b">
        <f t="shared" si="49"/>
        <v>1</v>
      </c>
      <c r="AI809" s="5" t="b">
        <f t="shared" si="49"/>
        <v>1</v>
      </c>
      <c r="AJ809" t="str">
        <f t="shared" si="50"/>
        <v>OK</v>
      </c>
      <c r="AK809">
        <f t="shared" si="51"/>
        <v>1</v>
      </c>
    </row>
    <row r="810" spans="1:37">
      <c r="A810" t="s">
        <v>3715</v>
      </c>
      <c r="B810" t="s">
        <v>3716</v>
      </c>
      <c r="C810" t="s">
        <v>2034</v>
      </c>
      <c r="D810" t="s">
        <v>3717</v>
      </c>
      <c r="E810" t="s">
        <v>162</v>
      </c>
      <c r="F810" t="s">
        <v>41</v>
      </c>
      <c r="G810" t="s">
        <v>62</v>
      </c>
      <c r="H810" t="s">
        <v>339</v>
      </c>
      <c r="I810" t="s">
        <v>340</v>
      </c>
      <c r="J810" t="s">
        <v>45</v>
      </c>
      <c r="K810" t="s">
        <v>65</v>
      </c>
      <c r="L810" t="s">
        <v>3718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  <c r="V810" s="1" t="s">
        <v>162</v>
      </c>
      <c r="W810" s="1" t="s">
        <v>41</v>
      </c>
      <c r="X810" s="1" t="s">
        <v>62</v>
      </c>
      <c r="Y810" s="1" t="s">
        <v>339</v>
      </c>
      <c r="Z810" s="1" t="s">
        <v>340</v>
      </c>
      <c r="AA810" s="1" t="s">
        <v>45</v>
      </c>
      <c r="AB810" s="1" t="s">
        <v>65</v>
      </c>
      <c r="AC810" s="1" t="s">
        <v>56</v>
      </c>
      <c r="AD810" s="1" t="s">
        <v>34</v>
      </c>
      <c r="AE810" s="1" t="s">
        <v>35</v>
      </c>
      <c r="AF810" s="5">
        <f t="shared" si="48"/>
        <v>45900</v>
      </c>
      <c r="AG810" s="5">
        <f t="shared" si="48"/>
        <v>45897</v>
      </c>
      <c r="AH810" s="5" t="b">
        <f t="shared" si="49"/>
        <v>1</v>
      </c>
      <c r="AI810" s="5" t="b">
        <f t="shared" si="49"/>
        <v>1</v>
      </c>
      <c r="AJ810" t="str">
        <f t="shared" si="50"/>
        <v>Invalid: Ship before Order</v>
      </c>
      <c r="AK810" t="e">
        <f t="shared" si="51"/>
        <v>#NUM!</v>
      </c>
    </row>
    <row r="811" spans="1:37">
      <c r="A811" t="s">
        <v>3719</v>
      </c>
      <c r="B811" t="s">
        <v>1516</v>
      </c>
      <c r="C811" t="s">
        <v>1516</v>
      </c>
      <c r="D811" t="s">
        <v>3720</v>
      </c>
      <c r="E811" t="s">
        <v>61</v>
      </c>
      <c r="F811" t="s">
        <v>41</v>
      </c>
      <c r="H811" t="s">
        <v>154</v>
      </c>
      <c r="I811" t="s">
        <v>155</v>
      </c>
      <c r="J811" t="s">
        <v>30</v>
      </c>
      <c r="K811" t="s">
        <v>198</v>
      </c>
      <c r="L811" t="s">
        <v>3721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  <c r="V811" s="1" t="s">
        <v>61</v>
      </c>
      <c r="W811" s="1" t="s">
        <v>41</v>
      </c>
      <c r="X811" s="1" t="s">
        <v>4119</v>
      </c>
      <c r="Y811" s="1" t="s">
        <v>154</v>
      </c>
      <c r="Z811" s="1" t="s">
        <v>155</v>
      </c>
      <c r="AA811" s="1" t="s">
        <v>30</v>
      </c>
      <c r="AB811" s="1" t="s">
        <v>198</v>
      </c>
      <c r="AC811" s="1" t="s">
        <v>33</v>
      </c>
      <c r="AD811" s="1" t="s">
        <v>34</v>
      </c>
      <c r="AE811" s="1" t="s">
        <v>35</v>
      </c>
      <c r="AF811" s="5">
        <f t="shared" si="48"/>
        <v>45833</v>
      </c>
      <c r="AG811" s="5">
        <f t="shared" si="48"/>
        <v>45833</v>
      </c>
      <c r="AH811" s="5" t="b">
        <f t="shared" si="49"/>
        <v>1</v>
      </c>
      <c r="AI811" s="5" t="b">
        <f t="shared" si="49"/>
        <v>1</v>
      </c>
      <c r="AJ811" t="str">
        <f t="shared" si="50"/>
        <v>OK</v>
      </c>
      <c r="AK811">
        <f t="shared" si="51"/>
        <v>0</v>
      </c>
    </row>
    <row r="812" spans="1:37">
      <c r="A812" t="s">
        <v>3722</v>
      </c>
      <c r="B812" t="s">
        <v>3723</v>
      </c>
      <c r="C812" t="s">
        <v>3724</v>
      </c>
      <c r="D812" t="s">
        <v>2534</v>
      </c>
      <c r="E812" t="s">
        <v>366</v>
      </c>
      <c r="F812" t="s">
        <v>115</v>
      </c>
      <c r="G812" t="s">
        <v>73</v>
      </c>
      <c r="H812" t="s">
        <v>235</v>
      </c>
      <c r="I812" t="s">
        <v>236</v>
      </c>
      <c r="J812" t="s">
        <v>86</v>
      </c>
      <c r="K812" t="s">
        <v>94</v>
      </c>
      <c r="L812" t="s">
        <v>3725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  <c r="V812" s="1" t="s">
        <v>366</v>
      </c>
      <c r="W812" s="1" t="s">
        <v>115</v>
      </c>
      <c r="X812" s="1" t="s">
        <v>73</v>
      </c>
      <c r="Y812" s="1" t="s">
        <v>235</v>
      </c>
      <c r="Z812" s="1" t="s">
        <v>236</v>
      </c>
      <c r="AA812" s="1" t="s">
        <v>86</v>
      </c>
      <c r="AB812" s="1" t="s">
        <v>94</v>
      </c>
      <c r="AC812" s="1" t="s">
        <v>56</v>
      </c>
      <c r="AD812" s="1" t="s">
        <v>34</v>
      </c>
      <c r="AE812" s="1" t="s">
        <v>35</v>
      </c>
      <c r="AF812" s="5">
        <f t="shared" si="48"/>
        <v>45385</v>
      </c>
      <c r="AG812" s="5">
        <f t="shared" si="48"/>
        <v>45508</v>
      </c>
      <c r="AH812" s="5" t="b">
        <f t="shared" si="49"/>
        <v>1</v>
      </c>
      <c r="AI812" s="5" t="b">
        <f t="shared" si="49"/>
        <v>1</v>
      </c>
      <c r="AJ812" t="str">
        <f t="shared" si="50"/>
        <v>OK</v>
      </c>
      <c r="AK812">
        <f t="shared" si="51"/>
        <v>123</v>
      </c>
    </row>
    <row r="813" spans="1:37">
      <c r="A813" t="s">
        <v>3726</v>
      </c>
      <c r="B813" t="s">
        <v>3727</v>
      </c>
      <c r="C813" t="s">
        <v>3728</v>
      </c>
      <c r="D813" t="s">
        <v>3729</v>
      </c>
      <c r="E813" t="s">
        <v>180</v>
      </c>
      <c r="F813" t="s">
        <v>115</v>
      </c>
      <c r="G813" t="s">
        <v>27</v>
      </c>
      <c r="H813" t="s">
        <v>323</v>
      </c>
      <c r="I813" t="s">
        <v>324</v>
      </c>
      <c r="J813" t="s">
        <v>86</v>
      </c>
      <c r="K813" t="s">
        <v>87</v>
      </c>
      <c r="L813" t="s">
        <v>3730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  <c r="V813" s="1" t="s">
        <v>180</v>
      </c>
      <c r="W813" s="1" t="s">
        <v>115</v>
      </c>
      <c r="X813" s="1" t="s">
        <v>27</v>
      </c>
      <c r="Y813" s="1" t="s">
        <v>323</v>
      </c>
      <c r="Z813" s="1" t="s">
        <v>324</v>
      </c>
      <c r="AA813" s="1" t="s">
        <v>86</v>
      </c>
      <c r="AB813" s="1" t="s">
        <v>87</v>
      </c>
      <c r="AC813" s="1" t="s">
        <v>56</v>
      </c>
      <c r="AD813" s="1" t="s">
        <v>34</v>
      </c>
      <c r="AE813" s="1" t="s">
        <v>35</v>
      </c>
      <c r="AF813" s="5">
        <f t="shared" si="48"/>
        <v>45638</v>
      </c>
      <c r="AG813" s="5">
        <f t="shared" si="48"/>
        <v>45645</v>
      </c>
      <c r="AH813" s="5" t="b">
        <f t="shared" si="49"/>
        <v>1</v>
      </c>
      <c r="AI813" s="5" t="b">
        <f t="shared" si="49"/>
        <v>1</v>
      </c>
      <c r="AJ813" t="str">
        <f t="shared" si="50"/>
        <v>OK</v>
      </c>
      <c r="AK813">
        <f t="shared" si="51"/>
        <v>7</v>
      </c>
    </row>
    <row r="814" spans="1:37">
      <c r="A814" t="s">
        <v>3731</v>
      </c>
      <c r="B814" t="s">
        <v>810</v>
      </c>
      <c r="C814" t="s">
        <v>3732</v>
      </c>
      <c r="D814" t="s">
        <v>3733</v>
      </c>
      <c r="E814" t="s">
        <v>168</v>
      </c>
      <c r="F814" t="s">
        <v>41</v>
      </c>
      <c r="G814" t="s">
        <v>42</v>
      </c>
      <c r="H814" t="s">
        <v>311</v>
      </c>
      <c r="I814" t="s">
        <v>312</v>
      </c>
      <c r="J814" t="s">
        <v>45</v>
      </c>
      <c r="K814" t="s">
        <v>46</v>
      </c>
      <c r="L814" t="s">
        <v>3734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  <c r="V814" s="1" t="s">
        <v>168</v>
      </c>
      <c r="W814" s="1" t="s">
        <v>41</v>
      </c>
      <c r="X814" s="1" t="s">
        <v>42</v>
      </c>
      <c r="Y814" s="1" t="s">
        <v>311</v>
      </c>
      <c r="Z814" s="1" t="s">
        <v>312</v>
      </c>
      <c r="AA814" s="1" t="s">
        <v>45</v>
      </c>
      <c r="AB814" s="1" t="s">
        <v>46</v>
      </c>
      <c r="AC814" s="1" t="s">
        <v>56</v>
      </c>
      <c r="AD814" s="1" t="s">
        <v>34</v>
      </c>
      <c r="AE814" s="1" t="s">
        <v>35</v>
      </c>
      <c r="AF814" s="5">
        <f t="shared" si="48"/>
        <v>45458</v>
      </c>
      <c r="AG814" s="5" t="e">
        <f t="shared" si="48"/>
        <v>#N/A</v>
      </c>
      <c r="AH814" s="5" t="b">
        <f t="shared" si="49"/>
        <v>1</v>
      </c>
      <c r="AI814" s="5" t="b">
        <f t="shared" si="49"/>
        <v>0</v>
      </c>
      <c r="AJ814" t="e">
        <f t="shared" si="50"/>
        <v>#N/A</v>
      </c>
      <c r="AK814" t="e">
        <f t="shared" si="51"/>
        <v>#N/A</v>
      </c>
    </row>
    <row r="815" spans="1:37">
      <c r="A815" t="s">
        <v>3735</v>
      </c>
      <c r="B815" t="s">
        <v>3736</v>
      </c>
      <c r="C815" t="s">
        <v>3737</v>
      </c>
      <c r="D815" t="s">
        <v>3738</v>
      </c>
      <c r="E815" t="s">
        <v>180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204</v>
      </c>
      <c r="L815" t="s">
        <v>1717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  <c r="V815" s="1" t="s">
        <v>180</v>
      </c>
      <c r="W815" s="1" t="s">
        <v>26</v>
      </c>
      <c r="X815" s="1" t="s">
        <v>42</v>
      </c>
      <c r="Y815" s="1" t="s">
        <v>43</v>
      </c>
      <c r="Z815" s="1" t="s">
        <v>44</v>
      </c>
      <c r="AA815" s="1" t="s">
        <v>45</v>
      </c>
      <c r="AB815" s="1" t="s">
        <v>204</v>
      </c>
      <c r="AC815" s="1" t="s">
        <v>67</v>
      </c>
      <c r="AD815" s="1" t="s">
        <v>34</v>
      </c>
      <c r="AE815" s="1" t="s">
        <v>35</v>
      </c>
      <c r="AF815" s="5">
        <f t="shared" si="48"/>
        <v>45753</v>
      </c>
      <c r="AG815" s="5">
        <f t="shared" si="48"/>
        <v>45757</v>
      </c>
      <c r="AH815" s="5" t="b">
        <f t="shared" si="49"/>
        <v>1</v>
      </c>
      <c r="AI815" s="5" t="b">
        <f t="shared" si="49"/>
        <v>1</v>
      </c>
      <c r="AJ815" t="str">
        <f t="shared" si="50"/>
        <v>OK</v>
      </c>
      <c r="AK815">
        <f t="shared" si="51"/>
        <v>4</v>
      </c>
    </row>
    <row r="816" spans="1:37">
      <c r="A816" t="s">
        <v>3739</v>
      </c>
      <c r="B816" t="s">
        <v>1371</v>
      </c>
      <c r="C816" t="s">
        <v>583</v>
      </c>
      <c r="D816" t="s">
        <v>3740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3741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  <c r="V816" s="1" t="s">
        <v>61</v>
      </c>
      <c r="W816" s="1" t="s">
        <v>26</v>
      </c>
      <c r="X816" s="1" t="s">
        <v>73</v>
      </c>
      <c r="Y816" s="1" t="s">
        <v>84</v>
      </c>
      <c r="Z816" s="1" t="s">
        <v>85</v>
      </c>
      <c r="AA816" s="1" t="s">
        <v>30</v>
      </c>
      <c r="AB816" s="1" t="s">
        <v>109</v>
      </c>
      <c r="AC816" s="1" t="s">
        <v>56</v>
      </c>
      <c r="AD816" s="1" t="s">
        <v>34</v>
      </c>
      <c r="AE816" s="1" t="s">
        <v>35</v>
      </c>
      <c r="AF816" s="5">
        <f t="shared" si="48"/>
        <v>45875</v>
      </c>
      <c r="AG816" s="5">
        <f t="shared" si="48"/>
        <v>45880</v>
      </c>
      <c r="AH816" s="5" t="b">
        <f t="shared" si="49"/>
        <v>1</v>
      </c>
      <c r="AI816" s="5" t="b">
        <f t="shared" si="49"/>
        <v>1</v>
      </c>
      <c r="AJ816" t="str">
        <f t="shared" si="50"/>
        <v>OK</v>
      </c>
      <c r="AK816">
        <f t="shared" si="51"/>
        <v>5</v>
      </c>
    </row>
    <row r="817" spans="1:37">
      <c r="A817" t="s">
        <v>3742</v>
      </c>
      <c r="B817" t="s">
        <v>2442</v>
      </c>
      <c r="C817" t="s">
        <v>3743</v>
      </c>
      <c r="D817" t="s">
        <v>3744</v>
      </c>
      <c r="E817" t="s">
        <v>210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382</v>
      </c>
      <c r="L817" t="s">
        <v>3745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137</v>
      </c>
      <c r="U817" t="s">
        <v>78</v>
      </c>
      <c r="V817" s="1" t="s">
        <v>210</v>
      </c>
      <c r="W817" s="1" t="s">
        <v>26</v>
      </c>
      <c r="X817" s="1" t="s">
        <v>42</v>
      </c>
      <c r="Y817" s="1" t="s">
        <v>43</v>
      </c>
      <c r="Z817" s="1" t="s">
        <v>44</v>
      </c>
      <c r="AA817" s="1" t="s">
        <v>86</v>
      </c>
      <c r="AB817" s="1" t="s">
        <v>382</v>
      </c>
      <c r="AC817" s="1" t="s">
        <v>67</v>
      </c>
      <c r="AD817" s="1" t="s">
        <v>137</v>
      </c>
      <c r="AE817" s="1" t="s">
        <v>78</v>
      </c>
      <c r="AF817" s="5">
        <f t="shared" si="48"/>
        <v>45383</v>
      </c>
      <c r="AG817" s="5">
        <f t="shared" si="48"/>
        <v>45390</v>
      </c>
      <c r="AH817" s="5" t="b">
        <f t="shared" si="49"/>
        <v>1</v>
      </c>
      <c r="AI817" s="5" t="b">
        <f t="shared" si="49"/>
        <v>1</v>
      </c>
      <c r="AJ817" t="str">
        <f t="shared" si="50"/>
        <v>OK</v>
      </c>
      <c r="AK817">
        <f t="shared" si="51"/>
        <v>7</v>
      </c>
    </row>
    <row r="818" spans="1:37">
      <c r="A818" t="s">
        <v>3746</v>
      </c>
      <c r="B818" t="s">
        <v>3747</v>
      </c>
      <c r="C818" t="s">
        <v>3748</v>
      </c>
      <c r="D818" t="s">
        <v>3749</v>
      </c>
      <c r="E818" t="s">
        <v>148</v>
      </c>
      <c r="F818" t="s">
        <v>41</v>
      </c>
      <c r="G818" t="s">
        <v>42</v>
      </c>
      <c r="H818" t="s">
        <v>311</v>
      </c>
      <c r="I818" t="s">
        <v>312</v>
      </c>
      <c r="J818" t="s">
        <v>45</v>
      </c>
      <c r="K818" t="s">
        <v>65</v>
      </c>
      <c r="L818" t="s">
        <v>3750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  <c r="V818" s="1" t="s">
        <v>148</v>
      </c>
      <c r="W818" s="1" t="s">
        <v>41</v>
      </c>
      <c r="X818" s="1" t="s">
        <v>42</v>
      </c>
      <c r="Y818" s="1" t="s">
        <v>311</v>
      </c>
      <c r="Z818" s="1" t="s">
        <v>312</v>
      </c>
      <c r="AA818" s="1" t="s">
        <v>45</v>
      </c>
      <c r="AB818" s="1" t="s">
        <v>65</v>
      </c>
      <c r="AC818" s="1" t="s">
        <v>56</v>
      </c>
      <c r="AD818" s="1" t="s">
        <v>34</v>
      </c>
      <c r="AE818" s="1" t="s">
        <v>35</v>
      </c>
      <c r="AF818" s="5">
        <f t="shared" si="48"/>
        <v>45623</v>
      </c>
      <c r="AG818" s="5">
        <f t="shared" si="48"/>
        <v>45626</v>
      </c>
      <c r="AH818" s="5" t="b">
        <f t="shared" si="49"/>
        <v>1</v>
      </c>
      <c r="AI818" s="5" t="b">
        <f t="shared" si="49"/>
        <v>1</v>
      </c>
      <c r="AJ818" t="str">
        <f t="shared" si="50"/>
        <v>OK</v>
      </c>
      <c r="AK818">
        <f t="shared" si="51"/>
        <v>3</v>
      </c>
    </row>
    <row r="819" spans="1:37">
      <c r="A819" t="s">
        <v>3751</v>
      </c>
      <c r="B819" t="s">
        <v>3752</v>
      </c>
      <c r="C819" t="s">
        <v>3753</v>
      </c>
      <c r="D819" t="s">
        <v>3754</v>
      </c>
      <c r="E819" t="s">
        <v>168</v>
      </c>
      <c r="F819" t="s">
        <v>26</v>
      </c>
      <c r="G819" t="s">
        <v>42</v>
      </c>
      <c r="H819" t="s">
        <v>186</v>
      </c>
      <c r="I819" t="s">
        <v>187</v>
      </c>
      <c r="J819" t="s">
        <v>30</v>
      </c>
      <c r="K819" t="s">
        <v>198</v>
      </c>
      <c r="L819" t="s">
        <v>3755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  <c r="V819" s="1" t="s">
        <v>168</v>
      </c>
      <c r="W819" s="1" t="s">
        <v>26</v>
      </c>
      <c r="X819" s="1" t="s">
        <v>42</v>
      </c>
      <c r="Y819" s="1" t="s">
        <v>186</v>
      </c>
      <c r="Z819" s="1" t="s">
        <v>187</v>
      </c>
      <c r="AA819" s="1" t="s">
        <v>30</v>
      </c>
      <c r="AB819" s="1" t="s">
        <v>198</v>
      </c>
      <c r="AC819" s="1" t="s">
        <v>67</v>
      </c>
      <c r="AD819" s="1" t="s">
        <v>34</v>
      </c>
      <c r="AE819" s="1" t="s">
        <v>35</v>
      </c>
      <c r="AF819" s="5">
        <f t="shared" si="48"/>
        <v>45752</v>
      </c>
      <c r="AG819" s="5">
        <f t="shared" si="48"/>
        <v>45752</v>
      </c>
      <c r="AH819" s="5" t="b">
        <f t="shared" si="49"/>
        <v>1</v>
      </c>
      <c r="AI819" s="5" t="b">
        <f t="shared" si="49"/>
        <v>1</v>
      </c>
      <c r="AJ819" t="str">
        <f t="shared" si="50"/>
        <v>OK</v>
      </c>
      <c r="AK819">
        <f t="shared" si="51"/>
        <v>0</v>
      </c>
    </row>
    <row r="820" spans="1:37">
      <c r="A820" t="s">
        <v>3756</v>
      </c>
      <c r="B820" t="s">
        <v>3757</v>
      </c>
      <c r="C820" t="s">
        <v>3238</v>
      </c>
      <c r="D820" t="s">
        <v>3758</v>
      </c>
      <c r="E820" t="s">
        <v>142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3759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  <c r="V820" s="1" t="s">
        <v>142</v>
      </c>
      <c r="W820" s="1" t="s">
        <v>41</v>
      </c>
      <c r="X820" s="1" t="s">
        <v>73</v>
      </c>
      <c r="Y820" s="1" t="s">
        <v>74</v>
      </c>
      <c r="Z820" s="1" t="s">
        <v>75</v>
      </c>
      <c r="AA820" s="1" t="s">
        <v>30</v>
      </c>
      <c r="AB820" s="1" t="s">
        <v>109</v>
      </c>
      <c r="AC820" s="1" t="s">
        <v>56</v>
      </c>
      <c r="AD820" s="1" t="s">
        <v>34</v>
      </c>
      <c r="AE820" s="1" t="s">
        <v>35</v>
      </c>
      <c r="AF820" s="5">
        <f t="shared" si="48"/>
        <v>45564</v>
      </c>
      <c r="AG820" s="5">
        <f t="shared" si="48"/>
        <v>45422</v>
      </c>
      <c r="AH820" s="5" t="b">
        <f t="shared" si="49"/>
        <v>1</v>
      </c>
      <c r="AI820" s="5" t="b">
        <f t="shared" si="49"/>
        <v>1</v>
      </c>
      <c r="AJ820" t="str">
        <f t="shared" si="50"/>
        <v>Invalid: Ship before Order</v>
      </c>
      <c r="AK820" t="e">
        <f t="shared" si="51"/>
        <v>#NUM!</v>
      </c>
    </row>
    <row r="821" spans="1:37">
      <c r="A821" t="s">
        <v>3760</v>
      </c>
      <c r="B821" t="s">
        <v>1594</v>
      </c>
      <c r="C821" t="s">
        <v>3761</v>
      </c>
      <c r="D821" t="s">
        <v>3762</v>
      </c>
      <c r="E821" t="s">
        <v>25</v>
      </c>
      <c r="F821" t="s">
        <v>115</v>
      </c>
      <c r="G821" t="s">
        <v>62</v>
      </c>
      <c r="H821" t="s">
        <v>242</v>
      </c>
      <c r="I821" t="s">
        <v>243</v>
      </c>
      <c r="J821" t="s">
        <v>86</v>
      </c>
      <c r="K821" t="s">
        <v>3763</v>
      </c>
      <c r="L821" t="s">
        <v>3764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200</v>
      </c>
      <c r="U821" t="s">
        <v>78</v>
      </c>
      <c r="V821" s="1" t="s">
        <v>25</v>
      </c>
      <c r="W821" s="1" t="s">
        <v>115</v>
      </c>
      <c r="X821" s="1" t="s">
        <v>62</v>
      </c>
      <c r="Y821" s="1" t="s">
        <v>242</v>
      </c>
      <c r="Z821" s="1" t="s">
        <v>243</v>
      </c>
      <c r="AA821" s="1" t="s">
        <v>86</v>
      </c>
      <c r="AB821" s="1" t="s">
        <v>382</v>
      </c>
      <c r="AC821" s="1" t="s">
        <v>67</v>
      </c>
      <c r="AD821" s="1" t="s">
        <v>200</v>
      </c>
      <c r="AE821" s="1" t="s">
        <v>78</v>
      </c>
      <c r="AF821" s="5">
        <f t="shared" si="48"/>
        <v>45504</v>
      </c>
      <c r="AG821" s="5" t="e">
        <f t="shared" si="48"/>
        <v>#N/A</v>
      </c>
      <c r="AH821" s="5" t="b">
        <f t="shared" si="49"/>
        <v>1</v>
      </c>
      <c r="AI821" s="5" t="b">
        <f t="shared" si="49"/>
        <v>0</v>
      </c>
      <c r="AJ821" t="e">
        <f t="shared" si="50"/>
        <v>#N/A</v>
      </c>
      <c r="AK821" t="e">
        <f t="shared" si="51"/>
        <v>#N/A</v>
      </c>
    </row>
    <row r="822" spans="1:37">
      <c r="A822" t="s">
        <v>3765</v>
      </c>
      <c r="B822" t="s">
        <v>3766</v>
      </c>
      <c r="C822" t="s">
        <v>3767</v>
      </c>
      <c r="D822" t="s">
        <v>3768</v>
      </c>
      <c r="E822" t="s">
        <v>72</v>
      </c>
      <c r="F822" t="s">
        <v>115</v>
      </c>
      <c r="G822" t="s">
        <v>27</v>
      </c>
      <c r="H822" t="s">
        <v>174</v>
      </c>
      <c r="I822" t="s">
        <v>175</v>
      </c>
      <c r="J822" t="s">
        <v>45</v>
      </c>
      <c r="K822" t="s">
        <v>204</v>
      </c>
      <c r="L822" t="s">
        <v>3769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  <c r="V822" s="1" t="s">
        <v>72</v>
      </c>
      <c r="W822" s="1" t="s">
        <v>115</v>
      </c>
      <c r="X822" s="1" t="s">
        <v>27</v>
      </c>
      <c r="Y822" s="1" t="s">
        <v>174</v>
      </c>
      <c r="Z822" s="1" t="s">
        <v>175</v>
      </c>
      <c r="AA822" s="1" t="s">
        <v>45</v>
      </c>
      <c r="AB822" s="1" t="s">
        <v>204</v>
      </c>
      <c r="AC822" s="1" t="s">
        <v>67</v>
      </c>
      <c r="AD822" s="1" t="s">
        <v>34</v>
      </c>
      <c r="AE822" s="1" t="s">
        <v>35</v>
      </c>
      <c r="AF822" s="5">
        <f t="shared" si="48"/>
        <v>45810</v>
      </c>
      <c r="AG822" s="5">
        <f t="shared" si="48"/>
        <v>45932</v>
      </c>
      <c r="AH822" s="5" t="b">
        <f t="shared" si="49"/>
        <v>1</v>
      </c>
      <c r="AI822" s="5" t="b">
        <f t="shared" si="49"/>
        <v>1</v>
      </c>
      <c r="AJ822" t="str">
        <f t="shared" si="50"/>
        <v>OK</v>
      </c>
      <c r="AK822">
        <f t="shared" si="51"/>
        <v>122</v>
      </c>
    </row>
    <row r="823" spans="1:37">
      <c r="A823" t="s">
        <v>3770</v>
      </c>
      <c r="B823" t="s">
        <v>3771</v>
      </c>
      <c r="C823" t="s">
        <v>3772</v>
      </c>
      <c r="D823" t="s">
        <v>3773</v>
      </c>
      <c r="E823" t="s">
        <v>162</v>
      </c>
      <c r="F823" t="s">
        <v>108</v>
      </c>
      <c r="G823" t="s">
        <v>62</v>
      </c>
      <c r="H823" t="s">
        <v>229</v>
      </c>
      <c r="I823" t="s">
        <v>230</v>
      </c>
      <c r="J823" t="s">
        <v>86</v>
      </c>
      <c r="K823" t="s">
        <v>87</v>
      </c>
      <c r="L823" t="s">
        <v>3774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  <c r="V823" s="1" t="s">
        <v>162</v>
      </c>
      <c r="W823" s="1" t="s">
        <v>108</v>
      </c>
      <c r="X823" s="1" t="s">
        <v>62</v>
      </c>
      <c r="Y823" s="1" t="s">
        <v>229</v>
      </c>
      <c r="Z823" s="1" t="s">
        <v>230</v>
      </c>
      <c r="AA823" s="1" t="s">
        <v>86</v>
      </c>
      <c r="AB823" s="1" t="s">
        <v>87</v>
      </c>
      <c r="AC823" s="1" t="s">
        <v>56</v>
      </c>
      <c r="AD823" s="1" t="s">
        <v>34</v>
      </c>
      <c r="AE823" s="1" t="s">
        <v>35</v>
      </c>
      <c r="AF823" s="5">
        <f t="shared" si="48"/>
        <v>45476</v>
      </c>
      <c r="AG823" s="5">
        <f t="shared" si="48"/>
        <v>45450</v>
      </c>
      <c r="AH823" s="5" t="b">
        <f t="shared" si="49"/>
        <v>1</v>
      </c>
      <c r="AI823" s="5" t="b">
        <f t="shared" si="49"/>
        <v>1</v>
      </c>
      <c r="AJ823" t="str">
        <f t="shared" si="50"/>
        <v>Invalid: Ship before Order</v>
      </c>
      <c r="AK823" t="e">
        <f t="shared" si="51"/>
        <v>#NUM!</v>
      </c>
    </row>
    <row r="824" spans="1:37">
      <c r="A824" t="s">
        <v>3775</v>
      </c>
      <c r="B824" t="s">
        <v>3776</v>
      </c>
      <c r="C824" t="s">
        <v>3777</v>
      </c>
      <c r="D824" t="s">
        <v>3778</v>
      </c>
      <c r="E824" t="s">
        <v>40</v>
      </c>
      <c r="F824" t="s">
        <v>108</v>
      </c>
      <c r="G824" t="s">
        <v>42</v>
      </c>
      <c r="H824" t="s">
        <v>216</v>
      </c>
      <c r="I824" t="s">
        <v>217</v>
      </c>
      <c r="J824" t="s">
        <v>45</v>
      </c>
      <c r="K824" t="s">
        <v>65</v>
      </c>
      <c r="L824" t="s">
        <v>3779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137</v>
      </c>
      <c r="U824" t="s">
        <v>125</v>
      </c>
      <c r="V824" s="1" t="s">
        <v>40</v>
      </c>
      <c r="W824" s="1" t="s">
        <v>108</v>
      </c>
      <c r="X824" s="1" t="s">
        <v>42</v>
      </c>
      <c r="Y824" s="1" t="s">
        <v>216</v>
      </c>
      <c r="Z824" s="1" t="s">
        <v>217</v>
      </c>
      <c r="AA824" s="1" t="s">
        <v>45</v>
      </c>
      <c r="AB824" s="1" t="s">
        <v>65</v>
      </c>
      <c r="AC824" s="1" t="s">
        <v>33</v>
      </c>
      <c r="AD824" s="1" t="s">
        <v>137</v>
      </c>
      <c r="AE824" s="1" t="s">
        <v>125</v>
      </c>
      <c r="AF824" s="5">
        <f t="shared" si="48"/>
        <v>45577</v>
      </c>
      <c r="AG824" s="5">
        <f t="shared" si="48"/>
        <v>45573</v>
      </c>
      <c r="AH824" s="5" t="b">
        <f t="shared" si="49"/>
        <v>1</v>
      </c>
      <c r="AI824" s="5" t="b">
        <f t="shared" si="49"/>
        <v>1</v>
      </c>
      <c r="AJ824" t="str">
        <f t="shared" si="50"/>
        <v>Invalid: Ship before Order</v>
      </c>
      <c r="AK824" t="e">
        <f t="shared" si="51"/>
        <v>#NUM!</v>
      </c>
    </row>
    <row r="825" spans="1:37">
      <c r="A825" t="s">
        <v>3780</v>
      </c>
      <c r="B825" t="s">
        <v>3781</v>
      </c>
      <c r="C825" t="s">
        <v>2178</v>
      </c>
      <c r="D825" t="s">
        <v>3782</v>
      </c>
      <c r="E825" t="s">
        <v>40</v>
      </c>
      <c r="F825" t="s">
        <v>115</v>
      </c>
      <c r="G825" t="s">
        <v>73</v>
      </c>
      <c r="H825" t="s">
        <v>249</v>
      </c>
      <c r="I825" t="s">
        <v>250</v>
      </c>
      <c r="J825" t="s">
        <v>30</v>
      </c>
      <c r="K825" t="s">
        <v>31</v>
      </c>
      <c r="L825" t="s">
        <v>3783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  <c r="V825" s="1" t="s">
        <v>40</v>
      </c>
      <c r="W825" s="1" t="s">
        <v>115</v>
      </c>
      <c r="X825" s="1" t="s">
        <v>73</v>
      </c>
      <c r="Y825" s="1" t="s">
        <v>249</v>
      </c>
      <c r="Z825" s="1" t="s">
        <v>250</v>
      </c>
      <c r="AA825" s="1" t="s">
        <v>30</v>
      </c>
      <c r="AB825" s="1" t="s">
        <v>31</v>
      </c>
      <c r="AC825" s="1" t="s">
        <v>48</v>
      </c>
      <c r="AD825" s="1" t="s">
        <v>34</v>
      </c>
      <c r="AE825" s="1" t="s">
        <v>35</v>
      </c>
      <c r="AF825" s="5">
        <f t="shared" si="48"/>
        <v>45663</v>
      </c>
      <c r="AG825" s="5">
        <f t="shared" si="48"/>
        <v>45669</v>
      </c>
      <c r="AH825" s="5" t="b">
        <f t="shared" si="49"/>
        <v>1</v>
      </c>
      <c r="AI825" s="5" t="b">
        <f t="shared" si="49"/>
        <v>1</v>
      </c>
      <c r="AJ825" t="str">
        <f t="shared" si="50"/>
        <v>OK</v>
      </c>
      <c r="AK825">
        <f t="shared" si="51"/>
        <v>6</v>
      </c>
    </row>
    <row r="826" spans="1:37">
      <c r="A826" t="s">
        <v>3784</v>
      </c>
      <c r="B826" t="s">
        <v>3785</v>
      </c>
      <c r="C826" t="s">
        <v>2115</v>
      </c>
      <c r="D826" t="s">
        <v>3786</v>
      </c>
      <c r="E826" t="s">
        <v>142</v>
      </c>
      <c r="F826" t="s">
        <v>26</v>
      </c>
      <c r="G826" t="s">
        <v>73</v>
      </c>
      <c r="H826" t="s">
        <v>249</v>
      </c>
      <c r="I826" t="s">
        <v>250</v>
      </c>
      <c r="J826" t="s">
        <v>30</v>
      </c>
      <c r="K826" t="s">
        <v>31</v>
      </c>
      <c r="L826" t="s">
        <v>3787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  <c r="V826" s="1" t="s">
        <v>142</v>
      </c>
      <c r="W826" s="1" t="s">
        <v>26</v>
      </c>
      <c r="X826" s="1" t="s">
        <v>73</v>
      </c>
      <c r="Y826" s="1" t="s">
        <v>249</v>
      </c>
      <c r="Z826" s="1" t="s">
        <v>250</v>
      </c>
      <c r="AA826" s="1" t="s">
        <v>30</v>
      </c>
      <c r="AB826" s="1" t="s">
        <v>31</v>
      </c>
      <c r="AC826" s="1" t="s">
        <v>56</v>
      </c>
      <c r="AD826" s="1" t="s">
        <v>34</v>
      </c>
      <c r="AE826" s="1" t="s">
        <v>35</v>
      </c>
      <c r="AF826" s="5" t="e">
        <f t="shared" si="48"/>
        <v>#N/A</v>
      </c>
      <c r="AG826" s="5">
        <f t="shared" si="48"/>
        <v>45738</v>
      </c>
      <c r="AH826" s="5" t="b">
        <f t="shared" si="49"/>
        <v>0</v>
      </c>
      <c r="AI826" s="5" t="b">
        <f t="shared" si="49"/>
        <v>1</v>
      </c>
      <c r="AJ826" t="e">
        <f t="shared" si="50"/>
        <v>#N/A</v>
      </c>
      <c r="AK826" t="e">
        <f t="shared" si="51"/>
        <v>#N/A</v>
      </c>
    </row>
    <row r="827" spans="1:37">
      <c r="A827" t="s">
        <v>3788</v>
      </c>
      <c r="B827" t="s">
        <v>3789</v>
      </c>
      <c r="C827" t="s">
        <v>3790</v>
      </c>
      <c r="D827" t="s">
        <v>3791</v>
      </c>
      <c r="E827" t="s">
        <v>83</v>
      </c>
      <c r="F827" t="s">
        <v>41</v>
      </c>
      <c r="G827" t="s">
        <v>27</v>
      </c>
      <c r="H827" t="s">
        <v>174</v>
      </c>
      <c r="I827" t="s">
        <v>175</v>
      </c>
      <c r="J827" t="s">
        <v>86</v>
      </c>
      <c r="K827" t="s">
        <v>382</v>
      </c>
      <c r="L827" t="s">
        <v>3792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  <c r="V827" s="1" t="s">
        <v>83</v>
      </c>
      <c r="W827" s="1" t="s">
        <v>41</v>
      </c>
      <c r="X827" s="1" t="s">
        <v>27</v>
      </c>
      <c r="Y827" s="1" t="s">
        <v>174</v>
      </c>
      <c r="Z827" s="1" t="s">
        <v>175</v>
      </c>
      <c r="AA827" s="1" t="s">
        <v>86</v>
      </c>
      <c r="AB827" s="1" t="s">
        <v>382</v>
      </c>
      <c r="AC827" s="1" t="s">
        <v>56</v>
      </c>
      <c r="AD827" s="1" t="s">
        <v>34</v>
      </c>
      <c r="AE827" s="1" t="s">
        <v>35</v>
      </c>
      <c r="AF827" s="5">
        <f t="shared" si="48"/>
        <v>45763</v>
      </c>
      <c r="AG827" s="5" t="e">
        <f t="shared" si="48"/>
        <v>#N/A</v>
      </c>
      <c r="AH827" s="5" t="b">
        <f t="shared" si="49"/>
        <v>1</v>
      </c>
      <c r="AI827" s="5" t="b">
        <f t="shared" si="49"/>
        <v>0</v>
      </c>
      <c r="AJ827" t="e">
        <f t="shared" si="50"/>
        <v>#N/A</v>
      </c>
      <c r="AK827" t="e">
        <f t="shared" si="51"/>
        <v>#N/A</v>
      </c>
    </row>
    <row r="828" spans="1:37">
      <c r="A828" t="s">
        <v>3793</v>
      </c>
      <c r="B828" t="s">
        <v>3103</v>
      </c>
      <c r="C828" t="s">
        <v>3794</v>
      </c>
      <c r="D828" t="s">
        <v>3795</v>
      </c>
      <c r="E828" t="s">
        <v>107</v>
      </c>
      <c r="F828" t="s">
        <v>26</v>
      </c>
      <c r="G828" t="s">
        <v>73</v>
      </c>
      <c r="H828" t="s">
        <v>28</v>
      </c>
      <c r="I828" t="s">
        <v>135</v>
      </c>
      <c r="J828" t="s">
        <v>86</v>
      </c>
      <c r="K828" t="s">
        <v>87</v>
      </c>
      <c r="L828" t="s">
        <v>3796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  <c r="V828" s="1" t="s">
        <v>107</v>
      </c>
      <c r="W828" s="1" t="s">
        <v>26</v>
      </c>
      <c r="X828" s="1" t="s">
        <v>73</v>
      </c>
      <c r="Y828" s="1" t="s">
        <v>28</v>
      </c>
      <c r="Z828" s="1" t="s">
        <v>135</v>
      </c>
      <c r="AA828" s="1" t="s">
        <v>86</v>
      </c>
      <c r="AB828" s="1" t="s">
        <v>87</v>
      </c>
      <c r="AC828" s="1" t="s">
        <v>67</v>
      </c>
      <c r="AD828" s="1" t="s">
        <v>34</v>
      </c>
      <c r="AE828" s="1" t="s">
        <v>35</v>
      </c>
      <c r="AF828" s="5">
        <f t="shared" si="48"/>
        <v>45879</v>
      </c>
      <c r="AG828" s="5">
        <f t="shared" si="48"/>
        <v>45883</v>
      </c>
      <c r="AH828" s="5" t="b">
        <f t="shared" si="49"/>
        <v>1</v>
      </c>
      <c r="AI828" s="5" t="b">
        <f t="shared" si="49"/>
        <v>1</v>
      </c>
      <c r="AJ828" t="str">
        <f t="shared" si="50"/>
        <v>OK</v>
      </c>
      <c r="AK828">
        <f t="shared" si="51"/>
        <v>4</v>
      </c>
    </row>
    <row r="829" spans="1:37">
      <c r="A829" t="s">
        <v>3797</v>
      </c>
      <c r="B829" t="s">
        <v>3798</v>
      </c>
      <c r="C829" t="s">
        <v>1750</v>
      </c>
      <c r="D829" t="s">
        <v>3799</v>
      </c>
      <c r="E829" t="s">
        <v>142</v>
      </c>
      <c r="F829" t="s">
        <v>115</v>
      </c>
      <c r="G829" t="s">
        <v>62</v>
      </c>
      <c r="H829" t="s">
        <v>339</v>
      </c>
      <c r="I829" t="s">
        <v>340</v>
      </c>
      <c r="J829" t="s">
        <v>30</v>
      </c>
      <c r="K829" t="s">
        <v>31</v>
      </c>
      <c r="L829" t="s">
        <v>3800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  <c r="V829" s="1" t="s">
        <v>142</v>
      </c>
      <c r="W829" s="1" t="s">
        <v>115</v>
      </c>
      <c r="X829" s="1" t="s">
        <v>62</v>
      </c>
      <c r="Y829" s="1" t="s">
        <v>339</v>
      </c>
      <c r="Z829" s="1" t="s">
        <v>340</v>
      </c>
      <c r="AA829" s="1" t="s">
        <v>30</v>
      </c>
      <c r="AB829" s="1" t="s">
        <v>31</v>
      </c>
      <c r="AC829" s="1" t="s">
        <v>48</v>
      </c>
      <c r="AD829" s="1" t="s">
        <v>34</v>
      </c>
      <c r="AE829" s="1" t="s">
        <v>78</v>
      </c>
      <c r="AF829" s="5">
        <f t="shared" si="48"/>
        <v>45620</v>
      </c>
      <c r="AG829" s="5">
        <f t="shared" si="48"/>
        <v>45303</v>
      </c>
      <c r="AH829" s="5" t="b">
        <f t="shared" si="49"/>
        <v>1</v>
      </c>
      <c r="AI829" s="5" t="b">
        <f t="shared" si="49"/>
        <v>1</v>
      </c>
      <c r="AJ829" t="str">
        <f t="shared" si="50"/>
        <v>Invalid: Ship before Order</v>
      </c>
      <c r="AK829" t="e">
        <f t="shared" si="51"/>
        <v>#NUM!</v>
      </c>
    </row>
    <row r="830" spans="1:37">
      <c r="A830" t="s">
        <v>3801</v>
      </c>
      <c r="B830" t="s">
        <v>3802</v>
      </c>
      <c r="C830" t="s">
        <v>3803</v>
      </c>
      <c r="D830" t="s">
        <v>3804</v>
      </c>
      <c r="E830" t="s">
        <v>25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3805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200</v>
      </c>
      <c r="U830" t="s">
        <v>78</v>
      </c>
      <c r="V830" s="1" t="s">
        <v>25</v>
      </c>
      <c r="W830" s="1" t="s">
        <v>108</v>
      </c>
      <c r="X830" s="1" t="s">
        <v>42</v>
      </c>
      <c r="Y830" s="1" t="s">
        <v>43</v>
      </c>
      <c r="Z830" s="1" t="s">
        <v>44</v>
      </c>
      <c r="AA830" s="1" t="s">
        <v>45</v>
      </c>
      <c r="AB830" s="1" t="s">
        <v>76</v>
      </c>
      <c r="AC830" s="1" t="s">
        <v>33</v>
      </c>
      <c r="AD830" s="1" t="s">
        <v>200</v>
      </c>
      <c r="AE830" s="1" t="s">
        <v>78</v>
      </c>
      <c r="AF830" s="5">
        <f t="shared" si="48"/>
        <v>45940</v>
      </c>
      <c r="AG830" s="5">
        <f t="shared" si="48"/>
        <v>45971</v>
      </c>
      <c r="AH830" s="5" t="b">
        <f t="shared" si="49"/>
        <v>1</v>
      </c>
      <c r="AI830" s="5" t="b">
        <f t="shared" si="49"/>
        <v>1</v>
      </c>
      <c r="AJ830" t="str">
        <f t="shared" si="50"/>
        <v>OK</v>
      </c>
      <c r="AK830">
        <f t="shared" si="51"/>
        <v>31</v>
      </c>
    </row>
    <row r="831" spans="1:37">
      <c r="A831" t="s">
        <v>3806</v>
      </c>
      <c r="B831" t="s">
        <v>3807</v>
      </c>
      <c r="C831" t="s">
        <v>1474</v>
      </c>
      <c r="D831" t="s">
        <v>3808</v>
      </c>
      <c r="E831" t="s">
        <v>107</v>
      </c>
      <c r="F831" t="s">
        <v>41</v>
      </c>
      <c r="G831" t="s">
        <v>73</v>
      </c>
      <c r="H831" t="s">
        <v>249</v>
      </c>
      <c r="I831" t="s">
        <v>250</v>
      </c>
      <c r="J831" t="s">
        <v>45</v>
      </c>
      <c r="K831" t="s">
        <v>65</v>
      </c>
      <c r="L831" t="s">
        <v>3809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  <c r="V831" s="1" t="s">
        <v>107</v>
      </c>
      <c r="W831" s="1" t="s">
        <v>41</v>
      </c>
      <c r="X831" s="1" t="s">
        <v>73</v>
      </c>
      <c r="Y831" s="1" t="s">
        <v>249</v>
      </c>
      <c r="Z831" s="1" t="s">
        <v>250</v>
      </c>
      <c r="AA831" s="1" t="s">
        <v>45</v>
      </c>
      <c r="AB831" s="1" t="s">
        <v>65</v>
      </c>
      <c r="AC831" s="1" t="s">
        <v>33</v>
      </c>
      <c r="AD831" s="1" t="s">
        <v>34</v>
      </c>
      <c r="AE831" s="1" t="s">
        <v>35</v>
      </c>
      <c r="AF831" s="5">
        <f t="shared" si="48"/>
        <v>45348</v>
      </c>
      <c r="AG831" s="5" t="e">
        <f t="shared" si="48"/>
        <v>#N/A</v>
      </c>
      <c r="AH831" s="5" t="b">
        <f t="shared" si="49"/>
        <v>1</v>
      </c>
      <c r="AI831" s="5" t="b">
        <f t="shared" si="49"/>
        <v>0</v>
      </c>
      <c r="AJ831" t="e">
        <f t="shared" si="50"/>
        <v>#N/A</v>
      </c>
      <c r="AK831" t="e">
        <f t="shared" si="51"/>
        <v>#N/A</v>
      </c>
    </row>
    <row r="832" spans="1:37">
      <c r="A832" t="s">
        <v>3810</v>
      </c>
      <c r="B832" t="s">
        <v>2908</v>
      </c>
      <c r="C832" t="s">
        <v>720</v>
      </c>
      <c r="D832" t="s">
        <v>3811</v>
      </c>
      <c r="E832" t="s">
        <v>107</v>
      </c>
      <c r="F832" t="s">
        <v>41</v>
      </c>
      <c r="H832" t="s">
        <v>339</v>
      </c>
      <c r="I832" t="s">
        <v>340</v>
      </c>
      <c r="J832" t="s">
        <v>86</v>
      </c>
      <c r="K832" t="s">
        <v>382</v>
      </c>
      <c r="L832" t="s">
        <v>3812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  <c r="V832" s="1" t="s">
        <v>107</v>
      </c>
      <c r="W832" s="1" t="s">
        <v>41</v>
      </c>
      <c r="X832" s="1" t="s">
        <v>4119</v>
      </c>
      <c r="Y832" s="1" t="s">
        <v>339</v>
      </c>
      <c r="Z832" s="1" t="s">
        <v>340</v>
      </c>
      <c r="AA832" s="1" t="s">
        <v>86</v>
      </c>
      <c r="AB832" s="1" t="s">
        <v>382</v>
      </c>
      <c r="AC832" s="1" t="s">
        <v>56</v>
      </c>
      <c r="AD832" s="1" t="s">
        <v>34</v>
      </c>
      <c r="AE832" s="1" t="s">
        <v>35</v>
      </c>
      <c r="AF832" s="5">
        <f t="shared" si="48"/>
        <v>45853</v>
      </c>
      <c r="AG832" s="5" t="e">
        <f t="shared" si="48"/>
        <v>#N/A</v>
      </c>
      <c r="AH832" s="5" t="b">
        <f t="shared" si="49"/>
        <v>1</v>
      </c>
      <c r="AI832" s="5" t="b">
        <f t="shared" si="49"/>
        <v>0</v>
      </c>
      <c r="AJ832" t="e">
        <f t="shared" si="50"/>
        <v>#N/A</v>
      </c>
      <c r="AK832" t="e">
        <f t="shared" si="51"/>
        <v>#N/A</v>
      </c>
    </row>
    <row r="833" spans="1:37">
      <c r="A833" t="s">
        <v>3813</v>
      </c>
      <c r="B833" t="s">
        <v>469</v>
      </c>
      <c r="C833" t="s">
        <v>3255</v>
      </c>
      <c r="D833" t="s">
        <v>3814</v>
      </c>
      <c r="E833" t="s">
        <v>210</v>
      </c>
      <c r="F833" t="s">
        <v>115</v>
      </c>
      <c r="H833" t="s">
        <v>323</v>
      </c>
      <c r="I833" t="s">
        <v>324</v>
      </c>
      <c r="J833" t="s">
        <v>45</v>
      </c>
      <c r="K833" t="s">
        <v>76</v>
      </c>
      <c r="L833" t="s">
        <v>3815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200</v>
      </c>
      <c r="U833" t="s">
        <v>125</v>
      </c>
      <c r="V833" s="1" t="s">
        <v>210</v>
      </c>
      <c r="W833" s="1" t="s">
        <v>115</v>
      </c>
      <c r="X833" s="1" t="s">
        <v>4119</v>
      </c>
      <c r="Y833" s="1" t="s">
        <v>323</v>
      </c>
      <c r="Z833" s="1" t="s">
        <v>324</v>
      </c>
      <c r="AA833" s="1" t="s">
        <v>45</v>
      </c>
      <c r="AB833" s="1" t="s">
        <v>76</v>
      </c>
      <c r="AC833" s="1" t="s">
        <v>56</v>
      </c>
      <c r="AD833" s="1" t="s">
        <v>200</v>
      </c>
      <c r="AE833" s="1" t="s">
        <v>125</v>
      </c>
      <c r="AF833" s="5">
        <f t="shared" si="48"/>
        <v>45750</v>
      </c>
      <c r="AG833" s="5">
        <f t="shared" si="48"/>
        <v>45720</v>
      </c>
      <c r="AH833" s="5" t="b">
        <f t="shared" si="49"/>
        <v>1</v>
      </c>
      <c r="AI833" s="5" t="b">
        <f t="shared" si="49"/>
        <v>1</v>
      </c>
      <c r="AJ833" t="str">
        <f t="shared" si="50"/>
        <v>Invalid: Ship before Order</v>
      </c>
      <c r="AK833" t="e">
        <f t="shared" si="51"/>
        <v>#NUM!</v>
      </c>
    </row>
    <row r="834" spans="1:37">
      <c r="A834" t="s">
        <v>3816</v>
      </c>
      <c r="B834" t="s">
        <v>3817</v>
      </c>
      <c r="C834" t="s">
        <v>3818</v>
      </c>
      <c r="D834" t="s">
        <v>3819</v>
      </c>
      <c r="E834" t="s">
        <v>366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223</v>
      </c>
      <c r="L834" t="s">
        <v>3820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  <c r="V834" s="1" t="s">
        <v>366</v>
      </c>
      <c r="W834" s="1" t="s">
        <v>41</v>
      </c>
      <c r="X834" s="1" t="s">
        <v>62</v>
      </c>
      <c r="Y834" s="1" t="s">
        <v>100</v>
      </c>
      <c r="Z834" s="1" t="s">
        <v>101</v>
      </c>
      <c r="AA834" s="1" t="s">
        <v>86</v>
      </c>
      <c r="AB834" s="1" t="s">
        <v>223</v>
      </c>
      <c r="AC834" s="1" t="s">
        <v>33</v>
      </c>
      <c r="AD834" s="1" t="s">
        <v>34</v>
      </c>
      <c r="AE834" s="1" t="s">
        <v>35</v>
      </c>
      <c r="AF834" s="5">
        <f t="shared" si="48"/>
        <v>45803</v>
      </c>
      <c r="AG834" s="5" t="e">
        <f t="shared" si="48"/>
        <v>#N/A</v>
      </c>
      <c r="AH834" s="5" t="b">
        <f t="shared" si="49"/>
        <v>1</v>
      </c>
      <c r="AI834" s="5" t="b">
        <f t="shared" si="49"/>
        <v>0</v>
      </c>
      <c r="AJ834" t="e">
        <f t="shared" si="50"/>
        <v>#N/A</v>
      </c>
      <c r="AK834" t="e">
        <f t="shared" si="51"/>
        <v>#N/A</v>
      </c>
    </row>
    <row r="835" spans="1:37">
      <c r="A835" t="s">
        <v>3821</v>
      </c>
      <c r="B835" t="s">
        <v>3822</v>
      </c>
      <c r="C835" t="s">
        <v>3823</v>
      </c>
      <c r="D835" t="s">
        <v>3824</v>
      </c>
      <c r="E835" t="s">
        <v>148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204</v>
      </c>
      <c r="L835" t="s">
        <v>3825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  <c r="V835" s="1" t="s">
        <v>148</v>
      </c>
      <c r="W835" s="1" t="s">
        <v>115</v>
      </c>
      <c r="X835" s="1" t="s">
        <v>42</v>
      </c>
      <c r="Y835" s="1" t="s">
        <v>121</v>
      </c>
      <c r="Z835" s="1" t="s">
        <v>122</v>
      </c>
      <c r="AA835" s="1" t="s">
        <v>45</v>
      </c>
      <c r="AB835" s="1" t="s">
        <v>204</v>
      </c>
      <c r="AC835" s="1" t="s">
        <v>56</v>
      </c>
      <c r="AD835" s="1" t="s">
        <v>34</v>
      </c>
      <c r="AE835" s="1" t="s">
        <v>35</v>
      </c>
      <c r="AF835" s="5">
        <f t="shared" ref="AF835:AG898" si="52">IFERROR(DATEVALUE(B835),IFERROR(DATE(VALUE(RIGHT(B835,4)),VALUE(MID(SUBSTITUTE(B835,"-","/"),6,2)),VALUE(LEFT(B835,2))),NA()))</f>
        <v>45447</v>
      </c>
      <c r="AG835" s="5">
        <f t="shared" si="52"/>
        <v>45447</v>
      </c>
      <c r="AH835" s="5" t="b">
        <f t="shared" ref="AH835:AI898" si="53">ISNUMBER(AF835)</f>
        <v>1</v>
      </c>
      <c r="AI835" s="5" t="b">
        <f t="shared" si="53"/>
        <v>1</v>
      </c>
      <c r="AJ835" t="str">
        <f t="shared" ref="AJ835:AJ898" si="54">IF(AG835&lt;AF835,"Invalid: Ship before Order","OK")</f>
        <v>OK</v>
      </c>
      <c r="AK835">
        <f t="shared" ref="AK835:AK898" si="55">DATEDIF(AF835, AG835, "D")</f>
        <v>0</v>
      </c>
    </row>
    <row r="836" spans="1:37">
      <c r="A836" t="s">
        <v>3826</v>
      </c>
      <c r="B836" t="s">
        <v>233</v>
      </c>
      <c r="C836" t="s">
        <v>3827</v>
      </c>
      <c r="D836" t="s">
        <v>3828</v>
      </c>
      <c r="E836" t="s">
        <v>162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3829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  <c r="V836" s="1" t="s">
        <v>162</v>
      </c>
      <c r="W836" s="1" t="s">
        <v>115</v>
      </c>
      <c r="X836" s="1" t="s">
        <v>62</v>
      </c>
      <c r="Y836" s="1" t="s">
        <v>63</v>
      </c>
      <c r="Z836" s="1" t="s">
        <v>64</v>
      </c>
      <c r="AA836" s="1" t="s">
        <v>30</v>
      </c>
      <c r="AB836" s="1" t="s">
        <v>54</v>
      </c>
      <c r="AC836" s="1" t="s">
        <v>56</v>
      </c>
      <c r="AD836" s="1" t="s">
        <v>34</v>
      </c>
      <c r="AE836" s="1" t="s">
        <v>35</v>
      </c>
      <c r="AF836" s="5" t="e">
        <f t="shared" si="52"/>
        <v>#N/A</v>
      </c>
      <c r="AG836" s="5">
        <f t="shared" si="52"/>
        <v>45587</v>
      </c>
      <c r="AH836" s="5" t="b">
        <f t="shared" si="53"/>
        <v>0</v>
      </c>
      <c r="AI836" s="5" t="b">
        <f t="shared" si="53"/>
        <v>1</v>
      </c>
      <c r="AJ836" t="e">
        <f t="shared" si="54"/>
        <v>#N/A</v>
      </c>
      <c r="AK836" t="e">
        <f t="shared" si="55"/>
        <v>#N/A</v>
      </c>
    </row>
    <row r="837" spans="1:37">
      <c r="A837" t="s">
        <v>3830</v>
      </c>
      <c r="B837" t="s">
        <v>2750</v>
      </c>
      <c r="C837" t="s">
        <v>955</v>
      </c>
      <c r="D837" t="s">
        <v>3831</v>
      </c>
      <c r="E837" t="s">
        <v>142</v>
      </c>
      <c r="F837" t="s">
        <v>41</v>
      </c>
      <c r="G837" t="s">
        <v>42</v>
      </c>
      <c r="H837" t="s">
        <v>216</v>
      </c>
      <c r="I837" t="s">
        <v>217</v>
      </c>
      <c r="J837" t="s">
        <v>86</v>
      </c>
      <c r="K837" t="s">
        <v>223</v>
      </c>
      <c r="L837" t="s">
        <v>3832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  <c r="V837" s="1" t="s">
        <v>142</v>
      </c>
      <c r="W837" s="1" t="s">
        <v>41</v>
      </c>
      <c r="X837" s="1" t="s">
        <v>42</v>
      </c>
      <c r="Y837" s="1" t="s">
        <v>216</v>
      </c>
      <c r="Z837" s="1" t="s">
        <v>217</v>
      </c>
      <c r="AA837" s="1" t="s">
        <v>86</v>
      </c>
      <c r="AB837" s="1" t="s">
        <v>223</v>
      </c>
      <c r="AC837" s="1" t="s">
        <v>33</v>
      </c>
      <c r="AD837" s="1" t="s">
        <v>34</v>
      </c>
      <c r="AE837" s="1" t="s">
        <v>35</v>
      </c>
      <c r="AF837" s="5">
        <f t="shared" si="52"/>
        <v>45926</v>
      </c>
      <c r="AG837" s="5">
        <f t="shared" si="52"/>
        <v>45757</v>
      </c>
      <c r="AH837" s="5" t="b">
        <f t="shared" si="53"/>
        <v>1</v>
      </c>
      <c r="AI837" s="5" t="b">
        <f t="shared" si="53"/>
        <v>1</v>
      </c>
      <c r="AJ837" t="str">
        <f t="shared" si="54"/>
        <v>Invalid: Ship before Order</v>
      </c>
      <c r="AK837" t="e">
        <f t="shared" si="55"/>
        <v>#NUM!</v>
      </c>
    </row>
    <row r="838" spans="1:37">
      <c r="A838" t="s">
        <v>3833</v>
      </c>
      <c r="B838" t="s">
        <v>2462</v>
      </c>
      <c r="C838" t="s">
        <v>3834</v>
      </c>
      <c r="D838" t="s">
        <v>3835</v>
      </c>
      <c r="E838" t="s">
        <v>53</v>
      </c>
      <c r="F838" t="s">
        <v>41</v>
      </c>
      <c r="G838" t="s">
        <v>27</v>
      </c>
      <c r="H838" t="s">
        <v>28</v>
      </c>
      <c r="I838" t="s">
        <v>29</v>
      </c>
      <c r="J838" t="s">
        <v>30</v>
      </c>
      <c r="K838" t="s">
        <v>109</v>
      </c>
      <c r="L838" t="s">
        <v>3836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  <c r="V838" s="1" t="s">
        <v>53</v>
      </c>
      <c r="W838" s="1" t="s">
        <v>41</v>
      </c>
      <c r="X838" s="1" t="s">
        <v>27</v>
      </c>
      <c r="Y838" s="1" t="s">
        <v>28</v>
      </c>
      <c r="Z838" s="1" t="s">
        <v>29</v>
      </c>
      <c r="AA838" s="1" t="s">
        <v>30</v>
      </c>
      <c r="AB838" s="1" t="s">
        <v>109</v>
      </c>
      <c r="AC838" s="1" t="s">
        <v>33</v>
      </c>
      <c r="AD838" s="1" t="s">
        <v>34</v>
      </c>
      <c r="AE838" s="1" t="s">
        <v>35</v>
      </c>
      <c r="AF838" s="5">
        <f t="shared" si="52"/>
        <v>45641</v>
      </c>
      <c r="AG838" s="5">
        <f t="shared" si="52"/>
        <v>45644</v>
      </c>
      <c r="AH838" s="5" t="b">
        <f t="shared" si="53"/>
        <v>1</v>
      </c>
      <c r="AI838" s="5" t="b">
        <f t="shared" si="53"/>
        <v>1</v>
      </c>
      <c r="AJ838" t="str">
        <f t="shared" si="54"/>
        <v>OK</v>
      </c>
      <c r="AK838">
        <f t="shared" si="55"/>
        <v>3</v>
      </c>
    </row>
    <row r="839" spans="1:37">
      <c r="A839" t="s">
        <v>3837</v>
      </c>
      <c r="B839" t="s">
        <v>498</v>
      </c>
      <c r="C839" t="s">
        <v>3838</v>
      </c>
      <c r="D839" t="s">
        <v>3839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3840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  <c r="V839" s="1" t="s">
        <v>25</v>
      </c>
      <c r="W839" s="1" t="s">
        <v>115</v>
      </c>
      <c r="X839" s="1" t="s">
        <v>73</v>
      </c>
      <c r="Y839" s="1" t="s">
        <v>74</v>
      </c>
      <c r="Z839" s="1" t="s">
        <v>75</v>
      </c>
      <c r="AA839" s="1" t="s">
        <v>30</v>
      </c>
      <c r="AB839" s="1" t="s">
        <v>31</v>
      </c>
      <c r="AC839" s="1" t="s">
        <v>56</v>
      </c>
      <c r="AD839" s="1" t="s">
        <v>34</v>
      </c>
      <c r="AE839" s="1" t="s">
        <v>35</v>
      </c>
      <c r="AF839" s="5">
        <f t="shared" si="52"/>
        <v>45927</v>
      </c>
      <c r="AG839" s="5">
        <f t="shared" si="52"/>
        <v>45928</v>
      </c>
      <c r="AH839" s="5" t="b">
        <f t="shared" si="53"/>
        <v>1</v>
      </c>
      <c r="AI839" s="5" t="b">
        <f t="shared" si="53"/>
        <v>1</v>
      </c>
      <c r="AJ839" t="str">
        <f t="shared" si="54"/>
        <v>OK</v>
      </c>
      <c r="AK839">
        <f t="shared" si="55"/>
        <v>1</v>
      </c>
    </row>
    <row r="840" spans="1:37">
      <c r="A840" t="s">
        <v>3841</v>
      </c>
      <c r="B840" t="s">
        <v>469</v>
      </c>
      <c r="C840" t="s">
        <v>3842</v>
      </c>
      <c r="D840" t="s">
        <v>3843</v>
      </c>
      <c r="E840" t="s">
        <v>72</v>
      </c>
      <c r="F840" t="s">
        <v>41</v>
      </c>
      <c r="G840" t="s">
        <v>73</v>
      </c>
      <c r="H840" t="s">
        <v>249</v>
      </c>
      <c r="I840" t="s">
        <v>250</v>
      </c>
      <c r="J840" t="s">
        <v>30</v>
      </c>
      <c r="K840" t="s">
        <v>31</v>
      </c>
      <c r="L840" t="s">
        <v>3844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  <c r="V840" s="1" t="s">
        <v>72</v>
      </c>
      <c r="W840" s="1" t="s">
        <v>41</v>
      </c>
      <c r="X840" s="1" t="s">
        <v>73</v>
      </c>
      <c r="Y840" s="1" t="s">
        <v>249</v>
      </c>
      <c r="Z840" s="1" t="s">
        <v>250</v>
      </c>
      <c r="AA840" s="1" t="s">
        <v>30</v>
      </c>
      <c r="AB840" s="1" t="s">
        <v>31</v>
      </c>
      <c r="AC840" s="1" t="s">
        <v>48</v>
      </c>
      <c r="AD840" s="1" t="s">
        <v>34</v>
      </c>
      <c r="AE840" s="1" t="s">
        <v>125</v>
      </c>
      <c r="AF840" s="5">
        <f t="shared" si="52"/>
        <v>45750</v>
      </c>
      <c r="AG840" s="5">
        <f t="shared" si="52"/>
        <v>45754</v>
      </c>
      <c r="AH840" s="5" t="b">
        <f t="shared" si="53"/>
        <v>1</v>
      </c>
      <c r="AI840" s="5" t="b">
        <f t="shared" si="53"/>
        <v>1</v>
      </c>
      <c r="AJ840" t="str">
        <f t="shared" si="54"/>
        <v>OK</v>
      </c>
      <c r="AK840">
        <f t="shared" si="55"/>
        <v>4</v>
      </c>
    </row>
    <row r="841" spans="1:37">
      <c r="A841" t="s">
        <v>3845</v>
      </c>
      <c r="B841" t="s">
        <v>3846</v>
      </c>
      <c r="C841" t="s">
        <v>3847</v>
      </c>
      <c r="D841" t="s">
        <v>3848</v>
      </c>
      <c r="E841" t="s">
        <v>180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223</v>
      </c>
      <c r="L841" t="s">
        <v>3849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  <c r="V841" s="1" t="s">
        <v>180</v>
      </c>
      <c r="W841" s="1" t="s">
        <v>115</v>
      </c>
      <c r="X841" s="1" t="s">
        <v>42</v>
      </c>
      <c r="Y841" s="1" t="s">
        <v>43</v>
      </c>
      <c r="Z841" s="1" t="s">
        <v>44</v>
      </c>
      <c r="AA841" s="1" t="s">
        <v>86</v>
      </c>
      <c r="AB841" s="1" t="s">
        <v>223</v>
      </c>
      <c r="AC841" s="1" t="s">
        <v>67</v>
      </c>
      <c r="AD841" s="1" t="s">
        <v>34</v>
      </c>
      <c r="AE841" s="1" t="s">
        <v>35</v>
      </c>
      <c r="AF841" s="5">
        <f t="shared" si="52"/>
        <v>45555</v>
      </c>
      <c r="AG841" s="5" t="e">
        <f t="shared" si="52"/>
        <v>#N/A</v>
      </c>
      <c r="AH841" s="5" t="b">
        <f t="shared" si="53"/>
        <v>1</v>
      </c>
      <c r="AI841" s="5" t="b">
        <f t="shared" si="53"/>
        <v>0</v>
      </c>
      <c r="AJ841" t="e">
        <f t="shared" si="54"/>
        <v>#N/A</v>
      </c>
      <c r="AK841" t="e">
        <f t="shared" si="55"/>
        <v>#N/A</v>
      </c>
    </row>
    <row r="842" spans="1:37">
      <c r="A842" t="s">
        <v>3850</v>
      </c>
      <c r="B842" t="s">
        <v>1898</v>
      </c>
      <c r="C842" t="s">
        <v>2197</v>
      </c>
      <c r="D842" t="s">
        <v>3851</v>
      </c>
      <c r="E842" t="s">
        <v>93</v>
      </c>
      <c r="F842" t="s">
        <v>115</v>
      </c>
      <c r="G842" t="s">
        <v>27</v>
      </c>
      <c r="H842" t="s">
        <v>506</v>
      </c>
      <c r="I842" t="s">
        <v>507</v>
      </c>
      <c r="J842" t="s">
        <v>45</v>
      </c>
      <c r="K842" t="s">
        <v>76</v>
      </c>
      <c r="L842" t="s">
        <v>3852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  <c r="V842" s="1" t="s">
        <v>93</v>
      </c>
      <c r="W842" s="1" t="s">
        <v>115</v>
      </c>
      <c r="X842" s="1" t="s">
        <v>27</v>
      </c>
      <c r="Y842" s="1" t="s">
        <v>506</v>
      </c>
      <c r="Z842" s="1" t="s">
        <v>507</v>
      </c>
      <c r="AA842" s="1" t="s">
        <v>45</v>
      </c>
      <c r="AB842" s="1" t="s">
        <v>76</v>
      </c>
      <c r="AC842" s="1" t="s">
        <v>48</v>
      </c>
      <c r="AD842" s="1" t="s">
        <v>34</v>
      </c>
      <c r="AE842" s="1" t="s">
        <v>35</v>
      </c>
      <c r="AF842" s="5">
        <f t="shared" si="52"/>
        <v>45919</v>
      </c>
      <c r="AG842" s="5" t="e">
        <f t="shared" si="52"/>
        <v>#N/A</v>
      </c>
      <c r="AH842" s="5" t="b">
        <f t="shared" si="53"/>
        <v>1</v>
      </c>
      <c r="AI842" s="5" t="b">
        <f t="shared" si="53"/>
        <v>0</v>
      </c>
      <c r="AJ842" t="e">
        <f t="shared" si="54"/>
        <v>#N/A</v>
      </c>
      <c r="AK842" t="e">
        <f t="shared" si="55"/>
        <v>#N/A</v>
      </c>
    </row>
    <row r="843" spans="1:37">
      <c r="A843" t="s">
        <v>3853</v>
      </c>
      <c r="B843" t="s">
        <v>3854</v>
      </c>
      <c r="C843" t="s">
        <v>3855</v>
      </c>
      <c r="D843" t="s">
        <v>3856</v>
      </c>
      <c r="E843" t="s">
        <v>72</v>
      </c>
      <c r="F843" t="s">
        <v>41</v>
      </c>
      <c r="G843" t="s">
        <v>42</v>
      </c>
      <c r="H843" t="s">
        <v>186</v>
      </c>
      <c r="I843" t="s">
        <v>187</v>
      </c>
      <c r="J843" t="s">
        <v>30</v>
      </c>
      <c r="K843" t="s">
        <v>54</v>
      </c>
      <c r="L843" t="s">
        <v>3857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  <c r="V843" s="1" t="s">
        <v>72</v>
      </c>
      <c r="W843" s="1" t="s">
        <v>41</v>
      </c>
      <c r="X843" s="1" t="s">
        <v>42</v>
      </c>
      <c r="Y843" s="1" t="s">
        <v>186</v>
      </c>
      <c r="Z843" s="1" t="s">
        <v>187</v>
      </c>
      <c r="AA843" s="1" t="s">
        <v>30</v>
      </c>
      <c r="AB843" s="1" t="s">
        <v>54</v>
      </c>
      <c r="AC843" s="1" t="s">
        <v>67</v>
      </c>
      <c r="AD843" s="1" t="s">
        <v>34</v>
      </c>
      <c r="AE843" s="1" t="s">
        <v>35</v>
      </c>
      <c r="AF843" s="5">
        <f t="shared" si="52"/>
        <v>45694</v>
      </c>
      <c r="AG843" s="5">
        <f t="shared" si="52"/>
        <v>45700</v>
      </c>
      <c r="AH843" s="5" t="b">
        <f t="shared" si="53"/>
        <v>1</v>
      </c>
      <c r="AI843" s="5" t="b">
        <f t="shared" si="53"/>
        <v>1</v>
      </c>
      <c r="AJ843" t="str">
        <f t="shared" si="54"/>
        <v>OK</v>
      </c>
      <c r="AK843">
        <f t="shared" si="55"/>
        <v>6</v>
      </c>
    </row>
    <row r="844" spans="1:37">
      <c r="A844" t="s">
        <v>3858</v>
      </c>
      <c r="B844" t="s">
        <v>3859</v>
      </c>
      <c r="C844" t="s">
        <v>3860</v>
      </c>
      <c r="D844" t="s">
        <v>3861</v>
      </c>
      <c r="E844" t="s">
        <v>3862</v>
      </c>
      <c r="F844" t="s">
        <v>26</v>
      </c>
      <c r="G844" t="s">
        <v>27</v>
      </c>
      <c r="H844" t="s">
        <v>323</v>
      </c>
      <c r="I844" t="s">
        <v>324</v>
      </c>
      <c r="J844" t="s">
        <v>86</v>
      </c>
      <c r="K844" t="s">
        <v>382</v>
      </c>
      <c r="L844" t="s">
        <v>3863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  <c r="V844" s="1" t="s">
        <v>366</v>
      </c>
      <c r="W844" s="1" t="s">
        <v>26</v>
      </c>
      <c r="X844" s="1" t="s">
        <v>27</v>
      </c>
      <c r="Y844" s="1" t="s">
        <v>323</v>
      </c>
      <c r="Z844" s="1" t="s">
        <v>324</v>
      </c>
      <c r="AA844" s="1" t="s">
        <v>86</v>
      </c>
      <c r="AB844" s="1" t="s">
        <v>382</v>
      </c>
      <c r="AC844" s="1" t="s">
        <v>56</v>
      </c>
      <c r="AD844" s="1" t="s">
        <v>34</v>
      </c>
      <c r="AE844" s="1" t="s">
        <v>125</v>
      </c>
      <c r="AF844" s="5" t="e">
        <f t="shared" si="52"/>
        <v>#N/A</v>
      </c>
      <c r="AG844" s="5">
        <f t="shared" si="52"/>
        <v>45381</v>
      </c>
      <c r="AH844" s="5" t="b">
        <f t="shared" si="53"/>
        <v>0</v>
      </c>
      <c r="AI844" s="5" t="b">
        <f t="shared" si="53"/>
        <v>1</v>
      </c>
      <c r="AJ844" t="e">
        <f t="shared" si="54"/>
        <v>#N/A</v>
      </c>
      <c r="AK844" t="e">
        <f t="shared" si="55"/>
        <v>#N/A</v>
      </c>
    </row>
    <row r="845" spans="1:37">
      <c r="A845" t="s">
        <v>3864</v>
      </c>
      <c r="B845" t="s">
        <v>2700</v>
      </c>
      <c r="C845" t="s">
        <v>3865</v>
      </c>
      <c r="D845" t="s">
        <v>3866</v>
      </c>
      <c r="E845" t="s">
        <v>142</v>
      </c>
      <c r="F845" t="s">
        <v>41</v>
      </c>
      <c r="G845" t="s">
        <v>27</v>
      </c>
      <c r="H845" t="s">
        <v>174</v>
      </c>
      <c r="I845" t="s">
        <v>175</v>
      </c>
      <c r="J845" t="s">
        <v>86</v>
      </c>
      <c r="K845" t="s">
        <v>223</v>
      </c>
      <c r="L845" t="s">
        <v>3867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  <c r="V845" s="1" t="s">
        <v>142</v>
      </c>
      <c r="W845" s="1" t="s">
        <v>41</v>
      </c>
      <c r="X845" s="1" t="s">
        <v>27</v>
      </c>
      <c r="Y845" s="1" t="s">
        <v>174</v>
      </c>
      <c r="Z845" s="1" t="s">
        <v>175</v>
      </c>
      <c r="AA845" s="1" t="s">
        <v>86</v>
      </c>
      <c r="AB845" s="1" t="s">
        <v>223</v>
      </c>
      <c r="AC845" s="1" t="s">
        <v>56</v>
      </c>
      <c r="AD845" s="1" t="s">
        <v>34</v>
      </c>
      <c r="AE845" s="1" t="s">
        <v>35</v>
      </c>
      <c r="AF845" s="5">
        <f t="shared" si="52"/>
        <v>45856</v>
      </c>
      <c r="AG845" s="5">
        <f t="shared" si="52"/>
        <v>45863</v>
      </c>
      <c r="AH845" s="5" t="b">
        <f t="shared" si="53"/>
        <v>1</v>
      </c>
      <c r="AI845" s="5" t="b">
        <f t="shared" si="53"/>
        <v>1</v>
      </c>
      <c r="AJ845" t="str">
        <f t="shared" si="54"/>
        <v>OK</v>
      </c>
      <c r="AK845">
        <f t="shared" si="55"/>
        <v>7</v>
      </c>
    </row>
    <row r="846" spans="1:37">
      <c r="A846" t="s">
        <v>3868</v>
      </c>
      <c r="B846" t="s">
        <v>3869</v>
      </c>
      <c r="C846" t="s">
        <v>3870</v>
      </c>
      <c r="D846" t="s">
        <v>3871</v>
      </c>
      <c r="E846" t="s">
        <v>107</v>
      </c>
      <c r="F846" t="s">
        <v>115</v>
      </c>
      <c r="G846" t="s">
        <v>73</v>
      </c>
      <c r="H846" t="s">
        <v>249</v>
      </c>
      <c r="I846" t="s">
        <v>250</v>
      </c>
      <c r="J846" t="s">
        <v>30</v>
      </c>
      <c r="K846" t="s">
        <v>54</v>
      </c>
      <c r="L846" t="s">
        <v>3872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  <c r="V846" s="1" t="s">
        <v>107</v>
      </c>
      <c r="W846" s="1" t="s">
        <v>115</v>
      </c>
      <c r="X846" s="1" t="s">
        <v>73</v>
      </c>
      <c r="Y846" s="1" t="s">
        <v>249</v>
      </c>
      <c r="Z846" s="1" t="s">
        <v>250</v>
      </c>
      <c r="AA846" s="1" t="s">
        <v>30</v>
      </c>
      <c r="AB846" s="1" t="s">
        <v>54</v>
      </c>
      <c r="AC846" s="1" t="s">
        <v>56</v>
      </c>
      <c r="AD846" s="1" t="s">
        <v>34</v>
      </c>
      <c r="AE846" s="1" t="s">
        <v>35</v>
      </c>
      <c r="AF846" s="5" t="e">
        <f t="shared" si="52"/>
        <v>#N/A</v>
      </c>
      <c r="AG846" s="5" t="e">
        <f t="shared" si="52"/>
        <v>#N/A</v>
      </c>
      <c r="AH846" s="5" t="b">
        <f t="shared" si="53"/>
        <v>0</v>
      </c>
      <c r="AI846" s="5" t="b">
        <f t="shared" si="53"/>
        <v>0</v>
      </c>
      <c r="AJ846" t="e">
        <f t="shared" si="54"/>
        <v>#N/A</v>
      </c>
      <c r="AK846" t="e">
        <f t="shared" si="55"/>
        <v>#N/A</v>
      </c>
    </row>
    <row r="847" spans="1:37">
      <c r="A847" t="s">
        <v>3873</v>
      </c>
      <c r="B847" t="s">
        <v>2772</v>
      </c>
      <c r="C847" t="s">
        <v>3874</v>
      </c>
      <c r="D847" t="s">
        <v>893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3875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137</v>
      </c>
      <c r="U847" t="s">
        <v>125</v>
      </c>
      <c r="V847" s="1" t="s">
        <v>25</v>
      </c>
      <c r="W847" s="1" t="s">
        <v>26</v>
      </c>
      <c r="X847" s="1" t="s">
        <v>42</v>
      </c>
      <c r="Y847" s="1" t="s">
        <v>43</v>
      </c>
      <c r="Z847" s="1" t="s">
        <v>44</v>
      </c>
      <c r="AA847" s="1" t="s">
        <v>45</v>
      </c>
      <c r="AB847" s="1" t="s">
        <v>46</v>
      </c>
      <c r="AC847" s="1" t="s">
        <v>56</v>
      </c>
      <c r="AD847" s="1" t="s">
        <v>137</v>
      </c>
      <c r="AE847" s="1" t="s">
        <v>125</v>
      </c>
      <c r="AF847" s="5" t="e">
        <f t="shared" si="52"/>
        <v>#N/A</v>
      </c>
      <c r="AG847" s="5">
        <f t="shared" si="52"/>
        <v>45349</v>
      </c>
      <c r="AH847" s="5" t="b">
        <f t="shared" si="53"/>
        <v>0</v>
      </c>
      <c r="AI847" s="5" t="b">
        <f t="shared" si="53"/>
        <v>1</v>
      </c>
      <c r="AJ847" t="e">
        <f t="shared" si="54"/>
        <v>#N/A</v>
      </c>
      <c r="AK847" t="e">
        <f t="shared" si="55"/>
        <v>#N/A</v>
      </c>
    </row>
    <row r="848" spans="1:37">
      <c r="A848" t="s">
        <v>3876</v>
      </c>
      <c r="B848" t="s">
        <v>3877</v>
      </c>
      <c r="C848" t="s">
        <v>3878</v>
      </c>
      <c r="D848" t="s">
        <v>3879</v>
      </c>
      <c r="E848" t="s">
        <v>142</v>
      </c>
      <c r="F848" t="s">
        <v>41</v>
      </c>
      <c r="G848" t="s">
        <v>73</v>
      </c>
      <c r="H848" t="s">
        <v>235</v>
      </c>
      <c r="I848" t="s">
        <v>236</v>
      </c>
      <c r="J848" t="s">
        <v>45</v>
      </c>
      <c r="K848" t="s">
        <v>204</v>
      </c>
      <c r="L848" t="s">
        <v>3880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137</v>
      </c>
      <c r="U848" t="s">
        <v>125</v>
      </c>
      <c r="V848" s="1" t="s">
        <v>142</v>
      </c>
      <c r="W848" s="1" t="s">
        <v>41</v>
      </c>
      <c r="X848" s="1" t="s">
        <v>73</v>
      </c>
      <c r="Y848" s="1" t="s">
        <v>235</v>
      </c>
      <c r="Z848" s="1" t="s">
        <v>236</v>
      </c>
      <c r="AA848" s="1" t="s">
        <v>45</v>
      </c>
      <c r="AB848" s="1" t="s">
        <v>204</v>
      </c>
      <c r="AC848" s="1" t="s">
        <v>67</v>
      </c>
      <c r="AD848" s="1" t="s">
        <v>137</v>
      </c>
      <c r="AE848" s="1" t="s">
        <v>125</v>
      </c>
      <c r="AF848" s="5">
        <f t="shared" si="52"/>
        <v>45396</v>
      </c>
      <c r="AG848" s="5">
        <f t="shared" si="52"/>
        <v>45404</v>
      </c>
      <c r="AH848" s="5" t="b">
        <f t="shared" si="53"/>
        <v>1</v>
      </c>
      <c r="AI848" s="5" t="b">
        <f t="shared" si="53"/>
        <v>1</v>
      </c>
      <c r="AJ848" t="str">
        <f t="shared" si="54"/>
        <v>OK</v>
      </c>
      <c r="AK848">
        <f t="shared" si="55"/>
        <v>8</v>
      </c>
    </row>
    <row r="849" spans="1:37">
      <c r="A849" t="s">
        <v>3881</v>
      </c>
      <c r="B849" t="s">
        <v>3882</v>
      </c>
      <c r="C849" t="s">
        <v>3883</v>
      </c>
      <c r="D849" t="s">
        <v>3884</v>
      </c>
      <c r="E849" t="s">
        <v>210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3885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  <c r="V849" s="1" t="s">
        <v>210</v>
      </c>
      <c r="W849" s="1" t="s">
        <v>115</v>
      </c>
      <c r="X849" s="1" t="s">
        <v>42</v>
      </c>
      <c r="Y849" s="1" t="s">
        <v>43</v>
      </c>
      <c r="Z849" s="1" t="s">
        <v>44</v>
      </c>
      <c r="AA849" s="1" t="s">
        <v>45</v>
      </c>
      <c r="AB849" s="1" t="s">
        <v>46</v>
      </c>
      <c r="AC849" s="1" t="s">
        <v>33</v>
      </c>
      <c r="AD849" s="1" t="s">
        <v>34</v>
      </c>
      <c r="AE849" s="1" t="s">
        <v>35</v>
      </c>
      <c r="AF849" s="5">
        <f t="shared" si="52"/>
        <v>45797</v>
      </c>
      <c r="AG849" s="5">
        <f t="shared" si="52"/>
        <v>45799</v>
      </c>
      <c r="AH849" s="5" t="b">
        <f t="shared" si="53"/>
        <v>1</v>
      </c>
      <c r="AI849" s="5" t="b">
        <f t="shared" si="53"/>
        <v>1</v>
      </c>
      <c r="AJ849" t="str">
        <f t="shared" si="54"/>
        <v>OK</v>
      </c>
      <c r="AK849">
        <f t="shared" si="55"/>
        <v>2</v>
      </c>
    </row>
    <row r="850" spans="1:37">
      <c r="A850" t="s">
        <v>3886</v>
      </c>
      <c r="B850" t="s">
        <v>3145</v>
      </c>
      <c r="C850" t="s">
        <v>3887</v>
      </c>
      <c r="D850" t="s">
        <v>3888</v>
      </c>
      <c r="E850" t="s">
        <v>148</v>
      </c>
      <c r="F850" t="s">
        <v>115</v>
      </c>
      <c r="G850" t="s">
        <v>62</v>
      </c>
      <c r="H850" t="s">
        <v>339</v>
      </c>
      <c r="I850" t="s">
        <v>340</v>
      </c>
      <c r="J850" t="s">
        <v>45</v>
      </c>
      <c r="K850" t="s">
        <v>65</v>
      </c>
      <c r="L850" t="s">
        <v>3889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  <c r="V850" s="1" t="s">
        <v>148</v>
      </c>
      <c r="W850" s="1" t="s">
        <v>115</v>
      </c>
      <c r="X850" s="1" t="s">
        <v>62</v>
      </c>
      <c r="Y850" s="1" t="s">
        <v>339</v>
      </c>
      <c r="Z850" s="1" t="s">
        <v>340</v>
      </c>
      <c r="AA850" s="1" t="s">
        <v>45</v>
      </c>
      <c r="AB850" s="1" t="s">
        <v>65</v>
      </c>
      <c r="AC850" s="1" t="s">
        <v>33</v>
      </c>
      <c r="AD850" s="1" t="s">
        <v>34</v>
      </c>
      <c r="AE850" s="1" t="s">
        <v>35</v>
      </c>
      <c r="AF850" s="5" t="e">
        <f t="shared" si="52"/>
        <v>#N/A</v>
      </c>
      <c r="AG850" s="5">
        <f t="shared" si="52"/>
        <v>45806</v>
      </c>
      <c r="AH850" s="5" t="b">
        <f t="shared" si="53"/>
        <v>0</v>
      </c>
      <c r="AI850" s="5" t="b">
        <f t="shared" si="53"/>
        <v>1</v>
      </c>
      <c r="AJ850" t="e">
        <f t="shared" si="54"/>
        <v>#N/A</v>
      </c>
      <c r="AK850" t="e">
        <f t="shared" si="55"/>
        <v>#N/A</v>
      </c>
    </row>
    <row r="851" spans="1:37">
      <c r="A851" t="s">
        <v>3890</v>
      </c>
      <c r="B851" t="s">
        <v>3891</v>
      </c>
      <c r="C851" t="s">
        <v>1071</v>
      </c>
      <c r="D851" t="s">
        <v>3892</v>
      </c>
      <c r="E851" t="s">
        <v>53</v>
      </c>
      <c r="F851" t="s">
        <v>115</v>
      </c>
      <c r="G851" t="s">
        <v>73</v>
      </c>
      <c r="H851" t="s">
        <v>235</v>
      </c>
      <c r="I851" t="s">
        <v>236</v>
      </c>
      <c r="J851" t="s">
        <v>45</v>
      </c>
      <c r="K851" t="s">
        <v>204</v>
      </c>
      <c r="L851" t="s">
        <v>3893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35</v>
      </c>
      <c r="V851" s="1" t="s">
        <v>53</v>
      </c>
      <c r="W851" s="1" t="s">
        <v>115</v>
      </c>
      <c r="X851" s="1" t="s">
        <v>73</v>
      </c>
      <c r="Y851" s="1" t="s">
        <v>235</v>
      </c>
      <c r="Z851" s="1" t="s">
        <v>236</v>
      </c>
      <c r="AA851" s="1" t="s">
        <v>45</v>
      </c>
      <c r="AB851" s="1" t="s">
        <v>204</v>
      </c>
      <c r="AC851" s="1" t="s">
        <v>67</v>
      </c>
      <c r="AD851" s="1" t="s">
        <v>34</v>
      </c>
      <c r="AE851" s="1" t="s">
        <v>35</v>
      </c>
      <c r="AF851" s="5">
        <f t="shared" si="52"/>
        <v>45357</v>
      </c>
      <c r="AG851" s="5">
        <f t="shared" si="52"/>
        <v>45629</v>
      </c>
      <c r="AH851" s="5" t="b">
        <f t="shared" si="53"/>
        <v>1</v>
      </c>
      <c r="AI851" s="5" t="b">
        <f t="shared" si="53"/>
        <v>1</v>
      </c>
      <c r="AJ851" t="str">
        <f t="shared" si="54"/>
        <v>OK</v>
      </c>
      <c r="AK851">
        <f t="shared" si="55"/>
        <v>272</v>
      </c>
    </row>
    <row r="852" spans="1:37">
      <c r="A852" t="s">
        <v>3894</v>
      </c>
      <c r="B852" t="s">
        <v>2104</v>
      </c>
      <c r="C852" t="s">
        <v>3771</v>
      </c>
      <c r="D852" t="s">
        <v>3895</v>
      </c>
      <c r="E852" t="s">
        <v>142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3896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  <c r="V852" s="1" t="s">
        <v>142</v>
      </c>
      <c r="W852" s="1" t="s">
        <v>115</v>
      </c>
      <c r="X852" s="1" t="s">
        <v>42</v>
      </c>
      <c r="Y852" s="1" t="s">
        <v>121</v>
      </c>
      <c r="Z852" s="1" t="s">
        <v>122</v>
      </c>
      <c r="AA852" s="1" t="s">
        <v>30</v>
      </c>
      <c r="AB852" s="1" t="s">
        <v>31</v>
      </c>
      <c r="AC852" s="1" t="s">
        <v>56</v>
      </c>
      <c r="AD852" s="1" t="s">
        <v>34</v>
      </c>
      <c r="AE852" s="1" t="s">
        <v>35</v>
      </c>
      <c r="AF852" s="5" t="e">
        <f t="shared" si="52"/>
        <v>#N/A</v>
      </c>
      <c r="AG852" s="5">
        <f t="shared" si="52"/>
        <v>45476</v>
      </c>
      <c r="AH852" s="5" t="b">
        <f t="shared" si="53"/>
        <v>0</v>
      </c>
      <c r="AI852" s="5" t="b">
        <f t="shared" si="53"/>
        <v>1</v>
      </c>
      <c r="AJ852" t="e">
        <f t="shared" si="54"/>
        <v>#N/A</v>
      </c>
      <c r="AK852" t="e">
        <f t="shared" si="55"/>
        <v>#N/A</v>
      </c>
    </row>
    <row r="853" spans="1:37">
      <c r="A853" t="s">
        <v>3897</v>
      </c>
      <c r="B853" t="s">
        <v>806</v>
      </c>
      <c r="C853" t="s">
        <v>3154</v>
      </c>
      <c r="D853" t="s">
        <v>3898</v>
      </c>
      <c r="E853" t="s">
        <v>25</v>
      </c>
      <c r="F853" t="s">
        <v>41</v>
      </c>
      <c r="G853" t="s">
        <v>73</v>
      </c>
      <c r="H853" t="s">
        <v>235</v>
      </c>
      <c r="I853" t="s">
        <v>236</v>
      </c>
      <c r="J853" t="s">
        <v>86</v>
      </c>
      <c r="K853" t="s">
        <v>87</v>
      </c>
      <c r="L853" t="s">
        <v>3899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  <c r="V853" s="1" t="s">
        <v>25</v>
      </c>
      <c r="W853" s="1" t="s">
        <v>41</v>
      </c>
      <c r="X853" s="1" t="s">
        <v>73</v>
      </c>
      <c r="Y853" s="1" t="s">
        <v>235</v>
      </c>
      <c r="Z853" s="1" t="s">
        <v>236</v>
      </c>
      <c r="AA853" s="1" t="s">
        <v>86</v>
      </c>
      <c r="AB853" s="1" t="s">
        <v>87</v>
      </c>
      <c r="AC853" s="1" t="s">
        <v>56</v>
      </c>
      <c r="AD853" s="1" t="s">
        <v>34</v>
      </c>
      <c r="AE853" s="1" t="s">
        <v>35</v>
      </c>
      <c r="AF853" s="5">
        <f t="shared" si="52"/>
        <v>45377</v>
      </c>
      <c r="AG853" s="5">
        <f t="shared" si="52"/>
        <v>45383</v>
      </c>
      <c r="AH853" s="5" t="b">
        <f t="shared" si="53"/>
        <v>1</v>
      </c>
      <c r="AI853" s="5" t="b">
        <f t="shared" si="53"/>
        <v>1</v>
      </c>
      <c r="AJ853" t="str">
        <f t="shared" si="54"/>
        <v>OK</v>
      </c>
      <c r="AK853">
        <f t="shared" si="55"/>
        <v>6</v>
      </c>
    </row>
    <row r="854" spans="1:37">
      <c r="A854" t="s">
        <v>3900</v>
      </c>
      <c r="B854" t="s">
        <v>3901</v>
      </c>
      <c r="C854" t="s">
        <v>3724</v>
      </c>
      <c r="D854" t="s">
        <v>3902</v>
      </c>
      <c r="E854" t="s">
        <v>72</v>
      </c>
      <c r="F854" t="s">
        <v>26</v>
      </c>
      <c r="G854" t="s">
        <v>42</v>
      </c>
      <c r="H854" t="s">
        <v>216</v>
      </c>
      <c r="I854" t="s">
        <v>217</v>
      </c>
      <c r="J854" t="s">
        <v>45</v>
      </c>
      <c r="K854" t="s">
        <v>46</v>
      </c>
      <c r="L854" t="s">
        <v>3903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137</v>
      </c>
      <c r="U854" t="s">
        <v>78</v>
      </c>
      <c r="V854" s="1" t="s">
        <v>72</v>
      </c>
      <c r="W854" s="1" t="s">
        <v>26</v>
      </c>
      <c r="X854" s="1" t="s">
        <v>42</v>
      </c>
      <c r="Y854" s="1" t="s">
        <v>216</v>
      </c>
      <c r="Z854" s="1" t="s">
        <v>217</v>
      </c>
      <c r="AA854" s="1" t="s">
        <v>45</v>
      </c>
      <c r="AB854" s="1" t="s">
        <v>46</v>
      </c>
      <c r="AC854" s="1" t="s">
        <v>33</v>
      </c>
      <c r="AD854" s="1" t="s">
        <v>137</v>
      </c>
      <c r="AE854" s="1" t="s">
        <v>78</v>
      </c>
      <c r="AF854" s="5">
        <f t="shared" si="52"/>
        <v>45295</v>
      </c>
      <c r="AG854" s="5">
        <f t="shared" si="52"/>
        <v>45508</v>
      </c>
      <c r="AH854" s="5" t="b">
        <f t="shared" si="53"/>
        <v>1</v>
      </c>
      <c r="AI854" s="5" t="b">
        <f t="shared" si="53"/>
        <v>1</v>
      </c>
      <c r="AJ854" t="str">
        <f t="shared" si="54"/>
        <v>OK</v>
      </c>
      <c r="AK854">
        <f t="shared" si="55"/>
        <v>213</v>
      </c>
    </row>
    <row r="855" spans="1:37">
      <c r="A855" t="s">
        <v>3904</v>
      </c>
      <c r="B855" t="s">
        <v>3905</v>
      </c>
      <c r="C855" t="s">
        <v>3883</v>
      </c>
      <c r="D855" t="s">
        <v>3906</v>
      </c>
      <c r="E855" t="s">
        <v>61</v>
      </c>
      <c r="F855" t="s">
        <v>108</v>
      </c>
      <c r="G855" t="s">
        <v>62</v>
      </c>
      <c r="H855" t="s">
        <v>339</v>
      </c>
      <c r="I855" t="s">
        <v>340</v>
      </c>
      <c r="J855" t="s">
        <v>86</v>
      </c>
      <c r="K855" t="s">
        <v>87</v>
      </c>
      <c r="L855" t="s">
        <v>3907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  <c r="V855" s="1" t="s">
        <v>61</v>
      </c>
      <c r="W855" s="1" t="s">
        <v>108</v>
      </c>
      <c r="X855" s="1" t="s">
        <v>62</v>
      </c>
      <c r="Y855" s="1" t="s">
        <v>339</v>
      </c>
      <c r="Z855" s="1" t="s">
        <v>340</v>
      </c>
      <c r="AA855" s="1" t="s">
        <v>86</v>
      </c>
      <c r="AB855" s="1" t="s">
        <v>87</v>
      </c>
      <c r="AC855" s="1" t="s">
        <v>48</v>
      </c>
      <c r="AD855" s="1" t="s">
        <v>34</v>
      </c>
      <c r="AE855" s="1" t="s">
        <v>35</v>
      </c>
      <c r="AF855" s="5">
        <f t="shared" si="52"/>
        <v>45793</v>
      </c>
      <c r="AG855" s="5">
        <f t="shared" si="52"/>
        <v>45799</v>
      </c>
      <c r="AH855" s="5" t="b">
        <f t="shared" si="53"/>
        <v>1</v>
      </c>
      <c r="AI855" s="5" t="b">
        <f t="shared" si="53"/>
        <v>1</v>
      </c>
      <c r="AJ855" t="str">
        <f t="shared" si="54"/>
        <v>OK</v>
      </c>
      <c r="AK855">
        <f t="shared" si="55"/>
        <v>6</v>
      </c>
    </row>
    <row r="856" spans="1:37">
      <c r="A856" t="s">
        <v>3908</v>
      </c>
      <c r="B856" t="s">
        <v>3909</v>
      </c>
      <c r="C856" t="s">
        <v>3910</v>
      </c>
      <c r="D856" t="s">
        <v>3911</v>
      </c>
      <c r="E856" t="s">
        <v>142</v>
      </c>
      <c r="F856" t="s">
        <v>26</v>
      </c>
      <c r="G856" t="s">
        <v>62</v>
      </c>
      <c r="H856" t="s">
        <v>229</v>
      </c>
      <c r="I856" t="s">
        <v>230</v>
      </c>
      <c r="J856" t="s">
        <v>45</v>
      </c>
      <c r="K856" t="s">
        <v>204</v>
      </c>
      <c r="L856" t="s">
        <v>3912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  <c r="V856" s="1" t="s">
        <v>142</v>
      </c>
      <c r="W856" s="1" t="s">
        <v>26</v>
      </c>
      <c r="X856" s="1" t="s">
        <v>62</v>
      </c>
      <c r="Y856" s="1" t="s">
        <v>229</v>
      </c>
      <c r="Z856" s="1" t="s">
        <v>230</v>
      </c>
      <c r="AA856" s="1" t="s">
        <v>45</v>
      </c>
      <c r="AB856" s="1" t="s">
        <v>204</v>
      </c>
      <c r="AC856" s="1" t="s">
        <v>33</v>
      </c>
      <c r="AD856" s="1" t="s">
        <v>34</v>
      </c>
      <c r="AE856" s="1" t="s">
        <v>35</v>
      </c>
      <c r="AF856" s="5">
        <f t="shared" si="52"/>
        <v>45741</v>
      </c>
      <c r="AG856" s="5">
        <f t="shared" si="52"/>
        <v>45749</v>
      </c>
      <c r="AH856" s="5" t="b">
        <f t="shared" si="53"/>
        <v>1</v>
      </c>
      <c r="AI856" s="5" t="b">
        <f t="shared" si="53"/>
        <v>1</v>
      </c>
      <c r="AJ856" t="str">
        <f t="shared" si="54"/>
        <v>OK</v>
      </c>
      <c r="AK856">
        <f t="shared" si="55"/>
        <v>8</v>
      </c>
    </row>
    <row r="857" spans="1:37">
      <c r="A857" t="s">
        <v>3913</v>
      </c>
      <c r="B857" t="s">
        <v>738</v>
      </c>
      <c r="C857" t="s">
        <v>3914</v>
      </c>
      <c r="D857" t="s">
        <v>1716</v>
      </c>
      <c r="E857" t="s">
        <v>148</v>
      </c>
      <c r="F857" t="s">
        <v>26</v>
      </c>
      <c r="G857" t="s">
        <v>27</v>
      </c>
      <c r="H857" t="s">
        <v>28</v>
      </c>
      <c r="I857" t="s">
        <v>29</v>
      </c>
      <c r="J857" t="s">
        <v>30</v>
      </c>
      <c r="K857" t="s">
        <v>3915</v>
      </c>
      <c r="L857" t="s">
        <v>3916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  <c r="V857" s="1" t="s">
        <v>148</v>
      </c>
      <c r="W857" s="1" t="s">
        <v>26</v>
      </c>
      <c r="X857" s="1" t="s">
        <v>27</v>
      </c>
      <c r="Y857" s="1" t="s">
        <v>28</v>
      </c>
      <c r="Z857" s="1" t="s">
        <v>29</v>
      </c>
      <c r="AA857" s="1" t="s">
        <v>30</v>
      </c>
      <c r="AB857" s="1" t="s">
        <v>109</v>
      </c>
      <c r="AC857" s="1" t="s">
        <v>33</v>
      </c>
      <c r="AD857" s="1" t="s">
        <v>34</v>
      </c>
      <c r="AE857" s="1" t="s">
        <v>35</v>
      </c>
      <c r="AF857" s="5" t="e">
        <f t="shared" si="52"/>
        <v>#N/A</v>
      </c>
      <c r="AG857" s="5">
        <f t="shared" si="52"/>
        <v>45506</v>
      </c>
      <c r="AH857" s="5" t="b">
        <f t="shared" si="53"/>
        <v>0</v>
      </c>
      <c r="AI857" s="5" t="b">
        <f t="shared" si="53"/>
        <v>1</v>
      </c>
      <c r="AJ857" t="e">
        <f t="shared" si="54"/>
        <v>#N/A</v>
      </c>
      <c r="AK857" t="e">
        <f t="shared" si="55"/>
        <v>#N/A</v>
      </c>
    </row>
    <row r="858" spans="1:37">
      <c r="A858" t="s">
        <v>3917</v>
      </c>
      <c r="B858" t="s">
        <v>3918</v>
      </c>
      <c r="C858" t="s">
        <v>690</v>
      </c>
      <c r="D858" t="s">
        <v>1979</v>
      </c>
      <c r="E858" t="s">
        <v>180</v>
      </c>
      <c r="F858" t="s">
        <v>115</v>
      </c>
      <c r="G858" t="s">
        <v>62</v>
      </c>
      <c r="H858" t="s">
        <v>339</v>
      </c>
      <c r="I858" t="s">
        <v>340</v>
      </c>
      <c r="J858" t="s">
        <v>30</v>
      </c>
      <c r="K858" t="s">
        <v>156</v>
      </c>
      <c r="L858" t="s">
        <v>3919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200</v>
      </c>
      <c r="U858" t="s">
        <v>78</v>
      </c>
      <c r="V858" s="1" t="s">
        <v>180</v>
      </c>
      <c r="W858" s="1" t="s">
        <v>115</v>
      </c>
      <c r="X858" s="1" t="s">
        <v>62</v>
      </c>
      <c r="Y858" s="1" t="s">
        <v>339</v>
      </c>
      <c r="Z858" s="1" t="s">
        <v>340</v>
      </c>
      <c r="AA858" s="1" t="s">
        <v>30</v>
      </c>
      <c r="AB858" s="1" t="s">
        <v>156</v>
      </c>
      <c r="AC858" s="1" t="s">
        <v>67</v>
      </c>
      <c r="AD858" s="1" t="s">
        <v>200</v>
      </c>
      <c r="AE858" s="1" t="s">
        <v>78</v>
      </c>
      <c r="AF858" s="5">
        <f t="shared" si="52"/>
        <v>45455</v>
      </c>
      <c r="AG858" s="5">
        <f t="shared" si="52"/>
        <v>45462</v>
      </c>
      <c r="AH858" s="5" t="b">
        <f t="shared" si="53"/>
        <v>1</v>
      </c>
      <c r="AI858" s="5" t="b">
        <f t="shared" si="53"/>
        <v>1</v>
      </c>
      <c r="AJ858" t="str">
        <f t="shared" si="54"/>
        <v>OK</v>
      </c>
      <c r="AK858">
        <f t="shared" si="55"/>
        <v>7</v>
      </c>
    </row>
    <row r="859" spans="1:37">
      <c r="A859" t="s">
        <v>3920</v>
      </c>
      <c r="B859" t="s">
        <v>3921</v>
      </c>
      <c r="C859" t="s">
        <v>3922</v>
      </c>
      <c r="D859" t="s">
        <v>3235</v>
      </c>
      <c r="E859" t="s">
        <v>168</v>
      </c>
      <c r="F859" t="s">
        <v>115</v>
      </c>
      <c r="G859" t="s">
        <v>62</v>
      </c>
      <c r="H859" t="s">
        <v>242</v>
      </c>
      <c r="I859" t="s">
        <v>243</v>
      </c>
      <c r="J859" t="s">
        <v>30</v>
      </c>
      <c r="K859" t="s">
        <v>156</v>
      </c>
      <c r="L859" t="s">
        <v>3923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  <c r="V859" s="1" t="s">
        <v>168</v>
      </c>
      <c r="W859" s="1" t="s">
        <v>115</v>
      </c>
      <c r="X859" s="1" t="s">
        <v>62</v>
      </c>
      <c r="Y859" s="1" t="s">
        <v>242</v>
      </c>
      <c r="Z859" s="1" t="s">
        <v>243</v>
      </c>
      <c r="AA859" s="1" t="s">
        <v>30</v>
      </c>
      <c r="AB859" s="1" t="s">
        <v>156</v>
      </c>
      <c r="AC859" s="1" t="s">
        <v>56</v>
      </c>
      <c r="AD859" s="1" t="s">
        <v>34</v>
      </c>
      <c r="AE859" s="1" t="s">
        <v>35</v>
      </c>
      <c r="AF859" s="5">
        <f t="shared" si="52"/>
        <v>45447</v>
      </c>
      <c r="AG859" s="5">
        <f t="shared" si="52"/>
        <v>45388</v>
      </c>
      <c r="AH859" s="5" t="b">
        <f t="shared" si="53"/>
        <v>1</v>
      </c>
      <c r="AI859" s="5" t="b">
        <f t="shared" si="53"/>
        <v>1</v>
      </c>
      <c r="AJ859" t="str">
        <f t="shared" si="54"/>
        <v>Invalid: Ship before Order</v>
      </c>
      <c r="AK859" t="e">
        <f t="shared" si="55"/>
        <v>#NUM!</v>
      </c>
    </row>
    <row r="860" spans="1:37">
      <c r="A860" t="s">
        <v>3924</v>
      </c>
      <c r="B860" t="s">
        <v>1225</v>
      </c>
      <c r="C860" t="s">
        <v>1294</v>
      </c>
      <c r="D860" t="s">
        <v>3925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3926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  <c r="V860" s="1" t="s">
        <v>61</v>
      </c>
      <c r="W860" s="1" t="s">
        <v>26</v>
      </c>
      <c r="X860" s="1" t="s">
        <v>42</v>
      </c>
      <c r="Y860" s="1" t="s">
        <v>43</v>
      </c>
      <c r="Z860" s="1" t="s">
        <v>44</v>
      </c>
      <c r="AA860" s="1" t="s">
        <v>86</v>
      </c>
      <c r="AB860" s="1" t="s">
        <v>87</v>
      </c>
      <c r="AC860" s="1" t="s">
        <v>33</v>
      </c>
      <c r="AD860" s="1" t="s">
        <v>34</v>
      </c>
      <c r="AE860" s="1" t="s">
        <v>35</v>
      </c>
      <c r="AF860" s="5">
        <f t="shared" si="52"/>
        <v>45414</v>
      </c>
      <c r="AG860" s="5">
        <f t="shared" si="52"/>
        <v>45421</v>
      </c>
      <c r="AH860" s="5" t="b">
        <f t="shared" si="53"/>
        <v>1</v>
      </c>
      <c r="AI860" s="5" t="b">
        <f t="shared" si="53"/>
        <v>1</v>
      </c>
      <c r="AJ860" t="str">
        <f t="shared" si="54"/>
        <v>OK</v>
      </c>
      <c r="AK860">
        <f t="shared" si="55"/>
        <v>7</v>
      </c>
    </row>
    <row r="861" spans="1:37">
      <c r="A861" t="s">
        <v>3927</v>
      </c>
      <c r="B861" t="s">
        <v>3505</v>
      </c>
      <c r="C861" t="s">
        <v>3928</v>
      </c>
      <c r="D861" t="s">
        <v>3929</v>
      </c>
      <c r="E861" t="s">
        <v>107</v>
      </c>
      <c r="F861" t="s">
        <v>108</v>
      </c>
      <c r="G861" t="s">
        <v>62</v>
      </c>
      <c r="H861" t="s">
        <v>339</v>
      </c>
      <c r="I861" t="s">
        <v>340</v>
      </c>
      <c r="J861" t="s">
        <v>86</v>
      </c>
      <c r="K861" t="s">
        <v>223</v>
      </c>
      <c r="L861" t="s">
        <v>3930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  <c r="V861" s="1" t="s">
        <v>107</v>
      </c>
      <c r="W861" s="1" t="s">
        <v>108</v>
      </c>
      <c r="X861" s="1" t="s">
        <v>62</v>
      </c>
      <c r="Y861" s="1" t="s">
        <v>339</v>
      </c>
      <c r="Z861" s="1" t="s">
        <v>340</v>
      </c>
      <c r="AA861" s="1" t="s">
        <v>86</v>
      </c>
      <c r="AB861" s="1" t="s">
        <v>223</v>
      </c>
      <c r="AC861" s="1" t="s">
        <v>67</v>
      </c>
      <c r="AD861" s="1" t="s">
        <v>34</v>
      </c>
      <c r="AE861" s="1" t="s">
        <v>35</v>
      </c>
      <c r="AF861" s="5">
        <f t="shared" si="52"/>
        <v>45592</v>
      </c>
      <c r="AG861" s="5">
        <f t="shared" si="52"/>
        <v>45597</v>
      </c>
      <c r="AH861" s="5" t="b">
        <f t="shared" si="53"/>
        <v>1</v>
      </c>
      <c r="AI861" s="5" t="b">
        <f t="shared" si="53"/>
        <v>1</v>
      </c>
      <c r="AJ861" t="str">
        <f t="shared" si="54"/>
        <v>OK</v>
      </c>
      <c r="AK861">
        <f t="shared" si="55"/>
        <v>5</v>
      </c>
    </row>
    <row r="862" spans="1:37">
      <c r="A862" t="s">
        <v>3931</v>
      </c>
      <c r="B862" t="s">
        <v>743</v>
      </c>
      <c r="C862" t="s">
        <v>3932</v>
      </c>
      <c r="D862" t="s">
        <v>3933</v>
      </c>
      <c r="E862" t="s">
        <v>83</v>
      </c>
      <c r="F862" t="s">
        <v>115</v>
      </c>
      <c r="G862" t="s">
        <v>27</v>
      </c>
      <c r="H862" t="s">
        <v>174</v>
      </c>
      <c r="I862" t="s">
        <v>175</v>
      </c>
      <c r="J862" t="s">
        <v>30</v>
      </c>
      <c r="K862" t="s">
        <v>156</v>
      </c>
      <c r="L862" t="s">
        <v>3934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  <c r="V862" s="1" t="s">
        <v>83</v>
      </c>
      <c r="W862" s="1" t="s">
        <v>115</v>
      </c>
      <c r="X862" s="1" t="s">
        <v>27</v>
      </c>
      <c r="Y862" s="1" t="s">
        <v>174</v>
      </c>
      <c r="Z862" s="1" t="s">
        <v>175</v>
      </c>
      <c r="AA862" s="1" t="s">
        <v>30</v>
      </c>
      <c r="AB862" s="1" t="s">
        <v>156</v>
      </c>
      <c r="AC862" s="1" t="s">
        <v>33</v>
      </c>
      <c r="AD862" s="1" t="s">
        <v>34</v>
      </c>
      <c r="AE862" s="1" t="s">
        <v>35</v>
      </c>
      <c r="AF862" s="5">
        <f t="shared" si="52"/>
        <v>45324</v>
      </c>
      <c r="AG862" s="5">
        <f t="shared" si="52"/>
        <v>45326</v>
      </c>
      <c r="AH862" s="5" t="b">
        <f t="shared" si="53"/>
        <v>1</v>
      </c>
      <c r="AI862" s="5" t="b">
        <f t="shared" si="53"/>
        <v>1</v>
      </c>
      <c r="AJ862" t="str">
        <f t="shared" si="54"/>
        <v>OK</v>
      </c>
      <c r="AK862">
        <f t="shared" si="55"/>
        <v>2</v>
      </c>
    </row>
    <row r="863" spans="1:37">
      <c r="A863" t="s">
        <v>3935</v>
      </c>
      <c r="B863" t="s">
        <v>3936</v>
      </c>
      <c r="C863" t="s">
        <v>3937</v>
      </c>
      <c r="D863" t="s">
        <v>3938</v>
      </c>
      <c r="E863" t="s">
        <v>142</v>
      </c>
      <c r="F863" t="s">
        <v>115</v>
      </c>
      <c r="G863" t="s">
        <v>27</v>
      </c>
      <c r="H863" t="s">
        <v>506</v>
      </c>
      <c r="I863" t="s">
        <v>507</v>
      </c>
      <c r="J863" t="s">
        <v>45</v>
      </c>
      <c r="K863" t="s">
        <v>65</v>
      </c>
      <c r="L863" t="s">
        <v>3939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  <c r="V863" s="1" t="s">
        <v>142</v>
      </c>
      <c r="W863" s="1" t="s">
        <v>115</v>
      </c>
      <c r="X863" s="1" t="s">
        <v>27</v>
      </c>
      <c r="Y863" s="1" t="s">
        <v>506</v>
      </c>
      <c r="Z863" s="1" t="s">
        <v>507</v>
      </c>
      <c r="AA863" s="1" t="s">
        <v>45</v>
      </c>
      <c r="AB863" s="1" t="s">
        <v>65</v>
      </c>
      <c r="AC863" s="1" t="s">
        <v>48</v>
      </c>
      <c r="AD863" s="1" t="s">
        <v>34</v>
      </c>
      <c r="AE863" s="1" t="s">
        <v>35</v>
      </c>
      <c r="AF863" s="5">
        <f t="shared" si="52"/>
        <v>45724</v>
      </c>
      <c r="AG863" s="5">
        <f t="shared" si="52"/>
        <v>45725</v>
      </c>
      <c r="AH863" s="5" t="b">
        <f t="shared" si="53"/>
        <v>1</v>
      </c>
      <c r="AI863" s="5" t="b">
        <f t="shared" si="53"/>
        <v>1</v>
      </c>
      <c r="AJ863" t="str">
        <f t="shared" si="54"/>
        <v>OK</v>
      </c>
      <c r="AK863">
        <f t="shared" si="55"/>
        <v>1</v>
      </c>
    </row>
    <row r="864" spans="1:37">
      <c r="A864" t="s">
        <v>3940</v>
      </c>
      <c r="B864" t="s">
        <v>3315</v>
      </c>
      <c r="C864" t="s">
        <v>3941</v>
      </c>
      <c r="D864" t="s">
        <v>3942</v>
      </c>
      <c r="E864" t="s">
        <v>142</v>
      </c>
      <c r="F864" t="s">
        <v>41</v>
      </c>
      <c r="G864" t="s">
        <v>42</v>
      </c>
      <c r="H864" t="s">
        <v>311</v>
      </c>
      <c r="I864" t="s">
        <v>312</v>
      </c>
      <c r="J864" t="s">
        <v>30</v>
      </c>
      <c r="K864" t="s">
        <v>198</v>
      </c>
      <c r="L864" t="s">
        <v>3943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  <c r="V864" s="1" t="s">
        <v>142</v>
      </c>
      <c r="W864" s="1" t="s">
        <v>41</v>
      </c>
      <c r="X864" s="1" t="s">
        <v>42</v>
      </c>
      <c r="Y864" s="1" t="s">
        <v>311</v>
      </c>
      <c r="Z864" s="1" t="s">
        <v>312</v>
      </c>
      <c r="AA864" s="1" t="s">
        <v>30</v>
      </c>
      <c r="AB864" s="1" t="s">
        <v>198</v>
      </c>
      <c r="AC864" s="1" t="s">
        <v>56</v>
      </c>
      <c r="AD864" s="1" t="s">
        <v>34</v>
      </c>
      <c r="AE864" s="1" t="s">
        <v>78</v>
      </c>
      <c r="AF864" s="5">
        <f t="shared" si="52"/>
        <v>45742</v>
      </c>
      <c r="AG864" s="5" t="e">
        <f t="shared" si="52"/>
        <v>#N/A</v>
      </c>
      <c r="AH864" s="5" t="b">
        <f t="shared" si="53"/>
        <v>1</v>
      </c>
      <c r="AI864" s="5" t="b">
        <f t="shared" si="53"/>
        <v>0</v>
      </c>
      <c r="AJ864" t="e">
        <f t="shared" si="54"/>
        <v>#N/A</v>
      </c>
      <c r="AK864" t="e">
        <f t="shared" si="55"/>
        <v>#N/A</v>
      </c>
    </row>
    <row r="865" spans="1:37">
      <c r="A865" t="s">
        <v>3944</v>
      </c>
      <c r="B865" t="s">
        <v>3945</v>
      </c>
      <c r="C865" t="s">
        <v>2732</v>
      </c>
      <c r="D865" t="s">
        <v>3946</v>
      </c>
      <c r="E865" t="s">
        <v>162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3947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  <c r="V865" s="1" t="s">
        <v>162</v>
      </c>
      <c r="W865" s="1" t="s">
        <v>115</v>
      </c>
      <c r="X865" s="1" t="s">
        <v>73</v>
      </c>
      <c r="Y865" s="1" t="s">
        <v>84</v>
      </c>
      <c r="Z865" s="1" t="s">
        <v>85</v>
      </c>
      <c r="AA865" s="1" t="s">
        <v>45</v>
      </c>
      <c r="AB865" s="1" t="s">
        <v>65</v>
      </c>
      <c r="AC865" s="1" t="s">
        <v>48</v>
      </c>
      <c r="AD865" s="1" t="s">
        <v>34</v>
      </c>
      <c r="AE865" s="1" t="s">
        <v>35</v>
      </c>
      <c r="AF865" s="5">
        <f t="shared" si="52"/>
        <v>45906</v>
      </c>
      <c r="AG865" s="5">
        <f t="shared" si="52"/>
        <v>45908</v>
      </c>
      <c r="AH865" s="5" t="b">
        <f t="shared" si="53"/>
        <v>1</v>
      </c>
      <c r="AI865" s="5" t="b">
        <f t="shared" si="53"/>
        <v>1</v>
      </c>
      <c r="AJ865" t="str">
        <f t="shared" si="54"/>
        <v>OK</v>
      </c>
      <c r="AK865">
        <f t="shared" si="55"/>
        <v>2</v>
      </c>
    </row>
    <row r="866" spans="1:37">
      <c r="A866" t="s">
        <v>3948</v>
      </c>
      <c r="B866" t="s">
        <v>3949</v>
      </c>
      <c r="C866" t="s">
        <v>572</v>
      </c>
      <c r="D866" t="s">
        <v>3950</v>
      </c>
      <c r="E866" t="s">
        <v>83</v>
      </c>
      <c r="F866" t="s">
        <v>26</v>
      </c>
      <c r="G866" t="s">
        <v>62</v>
      </c>
      <c r="H866" t="s">
        <v>339</v>
      </c>
      <c r="I866" t="s">
        <v>340</v>
      </c>
      <c r="J866" t="s">
        <v>86</v>
      </c>
      <c r="K866" t="s">
        <v>223</v>
      </c>
      <c r="L866" t="s">
        <v>3951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  <c r="V866" s="1" t="s">
        <v>83</v>
      </c>
      <c r="W866" s="1" t="s">
        <v>26</v>
      </c>
      <c r="X866" s="1" t="s">
        <v>62</v>
      </c>
      <c r="Y866" s="1" t="s">
        <v>339</v>
      </c>
      <c r="Z866" s="1" t="s">
        <v>340</v>
      </c>
      <c r="AA866" s="1" t="s">
        <v>86</v>
      </c>
      <c r="AB866" s="1" t="s">
        <v>223</v>
      </c>
      <c r="AC866" s="1" t="s">
        <v>56</v>
      </c>
      <c r="AD866" s="1" t="s">
        <v>34</v>
      </c>
      <c r="AE866" s="1" t="s">
        <v>35</v>
      </c>
      <c r="AF866" s="5">
        <f t="shared" si="52"/>
        <v>45902</v>
      </c>
      <c r="AG866" s="5">
        <f t="shared" si="52"/>
        <v>45786</v>
      </c>
      <c r="AH866" s="5" t="b">
        <f t="shared" si="53"/>
        <v>1</v>
      </c>
      <c r="AI866" s="5" t="b">
        <f t="shared" si="53"/>
        <v>1</v>
      </c>
      <c r="AJ866" t="str">
        <f t="shared" si="54"/>
        <v>Invalid: Ship before Order</v>
      </c>
      <c r="AK866" t="e">
        <f t="shared" si="55"/>
        <v>#NUM!</v>
      </c>
    </row>
    <row r="867" spans="1:37">
      <c r="A867" t="s">
        <v>3952</v>
      </c>
      <c r="B867" t="s">
        <v>3766</v>
      </c>
      <c r="C867" t="s">
        <v>1920</v>
      </c>
      <c r="D867" t="s">
        <v>3953</v>
      </c>
      <c r="E867" t="s">
        <v>366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3954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  <c r="V867" s="1" t="s">
        <v>366</v>
      </c>
      <c r="W867" s="1" t="s">
        <v>26</v>
      </c>
      <c r="X867" s="1" t="s">
        <v>73</v>
      </c>
      <c r="Y867" s="1" t="s">
        <v>74</v>
      </c>
      <c r="Z867" s="1" t="s">
        <v>75</v>
      </c>
      <c r="AA867" s="1" t="s">
        <v>30</v>
      </c>
      <c r="AB867" s="1" t="s">
        <v>109</v>
      </c>
      <c r="AC867" s="1" t="s">
        <v>33</v>
      </c>
      <c r="AD867" s="1" t="s">
        <v>34</v>
      </c>
      <c r="AE867" s="1" t="s">
        <v>35</v>
      </c>
      <c r="AF867" s="5">
        <f t="shared" si="52"/>
        <v>45810</v>
      </c>
      <c r="AG867" s="5" t="e">
        <f t="shared" si="52"/>
        <v>#N/A</v>
      </c>
      <c r="AH867" s="5" t="b">
        <f t="shared" si="53"/>
        <v>1</v>
      </c>
      <c r="AI867" s="5" t="b">
        <f t="shared" si="53"/>
        <v>0</v>
      </c>
      <c r="AJ867" t="e">
        <f t="shared" si="54"/>
        <v>#N/A</v>
      </c>
      <c r="AK867" t="e">
        <f t="shared" si="55"/>
        <v>#N/A</v>
      </c>
    </row>
    <row r="868" spans="1:37">
      <c r="A868" t="s">
        <v>3955</v>
      </c>
      <c r="B868" t="s">
        <v>1186</v>
      </c>
      <c r="C868" t="s">
        <v>3956</v>
      </c>
      <c r="D868" t="s">
        <v>3957</v>
      </c>
      <c r="E868" t="s">
        <v>142</v>
      </c>
      <c r="F868" t="s">
        <v>26</v>
      </c>
      <c r="G868" t="s">
        <v>42</v>
      </c>
      <c r="H868" t="s">
        <v>186</v>
      </c>
      <c r="I868" t="s">
        <v>187</v>
      </c>
      <c r="J868" t="s">
        <v>45</v>
      </c>
      <c r="K868" t="s">
        <v>204</v>
      </c>
      <c r="L868" t="s">
        <v>3958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137</v>
      </c>
      <c r="U868" t="s">
        <v>78</v>
      </c>
      <c r="V868" s="1" t="s">
        <v>142</v>
      </c>
      <c r="W868" s="1" t="s">
        <v>26</v>
      </c>
      <c r="X868" s="1" t="s">
        <v>42</v>
      </c>
      <c r="Y868" s="1" t="s">
        <v>186</v>
      </c>
      <c r="Z868" s="1" t="s">
        <v>187</v>
      </c>
      <c r="AA868" s="1" t="s">
        <v>45</v>
      </c>
      <c r="AB868" s="1" t="s">
        <v>204</v>
      </c>
      <c r="AC868" s="1" t="s">
        <v>56</v>
      </c>
      <c r="AD868" s="1" t="s">
        <v>137</v>
      </c>
      <c r="AE868" s="1" t="s">
        <v>78</v>
      </c>
      <c r="AF868" s="5">
        <f t="shared" si="52"/>
        <v>45714</v>
      </c>
      <c r="AG868" s="5">
        <f t="shared" si="52"/>
        <v>45722</v>
      </c>
      <c r="AH868" s="5" t="b">
        <f t="shared" si="53"/>
        <v>1</v>
      </c>
      <c r="AI868" s="5" t="b">
        <f t="shared" si="53"/>
        <v>1</v>
      </c>
      <c r="AJ868" t="str">
        <f t="shared" si="54"/>
        <v>OK</v>
      </c>
      <c r="AK868">
        <f t="shared" si="55"/>
        <v>8</v>
      </c>
    </row>
    <row r="869" spans="1:37">
      <c r="A869" t="s">
        <v>3959</v>
      </c>
      <c r="B869" t="s">
        <v>3960</v>
      </c>
      <c r="C869" t="s">
        <v>3961</v>
      </c>
      <c r="D869" t="s">
        <v>3962</v>
      </c>
      <c r="E869" t="s">
        <v>148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3963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200</v>
      </c>
      <c r="U869" t="s">
        <v>78</v>
      </c>
      <c r="V869" s="1" t="s">
        <v>148</v>
      </c>
      <c r="W869" s="1" t="s">
        <v>115</v>
      </c>
      <c r="X869" s="1" t="s">
        <v>62</v>
      </c>
      <c r="Y869" s="1" t="s">
        <v>100</v>
      </c>
      <c r="Z869" s="1" t="s">
        <v>101</v>
      </c>
      <c r="AA869" s="1" t="s">
        <v>86</v>
      </c>
      <c r="AB869" s="1" t="s">
        <v>87</v>
      </c>
      <c r="AC869" s="1" t="s">
        <v>48</v>
      </c>
      <c r="AD869" s="1" t="s">
        <v>200</v>
      </c>
      <c r="AE869" s="1" t="s">
        <v>78</v>
      </c>
      <c r="AF869" s="5">
        <f t="shared" si="52"/>
        <v>45617</v>
      </c>
      <c r="AG869" s="5">
        <f t="shared" si="52"/>
        <v>45618</v>
      </c>
      <c r="AH869" s="5" t="b">
        <f t="shared" si="53"/>
        <v>1</v>
      </c>
      <c r="AI869" s="5" t="b">
        <f t="shared" si="53"/>
        <v>1</v>
      </c>
      <c r="AJ869" t="str">
        <f t="shared" si="54"/>
        <v>OK</v>
      </c>
      <c r="AK869">
        <f t="shared" si="55"/>
        <v>1</v>
      </c>
    </row>
    <row r="870" spans="1:37">
      <c r="A870" t="s">
        <v>3964</v>
      </c>
      <c r="B870" t="s">
        <v>814</v>
      </c>
      <c r="C870" t="s">
        <v>2143</v>
      </c>
      <c r="D870" t="s">
        <v>3965</v>
      </c>
      <c r="E870" t="s">
        <v>83</v>
      </c>
      <c r="F870" t="s">
        <v>115</v>
      </c>
      <c r="G870" t="s">
        <v>62</v>
      </c>
      <c r="H870" t="s">
        <v>229</v>
      </c>
      <c r="I870" t="s">
        <v>230</v>
      </c>
      <c r="J870" t="s">
        <v>30</v>
      </c>
      <c r="K870" t="s">
        <v>156</v>
      </c>
      <c r="L870" t="s">
        <v>3966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  <c r="V870" s="1" t="s">
        <v>83</v>
      </c>
      <c r="W870" s="1" t="s">
        <v>115</v>
      </c>
      <c r="X870" s="1" t="s">
        <v>62</v>
      </c>
      <c r="Y870" s="1" t="s">
        <v>229</v>
      </c>
      <c r="Z870" s="1" t="s">
        <v>230</v>
      </c>
      <c r="AA870" s="1" t="s">
        <v>30</v>
      </c>
      <c r="AB870" s="1" t="s">
        <v>156</v>
      </c>
      <c r="AC870" s="1" t="s">
        <v>48</v>
      </c>
      <c r="AD870" s="1" t="s">
        <v>34</v>
      </c>
      <c r="AE870" s="1" t="s">
        <v>35</v>
      </c>
      <c r="AF870" s="5">
        <f t="shared" si="52"/>
        <v>45965</v>
      </c>
      <c r="AG870" s="5">
        <f t="shared" si="52"/>
        <v>45762</v>
      </c>
      <c r="AH870" s="5" t="b">
        <f t="shared" si="53"/>
        <v>1</v>
      </c>
      <c r="AI870" s="5" t="b">
        <f t="shared" si="53"/>
        <v>1</v>
      </c>
      <c r="AJ870" t="str">
        <f t="shared" si="54"/>
        <v>Invalid: Ship before Order</v>
      </c>
      <c r="AK870" t="e">
        <f t="shared" si="55"/>
        <v>#NUM!</v>
      </c>
    </row>
    <row r="871" spans="1:37">
      <c r="A871" t="s">
        <v>3967</v>
      </c>
      <c r="B871" t="s">
        <v>3968</v>
      </c>
      <c r="C871" t="s">
        <v>787</v>
      </c>
      <c r="D871" t="s">
        <v>3969</v>
      </c>
      <c r="E871" t="s">
        <v>180</v>
      </c>
      <c r="F871" t="s">
        <v>115</v>
      </c>
      <c r="H871" t="s">
        <v>506</v>
      </c>
      <c r="I871" t="s">
        <v>507</v>
      </c>
      <c r="J871" t="s">
        <v>45</v>
      </c>
      <c r="K871" t="s">
        <v>76</v>
      </c>
      <c r="L871" t="s">
        <v>1752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  <c r="V871" s="1" t="s">
        <v>180</v>
      </c>
      <c r="W871" s="1" t="s">
        <v>115</v>
      </c>
      <c r="X871" s="1" t="s">
        <v>4119</v>
      </c>
      <c r="Y871" s="1" t="s">
        <v>506</v>
      </c>
      <c r="Z871" s="1" t="s">
        <v>507</v>
      </c>
      <c r="AA871" s="1" t="s">
        <v>45</v>
      </c>
      <c r="AB871" s="1" t="s">
        <v>76</v>
      </c>
      <c r="AC871" s="1" t="s">
        <v>48</v>
      </c>
      <c r="AD871" s="1" t="s">
        <v>34</v>
      </c>
      <c r="AE871" s="1" t="s">
        <v>35</v>
      </c>
      <c r="AF871" s="5">
        <f t="shared" si="52"/>
        <v>45722</v>
      </c>
      <c r="AG871" s="5">
        <f t="shared" si="52"/>
        <v>45841</v>
      </c>
      <c r="AH871" s="5" t="b">
        <f t="shared" si="53"/>
        <v>1</v>
      </c>
      <c r="AI871" s="5" t="b">
        <f t="shared" si="53"/>
        <v>1</v>
      </c>
      <c r="AJ871" t="str">
        <f t="shared" si="54"/>
        <v>OK</v>
      </c>
      <c r="AK871">
        <f t="shared" si="55"/>
        <v>119</v>
      </c>
    </row>
    <row r="872" spans="1:37">
      <c r="A872" t="s">
        <v>3970</v>
      </c>
      <c r="B872" t="s">
        <v>3971</v>
      </c>
      <c r="C872" t="s">
        <v>3972</v>
      </c>
      <c r="D872" t="s">
        <v>3973</v>
      </c>
      <c r="E872" t="s">
        <v>83</v>
      </c>
      <c r="F872" t="s">
        <v>108</v>
      </c>
      <c r="G872" t="s">
        <v>73</v>
      </c>
      <c r="H872" t="s">
        <v>249</v>
      </c>
      <c r="I872" t="s">
        <v>250</v>
      </c>
      <c r="J872" t="s">
        <v>45</v>
      </c>
      <c r="K872" t="s">
        <v>46</v>
      </c>
      <c r="L872" t="s">
        <v>3974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  <c r="V872" s="1" t="s">
        <v>83</v>
      </c>
      <c r="W872" s="1" t="s">
        <v>108</v>
      </c>
      <c r="X872" s="1" t="s">
        <v>73</v>
      </c>
      <c r="Y872" s="1" t="s">
        <v>249</v>
      </c>
      <c r="Z872" s="1" t="s">
        <v>250</v>
      </c>
      <c r="AA872" s="1" t="s">
        <v>45</v>
      </c>
      <c r="AB872" s="1" t="s">
        <v>46</v>
      </c>
      <c r="AC872" s="1" t="s">
        <v>67</v>
      </c>
      <c r="AD872" s="1" t="s">
        <v>34</v>
      </c>
      <c r="AE872" s="1" t="s">
        <v>78</v>
      </c>
      <c r="AF872" s="5">
        <f t="shared" si="52"/>
        <v>45814</v>
      </c>
      <c r="AG872" s="5">
        <f t="shared" si="52"/>
        <v>45815</v>
      </c>
      <c r="AH872" s="5" t="b">
        <f t="shared" si="53"/>
        <v>1</v>
      </c>
      <c r="AI872" s="5" t="b">
        <f t="shared" si="53"/>
        <v>1</v>
      </c>
      <c r="AJ872" t="str">
        <f t="shared" si="54"/>
        <v>OK</v>
      </c>
      <c r="AK872">
        <f t="shared" si="55"/>
        <v>1</v>
      </c>
    </row>
    <row r="873" spans="1:37">
      <c r="A873" t="s">
        <v>3975</v>
      </c>
      <c r="B873" t="s">
        <v>3976</v>
      </c>
      <c r="C873" t="s">
        <v>2830</v>
      </c>
      <c r="D873" t="s">
        <v>3795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3977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  <c r="V873" s="1" t="s">
        <v>93</v>
      </c>
      <c r="W873" s="1" t="s">
        <v>41</v>
      </c>
      <c r="X873" s="1" t="s">
        <v>62</v>
      </c>
      <c r="Y873" s="1" t="s">
        <v>63</v>
      </c>
      <c r="Z873" s="1" t="s">
        <v>64</v>
      </c>
      <c r="AA873" s="1" t="s">
        <v>86</v>
      </c>
      <c r="AB873" s="1" t="s">
        <v>87</v>
      </c>
      <c r="AC873" s="1" t="s">
        <v>56</v>
      </c>
      <c r="AD873" s="1" t="s">
        <v>124</v>
      </c>
      <c r="AE873" s="1" t="s">
        <v>78</v>
      </c>
      <c r="AF873" s="5">
        <f t="shared" si="52"/>
        <v>45342</v>
      </c>
      <c r="AG873" s="5">
        <f t="shared" si="52"/>
        <v>45344</v>
      </c>
      <c r="AH873" s="5" t="b">
        <f t="shared" si="53"/>
        <v>1</v>
      </c>
      <c r="AI873" s="5" t="b">
        <f t="shared" si="53"/>
        <v>1</v>
      </c>
      <c r="AJ873" t="str">
        <f t="shared" si="54"/>
        <v>OK</v>
      </c>
      <c r="AK873">
        <f t="shared" si="55"/>
        <v>2</v>
      </c>
    </row>
    <row r="874" spans="1:37">
      <c r="A874" t="s">
        <v>3978</v>
      </c>
      <c r="B874" t="s">
        <v>3506</v>
      </c>
      <c r="C874" t="s">
        <v>3979</v>
      </c>
      <c r="D874" t="s">
        <v>2962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3980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  <c r="V874" s="1" t="s">
        <v>25</v>
      </c>
      <c r="W874" s="1" t="s">
        <v>108</v>
      </c>
      <c r="X874" s="1" t="s">
        <v>42</v>
      </c>
      <c r="Y874" s="1" t="s">
        <v>121</v>
      </c>
      <c r="Z874" s="1" t="s">
        <v>122</v>
      </c>
      <c r="AA874" s="1" t="s">
        <v>45</v>
      </c>
      <c r="AB874" s="1" t="s">
        <v>65</v>
      </c>
      <c r="AC874" s="1" t="s">
        <v>67</v>
      </c>
      <c r="AD874" s="1" t="s">
        <v>34</v>
      </c>
      <c r="AE874" s="1" t="s">
        <v>35</v>
      </c>
      <c r="AF874" s="5">
        <f t="shared" si="52"/>
        <v>45597</v>
      </c>
      <c r="AG874" s="5">
        <f t="shared" si="52"/>
        <v>45598</v>
      </c>
      <c r="AH874" s="5" t="b">
        <f t="shared" si="53"/>
        <v>1</v>
      </c>
      <c r="AI874" s="5" t="b">
        <f t="shared" si="53"/>
        <v>1</v>
      </c>
      <c r="AJ874" t="str">
        <f t="shared" si="54"/>
        <v>OK</v>
      </c>
      <c r="AK874">
        <f t="shared" si="55"/>
        <v>1</v>
      </c>
    </row>
    <row r="875" spans="1:37">
      <c r="A875" t="s">
        <v>3981</v>
      </c>
      <c r="B875" t="s">
        <v>3982</v>
      </c>
      <c r="C875" t="s">
        <v>3983</v>
      </c>
      <c r="D875" t="s">
        <v>3984</v>
      </c>
      <c r="E875" t="s">
        <v>107</v>
      </c>
      <c r="F875" t="s">
        <v>115</v>
      </c>
      <c r="G875" t="s">
        <v>73</v>
      </c>
      <c r="H875" t="s">
        <v>235</v>
      </c>
      <c r="I875" t="s">
        <v>236</v>
      </c>
      <c r="J875" t="s">
        <v>30</v>
      </c>
      <c r="K875" t="s">
        <v>156</v>
      </c>
      <c r="L875" t="s">
        <v>3985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  <c r="V875" s="1" t="s">
        <v>107</v>
      </c>
      <c r="W875" s="1" t="s">
        <v>115</v>
      </c>
      <c r="X875" s="1" t="s">
        <v>73</v>
      </c>
      <c r="Y875" s="1" t="s">
        <v>235</v>
      </c>
      <c r="Z875" s="1" t="s">
        <v>236</v>
      </c>
      <c r="AA875" s="1" t="s">
        <v>30</v>
      </c>
      <c r="AB875" s="1" t="s">
        <v>156</v>
      </c>
      <c r="AC875" s="1" t="s">
        <v>33</v>
      </c>
      <c r="AD875" s="1" t="s">
        <v>34</v>
      </c>
      <c r="AE875" s="1" t="s">
        <v>35</v>
      </c>
      <c r="AF875" s="5">
        <f t="shared" si="52"/>
        <v>45689</v>
      </c>
      <c r="AG875" s="5">
        <f t="shared" si="52"/>
        <v>45871</v>
      </c>
      <c r="AH875" s="5" t="b">
        <f t="shared" si="53"/>
        <v>1</v>
      </c>
      <c r="AI875" s="5" t="b">
        <f t="shared" si="53"/>
        <v>1</v>
      </c>
      <c r="AJ875" t="str">
        <f t="shared" si="54"/>
        <v>OK</v>
      </c>
      <c r="AK875">
        <f t="shared" si="55"/>
        <v>182</v>
      </c>
    </row>
    <row r="876" spans="1:37">
      <c r="A876" t="s">
        <v>3986</v>
      </c>
      <c r="B876" t="s">
        <v>2908</v>
      </c>
      <c r="C876" t="s">
        <v>1511</v>
      </c>
      <c r="D876" t="s">
        <v>3987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3988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  <c r="V876" s="1" t="s">
        <v>83</v>
      </c>
      <c r="W876" s="1" t="s">
        <v>41</v>
      </c>
      <c r="X876" s="1" t="s">
        <v>73</v>
      </c>
      <c r="Y876" s="1" t="s">
        <v>74</v>
      </c>
      <c r="Z876" s="1" t="s">
        <v>75</v>
      </c>
      <c r="AA876" s="1" t="s">
        <v>30</v>
      </c>
      <c r="AB876" s="1" t="s">
        <v>31</v>
      </c>
      <c r="AC876" s="1" t="s">
        <v>67</v>
      </c>
      <c r="AD876" s="1" t="s">
        <v>34</v>
      </c>
      <c r="AE876" s="1" t="s">
        <v>35</v>
      </c>
      <c r="AF876" s="5">
        <f t="shared" si="52"/>
        <v>45853</v>
      </c>
      <c r="AG876" s="5">
        <f t="shared" si="52"/>
        <v>45854</v>
      </c>
      <c r="AH876" s="5" t="b">
        <f t="shared" si="53"/>
        <v>1</v>
      </c>
      <c r="AI876" s="5" t="b">
        <f t="shared" si="53"/>
        <v>1</v>
      </c>
      <c r="AJ876" t="str">
        <f t="shared" si="54"/>
        <v>OK</v>
      </c>
      <c r="AK876">
        <f t="shared" si="55"/>
        <v>1</v>
      </c>
    </row>
    <row r="877" spans="1:37">
      <c r="A877" t="s">
        <v>3989</v>
      </c>
      <c r="B877" t="s">
        <v>3990</v>
      </c>
      <c r="C877" t="s">
        <v>3991</v>
      </c>
      <c r="D877" t="s">
        <v>3992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3993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  <c r="V877" s="1" t="s">
        <v>40</v>
      </c>
      <c r="W877" s="1" t="s">
        <v>108</v>
      </c>
      <c r="X877" s="1" t="s">
        <v>73</v>
      </c>
      <c r="Y877" s="1" t="s">
        <v>74</v>
      </c>
      <c r="Z877" s="1" t="s">
        <v>75</v>
      </c>
      <c r="AA877" s="1" t="s">
        <v>86</v>
      </c>
      <c r="AB877" s="1" t="s">
        <v>94</v>
      </c>
      <c r="AC877" s="1" t="s">
        <v>56</v>
      </c>
      <c r="AD877" s="1" t="s">
        <v>34</v>
      </c>
      <c r="AE877" s="1" t="s">
        <v>35</v>
      </c>
      <c r="AF877" s="5">
        <f t="shared" si="52"/>
        <v>45514</v>
      </c>
      <c r="AG877" s="5">
        <f t="shared" si="52"/>
        <v>45515</v>
      </c>
      <c r="AH877" s="5" t="b">
        <f t="shared" si="53"/>
        <v>1</v>
      </c>
      <c r="AI877" s="5" t="b">
        <f t="shared" si="53"/>
        <v>1</v>
      </c>
      <c r="AJ877" t="str">
        <f t="shared" si="54"/>
        <v>OK</v>
      </c>
      <c r="AK877">
        <f t="shared" si="55"/>
        <v>1</v>
      </c>
    </row>
    <row r="878" spans="1:37">
      <c r="A878" t="s">
        <v>3994</v>
      </c>
      <c r="B878" t="s">
        <v>3995</v>
      </c>
      <c r="C878" t="s">
        <v>3996</v>
      </c>
      <c r="D878" t="s">
        <v>3997</v>
      </c>
      <c r="E878" t="s">
        <v>142</v>
      </c>
      <c r="F878" t="s">
        <v>26</v>
      </c>
      <c r="G878" t="s">
        <v>73</v>
      </c>
      <c r="H878" t="s">
        <v>28</v>
      </c>
      <c r="I878" t="s">
        <v>135</v>
      </c>
      <c r="J878" t="s">
        <v>45</v>
      </c>
      <c r="K878" t="s">
        <v>76</v>
      </c>
      <c r="L878" t="s">
        <v>1291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  <c r="V878" s="1" t="s">
        <v>142</v>
      </c>
      <c r="W878" s="1" t="s">
        <v>26</v>
      </c>
      <c r="X878" s="1" t="s">
        <v>73</v>
      </c>
      <c r="Y878" s="1" t="s">
        <v>28</v>
      </c>
      <c r="Z878" s="1" t="s">
        <v>135</v>
      </c>
      <c r="AA878" s="1" t="s">
        <v>45</v>
      </c>
      <c r="AB878" s="1" t="s">
        <v>76</v>
      </c>
      <c r="AC878" s="1" t="s">
        <v>56</v>
      </c>
      <c r="AD878" s="1" t="s">
        <v>34</v>
      </c>
      <c r="AE878" s="1" t="s">
        <v>35</v>
      </c>
      <c r="AF878" s="5">
        <f t="shared" si="52"/>
        <v>45614</v>
      </c>
      <c r="AG878" s="5" t="e">
        <f t="shared" si="52"/>
        <v>#N/A</v>
      </c>
      <c r="AH878" s="5" t="b">
        <f t="shared" si="53"/>
        <v>1</v>
      </c>
      <c r="AI878" s="5" t="b">
        <f t="shared" si="53"/>
        <v>0</v>
      </c>
      <c r="AJ878" t="e">
        <f t="shared" si="54"/>
        <v>#N/A</v>
      </c>
      <c r="AK878" t="e">
        <f t="shared" si="55"/>
        <v>#N/A</v>
      </c>
    </row>
    <row r="879" spans="1:37">
      <c r="A879" t="s">
        <v>3998</v>
      </c>
      <c r="B879" t="s">
        <v>3999</v>
      </c>
      <c r="C879" t="s">
        <v>2767</v>
      </c>
      <c r="D879" t="s">
        <v>4000</v>
      </c>
      <c r="E879" t="s">
        <v>162</v>
      </c>
      <c r="F879" t="s">
        <v>26</v>
      </c>
      <c r="G879" t="s">
        <v>73</v>
      </c>
      <c r="H879" t="s">
        <v>28</v>
      </c>
      <c r="I879" t="s">
        <v>135</v>
      </c>
      <c r="J879" t="s">
        <v>30</v>
      </c>
      <c r="K879" t="s">
        <v>156</v>
      </c>
      <c r="L879" t="s">
        <v>4001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  <c r="V879" s="1" t="s">
        <v>162</v>
      </c>
      <c r="W879" s="1" t="s">
        <v>26</v>
      </c>
      <c r="X879" s="1" t="s">
        <v>73</v>
      </c>
      <c r="Y879" s="1" t="s">
        <v>28</v>
      </c>
      <c r="Z879" s="1" t="s">
        <v>135</v>
      </c>
      <c r="AA879" s="1" t="s">
        <v>30</v>
      </c>
      <c r="AB879" s="1" t="s">
        <v>156</v>
      </c>
      <c r="AC879" s="1" t="s">
        <v>33</v>
      </c>
      <c r="AD879" s="1" t="s">
        <v>34</v>
      </c>
      <c r="AE879" s="1" t="s">
        <v>35</v>
      </c>
      <c r="AF879" s="5" t="e">
        <f t="shared" si="52"/>
        <v>#N/A</v>
      </c>
      <c r="AG879" s="5">
        <f t="shared" si="52"/>
        <v>45903</v>
      </c>
      <c r="AH879" s="5" t="b">
        <f t="shared" si="53"/>
        <v>0</v>
      </c>
      <c r="AI879" s="5" t="b">
        <f t="shared" si="53"/>
        <v>1</v>
      </c>
      <c r="AJ879" t="e">
        <f t="shared" si="54"/>
        <v>#N/A</v>
      </c>
      <c r="AK879" t="e">
        <f t="shared" si="55"/>
        <v>#N/A</v>
      </c>
    </row>
    <row r="880" spans="1:37">
      <c r="A880" t="s">
        <v>4002</v>
      </c>
      <c r="B880" t="s">
        <v>2038</v>
      </c>
      <c r="C880" t="s">
        <v>2038</v>
      </c>
      <c r="D880" t="s">
        <v>4003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4004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  <c r="V880" s="1" t="s">
        <v>25</v>
      </c>
      <c r="W880" s="1" t="s">
        <v>108</v>
      </c>
      <c r="X880" s="1" t="s">
        <v>42</v>
      </c>
      <c r="Y880" s="1" t="s">
        <v>121</v>
      </c>
      <c r="Z880" s="1" t="s">
        <v>122</v>
      </c>
      <c r="AA880" s="1" t="s">
        <v>30</v>
      </c>
      <c r="AB880" s="1" t="s">
        <v>31</v>
      </c>
      <c r="AC880" s="1" t="s">
        <v>56</v>
      </c>
      <c r="AD880" s="1" t="s">
        <v>34</v>
      </c>
      <c r="AE880" s="1" t="s">
        <v>35</v>
      </c>
      <c r="AF880" s="5">
        <f t="shared" si="52"/>
        <v>45313</v>
      </c>
      <c r="AG880" s="5">
        <f t="shared" si="52"/>
        <v>45313</v>
      </c>
      <c r="AH880" s="5" t="b">
        <f t="shared" si="53"/>
        <v>1</v>
      </c>
      <c r="AI880" s="5" t="b">
        <f t="shared" si="53"/>
        <v>1</v>
      </c>
      <c r="AJ880" t="str">
        <f t="shared" si="54"/>
        <v>OK</v>
      </c>
      <c r="AK880">
        <f t="shared" si="55"/>
        <v>0</v>
      </c>
    </row>
    <row r="881" spans="1:37">
      <c r="A881" t="s">
        <v>4005</v>
      </c>
      <c r="B881" t="s">
        <v>4006</v>
      </c>
      <c r="C881" t="s">
        <v>435</v>
      </c>
      <c r="D881" t="s">
        <v>4007</v>
      </c>
      <c r="E881" t="s">
        <v>72</v>
      </c>
      <c r="F881" t="s">
        <v>115</v>
      </c>
      <c r="G881" t="s">
        <v>27</v>
      </c>
      <c r="H881" t="s">
        <v>174</v>
      </c>
      <c r="I881" t="s">
        <v>175</v>
      </c>
      <c r="J881" t="s">
        <v>30</v>
      </c>
      <c r="K881" t="s">
        <v>54</v>
      </c>
      <c r="L881" t="s">
        <v>4008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  <c r="V881" s="1" t="s">
        <v>72</v>
      </c>
      <c r="W881" s="1" t="s">
        <v>115</v>
      </c>
      <c r="X881" s="1" t="s">
        <v>27</v>
      </c>
      <c r="Y881" s="1" t="s">
        <v>174</v>
      </c>
      <c r="Z881" s="1" t="s">
        <v>175</v>
      </c>
      <c r="AA881" s="1" t="s">
        <v>30</v>
      </c>
      <c r="AB881" s="1" t="s">
        <v>54</v>
      </c>
      <c r="AC881" s="1" t="s">
        <v>67</v>
      </c>
      <c r="AD881" s="1" t="s">
        <v>34</v>
      </c>
      <c r="AE881" s="1" t="s">
        <v>35</v>
      </c>
      <c r="AF881" s="5">
        <f t="shared" si="52"/>
        <v>45896</v>
      </c>
      <c r="AG881" s="5">
        <f t="shared" si="52"/>
        <v>45897</v>
      </c>
      <c r="AH881" s="5" t="b">
        <f t="shared" si="53"/>
        <v>1</v>
      </c>
      <c r="AI881" s="5" t="b">
        <f t="shared" si="53"/>
        <v>1</v>
      </c>
      <c r="AJ881" t="str">
        <f t="shared" si="54"/>
        <v>OK</v>
      </c>
      <c r="AK881">
        <f t="shared" si="55"/>
        <v>1</v>
      </c>
    </row>
    <row r="882" spans="1:37">
      <c r="A882" t="s">
        <v>4009</v>
      </c>
      <c r="B882" t="s">
        <v>4010</v>
      </c>
      <c r="C882" t="s">
        <v>1123</v>
      </c>
      <c r="D882" t="s">
        <v>4011</v>
      </c>
      <c r="E882" t="s">
        <v>162</v>
      </c>
      <c r="F882" t="s">
        <v>41</v>
      </c>
      <c r="H882" t="s">
        <v>154</v>
      </c>
      <c r="I882" t="s">
        <v>155</v>
      </c>
      <c r="J882" t="s">
        <v>45</v>
      </c>
      <c r="K882" t="s">
        <v>76</v>
      </c>
      <c r="L882" t="s">
        <v>4012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  <c r="V882" s="1" t="s">
        <v>162</v>
      </c>
      <c r="W882" s="1" t="s">
        <v>41</v>
      </c>
      <c r="X882" s="1" t="s">
        <v>4119</v>
      </c>
      <c r="Y882" s="1" t="s">
        <v>154</v>
      </c>
      <c r="Z882" s="1" t="s">
        <v>155</v>
      </c>
      <c r="AA882" s="1" t="s">
        <v>45</v>
      </c>
      <c r="AB882" s="1" t="s">
        <v>76</v>
      </c>
      <c r="AC882" s="1" t="s">
        <v>56</v>
      </c>
      <c r="AD882" s="1" t="s">
        <v>34</v>
      </c>
      <c r="AE882" s="1" t="s">
        <v>35</v>
      </c>
      <c r="AF882" s="5">
        <f t="shared" si="52"/>
        <v>45507</v>
      </c>
      <c r="AG882" s="5">
        <f t="shared" si="52"/>
        <v>45366</v>
      </c>
      <c r="AH882" s="5" t="b">
        <f t="shared" si="53"/>
        <v>1</v>
      </c>
      <c r="AI882" s="5" t="b">
        <f t="shared" si="53"/>
        <v>1</v>
      </c>
      <c r="AJ882" t="str">
        <f t="shared" si="54"/>
        <v>Invalid: Ship before Order</v>
      </c>
      <c r="AK882" t="e">
        <f t="shared" si="55"/>
        <v>#NUM!</v>
      </c>
    </row>
    <row r="883" spans="1:37">
      <c r="A883" t="s">
        <v>4013</v>
      </c>
      <c r="B883" t="s">
        <v>2538</v>
      </c>
      <c r="C883" t="s">
        <v>4014</v>
      </c>
      <c r="D883" t="s">
        <v>4015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4016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  <c r="V883" s="1" t="s">
        <v>72</v>
      </c>
      <c r="W883" s="1" t="s">
        <v>41</v>
      </c>
      <c r="X883" s="1" t="s">
        <v>62</v>
      </c>
      <c r="Y883" s="1" t="s">
        <v>100</v>
      </c>
      <c r="Z883" s="1" t="s">
        <v>101</v>
      </c>
      <c r="AA883" s="1" t="s">
        <v>86</v>
      </c>
      <c r="AB883" s="1" t="s">
        <v>94</v>
      </c>
      <c r="AC883" s="1" t="s">
        <v>33</v>
      </c>
      <c r="AD883" s="1" t="s">
        <v>34</v>
      </c>
      <c r="AE883" s="1" t="s">
        <v>35</v>
      </c>
      <c r="AF883" s="5">
        <f t="shared" si="52"/>
        <v>45627</v>
      </c>
      <c r="AG883" s="5">
        <f t="shared" si="52"/>
        <v>45424</v>
      </c>
      <c r="AH883" s="5" t="b">
        <f t="shared" si="53"/>
        <v>1</v>
      </c>
      <c r="AI883" s="5" t="b">
        <f t="shared" si="53"/>
        <v>1</v>
      </c>
      <c r="AJ883" t="str">
        <f t="shared" si="54"/>
        <v>Invalid: Ship before Order</v>
      </c>
      <c r="AK883" t="e">
        <f t="shared" si="55"/>
        <v>#NUM!</v>
      </c>
    </row>
    <row r="884" spans="1:37">
      <c r="A884" t="s">
        <v>4017</v>
      </c>
      <c r="B884" t="s">
        <v>4018</v>
      </c>
      <c r="C884" t="s">
        <v>1335</v>
      </c>
      <c r="D884" t="s">
        <v>4019</v>
      </c>
      <c r="E884" t="s">
        <v>168</v>
      </c>
      <c r="F884" t="s">
        <v>108</v>
      </c>
      <c r="G884" t="s">
        <v>42</v>
      </c>
      <c r="H884" t="s">
        <v>186</v>
      </c>
      <c r="I884" t="s">
        <v>187</v>
      </c>
      <c r="J884" t="s">
        <v>86</v>
      </c>
      <c r="K884" t="s">
        <v>87</v>
      </c>
      <c r="L884" t="s">
        <v>4020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137</v>
      </c>
      <c r="U884" t="s">
        <v>125</v>
      </c>
      <c r="V884" s="1" t="s">
        <v>168</v>
      </c>
      <c r="W884" s="1" t="s">
        <v>108</v>
      </c>
      <c r="X884" s="1" t="s">
        <v>42</v>
      </c>
      <c r="Y884" s="1" t="s">
        <v>186</v>
      </c>
      <c r="Z884" s="1" t="s">
        <v>187</v>
      </c>
      <c r="AA884" s="1" t="s">
        <v>86</v>
      </c>
      <c r="AB884" s="1" t="s">
        <v>87</v>
      </c>
      <c r="AC884" s="1" t="s">
        <v>67</v>
      </c>
      <c r="AD884" s="1" t="s">
        <v>137</v>
      </c>
      <c r="AE884" s="1" t="s">
        <v>125</v>
      </c>
      <c r="AF884" s="5">
        <f t="shared" si="52"/>
        <v>45690</v>
      </c>
      <c r="AG884" s="5">
        <f t="shared" si="52"/>
        <v>45698</v>
      </c>
      <c r="AH884" s="5" t="b">
        <f t="shared" si="53"/>
        <v>1</v>
      </c>
      <c r="AI884" s="5" t="b">
        <f t="shared" si="53"/>
        <v>1</v>
      </c>
      <c r="AJ884" t="str">
        <f t="shared" si="54"/>
        <v>OK</v>
      </c>
      <c r="AK884">
        <f t="shared" si="55"/>
        <v>8</v>
      </c>
    </row>
    <row r="885" spans="1:37">
      <c r="A885" t="s">
        <v>4021</v>
      </c>
      <c r="B885" t="s">
        <v>4022</v>
      </c>
      <c r="C885" t="s">
        <v>4023</v>
      </c>
      <c r="D885" t="s">
        <v>4024</v>
      </c>
      <c r="E885" t="s">
        <v>162</v>
      </c>
      <c r="F885" t="s">
        <v>41</v>
      </c>
      <c r="G885" t="s">
        <v>73</v>
      </c>
      <c r="H885" t="s">
        <v>249</v>
      </c>
      <c r="I885" t="s">
        <v>250</v>
      </c>
      <c r="J885" t="s">
        <v>30</v>
      </c>
      <c r="K885" t="s">
        <v>156</v>
      </c>
      <c r="L885" t="s">
        <v>4025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  <c r="V885" s="1" t="s">
        <v>162</v>
      </c>
      <c r="W885" s="1" t="s">
        <v>41</v>
      </c>
      <c r="X885" s="1" t="s">
        <v>73</v>
      </c>
      <c r="Y885" s="1" t="s">
        <v>249</v>
      </c>
      <c r="Z885" s="1" t="s">
        <v>250</v>
      </c>
      <c r="AA885" s="1" t="s">
        <v>30</v>
      </c>
      <c r="AB885" s="1" t="s">
        <v>156</v>
      </c>
      <c r="AC885" s="1" t="s">
        <v>48</v>
      </c>
      <c r="AD885" s="1" t="s">
        <v>34</v>
      </c>
      <c r="AE885" s="1" t="s">
        <v>35</v>
      </c>
      <c r="AF885" s="5">
        <f t="shared" si="52"/>
        <v>45775</v>
      </c>
      <c r="AG885" s="5">
        <f t="shared" si="52"/>
        <v>45778</v>
      </c>
      <c r="AH885" s="5" t="b">
        <f t="shared" si="53"/>
        <v>1</v>
      </c>
      <c r="AI885" s="5" t="b">
        <f t="shared" si="53"/>
        <v>1</v>
      </c>
      <c r="AJ885" t="str">
        <f t="shared" si="54"/>
        <v>OK</v>
      </c>
      <c r="AK885">
        <f t="shared" si="55"/>
        <v>3</v>
      </c>
    </row>
    <row r="886" spans="1:37">
      <c r="A886" t="s">
        <v>4026</v>
      </c>
      <c r="B886" t="s">
        <v>4027</v>
      </c>
      <c r="C886" t="s">
        <v>4028</v>
      </c>
      <c r="D886" t="s">
        <v>4029</v>
      </c>
      <c r="E886" t="s">
        <v>93</v>
      </c>
      <c r="F886" t="s">
        <v>115</v>
      </c>
      <c r="G886" t="s">
        <v>62</v>
      </c>
      <c r="H886" t="s">
        <v>229</v>
      </c>
      <c r="I886" t="s">
        <v>230</v>
      </c>
      <c r="J886" t="s">
        <v>30</v>
      </c>
      <c r="K886" t="s">
        <v>156</v>
      </c>
      <c r="L886" t="s">
        <v>4030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  <c r="V886" s="1" t="s">
        <v>93</v>
      </c>
      <c r="W886" s="1" t="s">
        <v>115</v>
      </c>
      <c r="X886" s="1" t="s">
        <v>62</v>
      </c>
      <c r="Y886" s="1" t="s">
        <v>229</v>
      </c>
      <c r="Z886" s="1" t="s">
        <v>230</v>
      </c>
      <c r="AA886" s="1" t="s">
        <v>30</v>
      </c>
      <c r="AB886" s="1" t="s">
        <v>156</v>
      </c>
      <c r="AC886" s="1" t="s">
        <v>48</v>
      </c>
      <c r="AD886" s="1" t="s">
        <v>34</v>
      </c>
      <c r="AE886" s="1" t="s">
        <v>35</v>
      </c>
      <c r="AF886" s="5" t="e">
        <f t="shared" si="52"/>
        <v>#N/A</v>
      </c>
      <c r="AG886" s="5">
        <f t="shared" si="52"/>
        <v>45682</v>
      </c>
      <c r="AH886" s="5" t="b">
        <f t="shared" si="53"/>
        <v>0</v>
      </c>
      <c r="AI886" s="5" t="b">
        <f t="shared" si="53"/>
        <v>1</v>
      </c>
      <c r="AJ886" t="e">
        <f t="shared" si="54"/>
        <v>#N/A</v>
      </c>
      <c r="AK886" t="e">
        <f t="shared" si="55"/>
        <v>#N/A</v>
      </c>
    </row>
    <row r="887" spans="1:37">
      <c r="A887" t="s">
        <v>4031</v>
      </c>
      <c r="B887" t="s">
        <v>4032</v>
      </c>
      <c r="C887" t="s">
        <v>4032</v>
      </c>
      <c r="D887" t="s">
        <v>4033</v>
      </c>
      <c r="E887" t="s">
        <v>210</v>
      </c>
      <c r="F887" t="s">
        <v>26</v>
      </c>
      <c r="G887" t="s">
        <v>27</v>
      </c>
      <c r="H887" t="s">
        <v>28</v>
      </c>
      <c r="I887" t="s">
        <v>29</v>
      </c>
      <c r="J887" t="s">
        <v>45</v>
      </c>
      <c r="K887" t="s">
        <v>46</v>
      </c>
      <c r="L887" t="s">
        <v>4034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  <c r="V887" s="1" t="s">
        <v>210</v>
      </c>
      <c r="W887" s="1" t="s">
        <v>26</v>
      </c>
      <c r="X887" s="1" t="s">
        <v>27</v>
      </c>
      <c r="Y887" s="1" t="s">
        <v>28</v>
      </c>
      <c r="Z887" s="1" t="s">
        <v>29</v>
      </c>
      <c r="AA887" s="1" t="s">
        <v>45</v>
      </c>
      <c r="AB887" s="1" t="s">
        <v>46</v>
      </c>
      <c r="AC887" s="1" t="s">
        <v>67</v>
      </c>
      <c r="AD887" s="1" t="s">
        <v>34</v>
      </c>
      <c r="AE887" s="1" t="s">
        <v>35</v>
      </c>
      <c r="AF887" s="5">
        <f t="shared" si="52"/>
        <v>45296</v>
      </c>
      <c r="AG887" s="5">
        <f t="shared" si="52"/>
        <v>45296</v>
      </c>
      <c r="AH887" s="5" t="b">
        <f t="shared" si="53"/>
        <v>1</v>
      </c>
      <c r="AI887" s="5" t="b">
        <f t="shared" si="53"/>
        <v>1</v>
      </c>
      <c r="AJ887" t="str">
        <f t="shared" si="54"/>
        <v>OK</v>
      </c>
      <c r="AK887">
        <f t="shared" si="55"/>
        <v>0</v>
      </c>
    </row>
    <row r="888" spans="1:37">
      <c r="A888" t="s">
        <v>4035</v>
      </c>
      <c r="B888" t="s">
        <v>4036</v>
      </c>
      <c r="C888" t="s">
        <v>4037</v>
      </c>
      <c r="D888" t="s">
        <v>4038</v>
      </c>
      <c r="E888" t="s">
        <v>61</v>
      </c>
      <c r="F888" t="s">
        <v>115</v>
      </c>
      <c r="G888" t="s">
        <v>62</v>
      </c>
      <c r="H888" t="s">
        <v>339</v>
      </c>
      <c r="I888" t="s">
        <v>340</v>
      </c>
      <c r="J888" t="s">
        <v>86</v>
      </c>
      <c r="K888" t="s">
        <v>87</v>
      </c>
      <c r="L888" t="s">
        <v>4039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  <c r="V888" s="1" t="s">
        <v>61</v>
      </c>
      <c r="W888" s="1" t="s">
        <v>115</v>
      </c>
      <c r="X888" s="1" t="s">
        <v>62</v>
      </c>
      <c r="Y888" s="1" t="s">
        <v>339</v>
      </c>
      <c r="Z888" s="1" t="s">
        <v>340</v>
      </c>
      <c r="AA888" s="1" t="s">
        <v>86</v>
      </c>
      <c r="AB888" s="1" t="s">
        <v>87</v>
      </c>
      <c r="AC888" s="1" t="s">
        <v>56</v>
      </c>
      <c r="AD888" s="1" t="s">
        <v>34</v>
      </c>
      <c r="AE888" s="1" t="s">
        <v>78</v>
      </c>
      <c r="AF888" s="5" t="e">
        <f t="shared" si="52"/>
        <v>#N/A</v>
      </c>
      <c r="AG888" s="5">
        <f t="shared" si="52"/>
        <v>45721</v>
      </c>
      <c r="AH888" s="5" t="b">
        <f t="shared" si="53"/>
        <v>0</v>
      </c>
      <c r="AI888" s="5" t="b">
        <f t="shared" si="53"/>
        <v>1</v>
      </c>
      <c r="AJ888" t="e">
        <f t="shared" si="54"/>
        <v>#N/A</v>
      </c>
      <c r="AK888" t="e">
        <f t="shared" si="55"/>
        <v>#N/A</v>
      </c>
    </row>
    <row r="889" spans="1:37">
      <c r="A889" t="s">
        <v>4040</v>
      </c>
      <c r="B889" t="s">
        <v>3918</v>
      </c>
      <c r="C889" t="s">
        <v>684</v>
      </c>
      <c r="D889" t="s">
        <v>4041</v>
      </c>
      <c r="E889" t="s">
        <v>162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4042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  <c r="V889" s="1" t="s">
        <v>162</v>
      </c>
      <c r="W889" s="1" t="s">
        <v>41</v>
      </c>
      <c r="X889" s="1" t="s">
        <v>62</v>
      </c>
      <c r="Y889" s="1" t="s">
        <v>100</v>
      </c>
      <c r="Z889" s="1" t="s">
        <v>101</v>
      </c>
      <c r="AA889" s="1" t="s">
        <v>30</v>
      </c>
      <c r="AB889" s="1" t="s">
        <v>54</v>
      </c>
      <c r="AC889" s="1" t="s">
        <v>67</v>
      </c>
      <c r="AD889" s="1" t="s">
        <v>34</v>
      </c>
      <c r="AE889" s="1" t="s">
        <v>35</v>
      </c>
      <c r="AF889" s="5">
        <f t="shared" si="52"/>
        <v>45455</v>
      </c>
      <c r="AG889" s="5">
        <f t="shared" si="52"/>
        <v>45461</v>
      </c>
      <c r="AH889" s="5" t="b">
        <f t="shared" si="53"/>
        <v>1</v>
      </c>
      <c r="AI889" s="5" t="b">
        <f t="shared" si="53"/>
        <v>1</v>
      </c>
      <c r="AJ889" t="str">
        <f t="shared" si="54"/>
        <v>OK</v>
      </c>
      <c r="AK889">
        <f t="shared" si="55"/>
        <v>6</v>
      </c>
    </row>
    <row r="890" spans="1:37">
      <c r="A890" t="s">
        <v>4043</v>
      </c>
      <c r="B890" t="s">
        <v>4044</v>
      </c>
      <c r="C890" t="s">
        <v>3578</v>
      </c>
      <c r="D890" t="s">
        <v>4045</v>
      </c>
      <c r="E890" t="s">
        <v>148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4046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  <c r="V890" s="1" t="s">
        <v>148</v>
      </c>
      <c r="W890" s="1" t="s">
        <v>41</v>
      </c>
      <c r="X890" s="1" t="s">
        <v>73</v>
      </c>
      <c r="Y890" s="1" t="s">
        <v>74</v>
      </c>
      <c r="Z890" s="1" t="s">
        <v>75</v>
      </c>
      <c r="AA890" s="1" t="s">
        <v>30</v>
      </c>
      <c r="AB890" s="1" t="s">
        <v>54</v>
      </c>
      <c r="AC890" s="1" t="s">
        <v>67</v>
      </c>
      <c r="AD890" s="1" t="s">
        <v>124</v>
      </c>
      <c r="AE890" s="1" t="s">
        <v>78</v>
      </c>
      <c r="AF890" s="5">
        <f t="shared" si="52"/>
        <v>45816</v>
      </c>
      <c r="AG890" s="5">
        <f t="shared" si="52"/>
        <v>45846</v>
      </c>
      <c r="AH890" s="5" t="b">
        <f t="shared" si="53"/>
        <v>1</v>
      </c>
      <c r="AI890" s="5" t="b">
        <f t="shared" si="53"/>
        <v>1</v>
      </c>
      <c r="AJ890" t="str">
        <f t="shared" si="54"/>
        <v>OK</v>
      </c>
      <c r="AK890">
        <f t="shared" si="55"/>
        <v>30</v>
      </c>
    </row>
    <row r="891" spans="1:37">
      <c r="A891" t="s">
        <v>4047</v>
      </c>
      <c r="B891" t="s">
        <v>4048</v>
      </c>
      <c r="C891" t="s">
        <v>4049</v>
      </c>
      <c r="D891" t="s">
        <v>1349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156</v>
      </c>
      <c r="L891" t="s">
        <v>4050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  <c r="V891" s="1" t="s">
        <v>107</v>
      </c>
      <c r="W891" s="1" t="s">
        <v>115</v>
      </c>
      <c r="X891" s="1" t="s">
        <v>73</v>
      </c>
      <c r="Y891" s="1" t="s">
        <v>84</v>
      </c>
      <c r="Z891" s="1" t="s">
        <v>85</v>
      </c>
      <c r="AA891" s="1" t="s">
        <v>30</v>
      </c>
      <c r="AB891" s="1" t="s">
        <v>156</v>
      </c>
      <c r="AC891" s="1" t="s">
        <v>56</v>
      </c>
      <c r="AD891" s="1" t="s">
        <v>34</v>
      </c>
      <c r="AE891" s="1" t="s">
        <v>125</v>
      </c>
      <c r="AF891" s="5">
        <f t="shared" si="52"/>
        <v>45726</v>
      </c>
      <c r="AG891" s="5">
        <f t="shared" si="52"/>
        <v>45727</v>
      </c>
      <c r="AH891" s="5" t="b">
        <f t="shared" si="53"/>
        <v>1</v>
      </c>
      <c r="AI891" s="5" t="b">
        <f t="shared" si="53"/>
        <v>1</v>
      </c>
      <c r="AJ891" t="str">
        <f t="shared" si="54"/>
        <v>OK</v>
      </c>
      <c r="AK891">
        <f t="shared" si="55"/>
        <v>1</v>
      </c>
    </row>
    <row r="892" spans="1:37">
      <c r="A892" t="s">
        <v>4051</v>
      </c>
      <c r="B892" t="s">
        <v>160</v>
      </c>
      <c r="C892" t="s">
        <v>1140</v>
      </c>
      <c r="D892" t="s">
        <v>4052</v>
      </c>
      <c r="E892" t="s">
        <v>25</v>
      </c>
      <c r="F892" t="s">
        <v>26</v>
      </c>
      <c r="G892" t="s">
        <v>73</v>
      </c>
      <c r="H892" t="s">
        <v>249</v>
      </c>
      <c r="I892" t="s">
        <v>250</v>
      </c>
      <c r="J892" t="s">
        <v>30</v>
      </c>
      <c r="K892" t="s">
        <v>156</v>
      </c>
      <c r="L892" t="s">
        <v>4053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  <c r="V892" s="1" t="s">
        <v>25</v>
      </c>
      <c r="W892" s="1" t="s">
        <v>26</v>
      </c>
      <c r="X892" s="1" t="s">
        <v>73</v>
      </c>
      <c r="Y892" s="1" t="s">
        <v>249</v>
      </c>
      <c r="Z892" s="1" t="s">
        <v>250</v>
      </c>
      <c r="AA892" s="1" t="s">
        <v>30</v>
      </c>
      <c r="AB892" s="1" t="s">
        <v>156</v>
      </c>
      <c r="AC892" s="1" t="s">
        <v>67</v>
      </c>
      <c r="AD892" s="1" t="s">
        <v>34</v>
      </c>
      <c r="AE892" s="1" t="s">
        <v>35</v>
      </c>
      <c r="AF892" s="5" t="e">
        <f t="shared" si="52"/>
        <v>#N/A</v>
      </c>
      <c r="AG892" s="5" t="e">
        <f t="shared" si="52"/>
        <v>#N/A</v>
      </c>
      <c r="AH892" s="5" t="b">
        <f t="shared" si="53"/>
        <v>0</v>
      </c>
      <c r="AI892" s="5" t="b">
        <f t="shared" si="53"/>
        <v>0</v>
      </c>
      <c r="AJ892" t="e">
        <f t="shared" si="54"/>
        <v>#N/A</v>
      </c>
      <c r="AK892" t="e">
        <f t="shared" si="55"/>
        <v>#N/A</v>
      </c>
    </row>
    <row r="893" spans="1:37">
      <c r="A893" t="s">
        <v>4054</v>
      </c>
      <c r="B893" t="s">
        <v>3777</v>
      </c>
      <c r="C893" t="s">
        <v>2558</v>
      </c>
      <c r="D893" t="s">
        <v>4055</v>
      </c>
      <c r="E893" t="s">
        <v>366</v>
      </c>
      <c r="F893" t="s">
        <v>108</v>
      </c>
      <c r="G893" t="s">
        <v>62</v>
      </c>
      <c r="H893" t="s">
        <v>339</v>
      </c>
      <c r="I893" t="s">
        <v>340</v>
      </c>
      <c r="J893" t="s">
        <v>86</v>
      </c>
      <c r="K893" t="s">
        <v>382</v>
      </c>
      <c r="L893" t="s">
        <v>4056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200</v>
      </c>
      <c r="U893" t="s">
        <v>78</v>
      </c>
      <c r="V893" s="1" t="s">
        <v>366</v>
      </c>
      <c r="W893" s="1" t="s">
        <v>108</v>
      </c>
      <c r="X893" s="1" t="s">
        <v>62</v>
      </c>
      <c r="Y893" s="1" t="s">
        <v>339</v>
      </c>
      <c r="Z893" s="1" t="s">
        <v>340</v>
      </c>
      <c r="AA893" s="1" t="s">
        <v>86</v>
      </c>
      <c r="AB893" s="1" t="s">
        <v>382</v>
      </c>
      <c r="AC893" s="1" t="s">
        <v>48</v>
      </c>
      <c r="AD893" s="1" t="s">
        <v>200</v>
      </c>
      <c r="AE893" s="1" t="s">
        <v>78</v>
      </c>
      <c r="AF893" s="5">
        <f t="shared" si="52"/>
        <v>45573</v>
      </c>
      <c r="AG893" s="5">
        <f t="shared" si="52"/>
        <v>45545</v>
      </c>
      <c r="AH893" s="5" t="b">
        <f t="shared" si="53"/>
        <v>1</v>
      </c>
      <c r="AI893" s="5" t="b">
        <f t="shared" si="53"/>
        <v>1</v>
      </c>
      <c r="AJ893" t="str">
        <f t="shared" si="54"/>
        <v>Invalid: Ship before Order</v>
      </c>
      <c r="AK893" t="e">
        <f t="shared" si="55"/>
        <v>#NUM!</v>
      </c>
    </row>
    <row r="894" spans="1:37">
      <c r="A894" t="s">
        <v>4057</v>
      </c>
      <c r="B894" t="s">
        <v>4058</v>
      </c>
      <c r="C894" t="s">
        <v>3000</v>
      </c>
      <c r="D894" t="s">
        <v>4059</v>
      </c>
      <c r="E894" t="s">
        <v>53</v>
      </c>
      <c r="F894" t="s">
        <v>41</v>
      </c>
      <c r="G894" t="s">
        <v>42</v>
      </c>
      <c r="H894" t="s">
        <v>311</v>
      </c>
      <c r="I894" t="s">
        <v>312</v>
      </c>
      <c r="J894" t="s">
        <v>86</v>
      </c>
      <c r="K894" t="s">
        <v>94</v>
      </c>
      <c r="L894" t="s">
        <v>4060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  <c r="V894" s="1" t="s">
        <v>53</v>
      </c>
      <c r="W894" s="1" t="s">
        <v>41</v>
      </c>
      <c r="X894" s="1" t="s">
        <v>42</v>
      </c>
      <c r="Y894" s="1" t="s">
        <v>311</v>
      </c>
      <c r="Z894" s="1" t="s">
        <v>312</v>
      </c>
      <c r="AA894" s="1" t="s">
        <v>86</v>
      </c>
      <c r="AB894" s="1" t="s">
        <v>94</v>
      </c>
      <c r="AC894" s="1" t="s">
        <v>48</v>
      </c>
      <c r="AD894" s="1" t="s">
        <v>34</v>
      </c>
      <c r="AE894" s="1" t="s">
        <v>35</v>
      </c>
      <c r="AF894" s="5">
        <f t="shared" si="52"/>
        <v>45759</v>
      </c>
      <c r="AG894" s="5">
        <f t="shared" si="52"/>
        <v>45765</v>
      </c>
      <c r="AH894" s="5" t="b">
        <f t="shared" si="53"/>
        <v>1</v>
      </c>
      <c r="AI894" s="5" t="b">
        <f t="shared" si="53"/>
        <v>1</v>
      </c>
      <c r="AJ894" t="str">
        <f t="shared" si="54"/>
        <v>OK</v>
      </c>
      <c r="AK894">
        <f t="shared" si="55"/>
        <v>6</v>
      </c>
    </row>
    <row r="895" spans="1:37">
      <c r="A895" t="s">
        <v>4061</v>
      </c>
      <c r="B895" t="s">
        <v>4062</v>
      </c>
      <c r="C895" t="s">
        <v>4063</v>
      </c>
      <c r="D895" t="s">
        <v>4064</v>
      </c>
      <c r="E895" t="s">
        <v>162</v>
      </c>
      <c r="F895" t="s">
        <v>108</v>
      </c>
      <c r="G895" t="s">
        <v>62</v>
      </c>
      <c r="H895" t="s">
        <v>229</v>
      </c>
      <c r="I895" t="s">
        <v>230</v>
      </c>
      <c r="J895" t="s">
        <v>45</v>
      </c>
      <c r="K895" t="s">
        <v>46</v>
      </c>
      <c r="L895" t="s">
        <v>4065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  <c r="V895" s="1" t="s">
        <v>162</v>
      </c>
      <c r="W895" s="1" t="s">
        <v>108</v>
      </c>
      <c r="X895" s="1" t="s">
        <v>62</v>
      </c>
      <c r="Y895" s="1" t="s">
        <v>229</v>
      </c>
      <c r="Z895" s="1" t="s">
        <v>230</v>
      </c>
      <c r="AA895" s="1" t="s">
        <v>45</v>
      </c>
      <c r="AB895" s="1" t="s">
        <v>46</v>
      </c>
      <c r="AC895" s="1" t="s">
        <v>33</v>
      </c>
      <c r="AD895" s="1" t="s">
        <v>34</v>
      </c>
      <c r="AE895" s="1" t="s">
        <v>125</v>
      </c>
      <c r="AF895" s="5">
        <f t="shared" si="52"/>
        <v>45449</v>
      </c>
      <c r="AG895" s="5">
        <f t="shared" si="52"/>
        <v>45451</v>
      </c>
      <c r="AH895" s="5" t="b">
        <f t="shared" si="53"/>
        <v>1</v>
      </c>
      <c r="AI895" s="5" t="b">
        <f t="shared" si="53"/>
        <v>1</v>
      </c>
      <c r="AJ895" t="str">
        <f t="shared" si="54"/>
        <v>OK</v>
      </c>
      <c r="AK895">
        <f t="shared" si="55"/>
        <v>2</v>
      </c>
    </row>
    <row r="896" spans="1:37">
      <c r="A896" t="s">
        <v>4066</v>
      </c>
      <c r="B896" t="s">
        <v>1945</v>
      </c>
      <c r="C896" t="s">
        <v>4067</v>
      </c>
      <c r="D896" t="s">
        <v>4068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4069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  <c r="V896" s="1" t="s">
        <v>53</v>
      </c>
      <c r="W896" s="1" t="s">
        <v>115</v>
      </c>
      <c r="X896" s="1" t="s">
        <v>62</v>
      </c>
      <c r="Y896" s="1" t="s">
        <v>63</v>
      </c>
      <c r="Z896" s="1" t="s">
        <v>64</v>
      </c>
      <c r="AA896" s="1" t="s">
        <v>45</v>
      </c>
      <c r="AB896" s="1" t="s">
        <v>46</v>
      </c>
      <c r="AC896" s="1" t="s">
        <v>56</v>
      </c>
      <c r="AD896" s="1" t="s">
        <v>34</v>
      </c>
      <c r="AE896" s="1" t="s">
        <v>35</v>
      </c>
      <c r="AF896" s="5">
        <f t="shared" si="52"/>
        <v>45344</v>
      </c>
      <c r="AG896" s="5">
        <f t="shared" si="52"/>
        <v>45351</v>
      </c>
      <c r="AH896" s="5" t="b">
        <f t="shared" si="53"/>
        <v>1</v>
      </c>
      <c r="AI896" s="5" t="b">
        <f t="shared" si="53"/>
        <v>1</v>
      </c>
      <c r="AJ896" t="str">
        <f t="shared" si="54"/>
        <v>OK</v>
      </c>
      <c r="AK896">
        <f t="shared" si="55"/>
        <v>7</v>
      </c>
    </row>
    <row r="897" spans="1:37">
      <c r="A897" t="s">
        <v>4070</v>
      </c>
      <c r="B897" t="s">
        <v>4071</v>
      </c>
      <c r="C897" t="s">
        <v>105</v>
      </c>
      <c r="D897" t="s">
        <v>4072</v>
      </c>
      <c r="E897" t="s">
        <v>61</v>
      </c>
      <c r="F897" t="s">
        <v>26</v>
      </c>
      <c r="G897" t="s">
        <v>62</v>
      </c>
      <c r="H897" t="s">
        <v>242</v>
      </c>
      <c r="I897" t="s">
        <v>243</v>
      </c>
      <c r="J897" t="s">
        <v>45</v>
      </c>
      <c r="K897" t="s">
        <v>76</v>
      </c>
      <c r="L897" t="s">
        <v>4073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137</v>
      </c>
      <c r="U897" t="s">
        <v>125</v>
      </c>
      <c r="V897" s="1" t="s">
        <v>61</v>
      </c>
      <c r="W897" s="1" t="s">
        <v>26</v>
      </c>
      <c r="X897" s="1" t="s">
        <v>62</v>
      </c>
      <c r="Y897" s="1" t="s">
        <v>242</v>
      </c>
      <c r="Z897" s="1" t="s">
        <v>243</v>
      </c>
      <c r="AA897" s="1" t="s">
        <v>45</v>
      </c>
      <c r="AB897" s="1" t="s">
        <v>76</v>
      </c>
      <c r="AC897" s="1" t="s">
        <v>48</v>
      </c>
      <c r="AD897" s="1" t="s">
        <v>137</v>
      </c>
      <c r="AE897" s="1" t="s">
        <v>125</v>
      </c>
      <c r="AF897" s="5">
        <f t="shared" si="52"/>
        <v>45601</v>
      </c>
      <c r="AG897" s="5">
        <f t="shared" si="52"/>
        <v>45606</v>
      </c>
      <c r="AH897" s="5" t="b">
        <f t="shared" si="53"/>
        <v>1</v>
      </c>
      <c r="AI897" s="5" t="b">
        <f t="shared" si="53"/>
        <v>1</v>
      </c>
      <c r="AJ897" t="str">
        <f t="shared" si="54"/>
        <v>OK</v>
      </c>
      <c r="AK897">
        <f t="shared" si="55"/>
        <v>5</v>
      </c>
    </row>
    <row r="898" spans="1:37">
      <c r="A898" t="s">
        <v>4074</v>
      </c>
      <c r="B898" t="s">
        <v>4075</v>
      </c>
      <c r="C898" t="s">
        <v>2358</v>
      </c>
      <c r="D898" t="s">
        <v>4076</v>
      </c>
      <c r="E898" t="s">
        <v>72</v>
      </c>
      <c r="F898" t="s">
        <v>41</v>
      </c>
      <c r="G898" t="s">
        <v>62</v>
      </c>
      <c r="H898" t="s">
        <v>339</v>
      </c>
      <c r="I898" t="s">
        <v>340</v>
      </c>
      <c r="J898" t="s">
        <v>86</v>
      </c>
      <c r="K898" t="s">
        <v>94</v>
      </c>
      <c r="L898" t="s">
        <v>4077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200</v>
      </c>
      <c r="U898" t="s">
        <v>125</v>
      </c>
      <c r="V898" s="1" t="s">
        <v>72</v>
      </c>
      <c r="W898" s="1" t="s">
        <v>41</v>
      </c>
      <c r="X898" s="1" t="s">
        <v>62</v>
      </c>
      <c r="Y898" s="1" t="s">
        <v>339</v>
      </c>
      <c r="Z898" s="1" t="s">
        <v>340</v>
      </c>
      <c r="AA898" s="1" t="s">
        <v>86</v>
      </c>
      <c r="AB898" s="1" t="s">
        <v>94</v>
      </c>
      <c r="AC898" s="1" t="s">
        <v>33</v>
      </c>
      <c r="AD898" s="1" t="s">
        <v>200</v>
      </c>
      <c r="AE898" s="1" t="s">
        <v>125</v>
      </c>
      <c r="AF898" s="5">
        <f t="shared" si="52"/>
        <v>45650</v>
      </c>
      <c r="AG898" s="5" t="e">
        <f t="shared" si="52"/>
        <v>#N/A</v>
      </c>
      <c r="AH898" s="5" t="b">
        <f t="shared" si="53"/>
        <v>1</v>
      </c>
      <c r="AI898" s="5" t="b">
        <f t="shared" si="53"/>
        <v>0</v>
      </c>
      <c r="AJ898" t="e">
        <f t="shared" si="54"/>
        <v>#N/A</v>
      </c>
      <c r="AK898" t="e">
        <f t="shared" si="55"/>
        <v>#N/A</v>
      </c>
    </row>
    <row r="899" spans="1:37">
      <c r="A899" t="s">
        <v>4078</v>
      </c>
      <c r="B899" t="s">
        <v>1181</v>
      </c>
      <c r="C899" t="s">
        <v>4079</v>
      </c>
      <c r="D899" t="s">
        <v>3200</v>
      </c>
      <c r="E899" t="s">
        <v>180</v>
      </c>
      <c r="F899" t="s">
        <v>108</v>
      </c>
      <c r="G899" t="s">
        <v>27</v>
      </c>
      <c r="H899" t="s">
        <v>323</v>
      </c>
      <c r="I899" t="s">
        <v>324</v>
      </c>
      <c r="J899" t="s">
        <v>30</v>
      </c>
      <c r="K899" t="s">
        <v>31</v>
      </c>
      <c r="L899" t="s">
        <v>4080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  <c r="V899" s="1" t="s">
        <v>180</v>
      </c>
      <c r="W899" s="1" t="s">
        <v>108</v>
      </c>
      <c r="X899" s="1" t="s">
        <v>27</v>
      </c>
      <c r="Y899" s="1" t="s">
        <v>323</v>
      </c>
      <c r="Z899" s="1" t="s">
        <v>324</v>
      </c>
      <c r="AA899" s="1" t="s">
        <v>30</v>
      </c>
      <c r="AB899" s="1" t="s">
        <v>31</v>
      </c>
      <c r="AC899" s="1" t="s">
        <v>56</v>
      </c>
      <c r="AD899" s="1" t="s">
        <v>34</v>
      </c>
      <c r="AE899" s="1" t="s">
        <v>35</v>
      </c>
      <c r="AF899" s="5">
        <f t="shared" ref="AF899:AG933" si="56">IFERROR(DATEVALUE(B899),IFERROR(DATE(VALUE(RIGHT(B899,4)),VALUE(MID(SUBSTITUTE(B899,"-","/"),6,2)),VALUE(LEFT(B899,2))),NA()))</f>
        <v>45776</v>
      </c>
      <c r="AG899" s="5">
        <f t="shared" si="56"/>
        <v>45780</v>
      </c>
      <c r="AH899" s="5" t="b">
        <f t="shared" ref="AH899:AI933" si="57">ISNUMBER(AF899)</f>
        <v>1</v>
      </c>
      <c r="AI899" s="5" t="b">
        <f t="shared" si="57"/>
        <v>1</v>
      </c>
      <c r="AJ899" t="str">
        <f t="shared" ref="AJ899:AJ933" si="58">IF(AG899&lt;AF899,"Invalid: Ship before Order","OK")</f>
        <v>OK</v>
      </c>
      <c r="AK899">
        <f t="shared" ref="AK899:AK933" si="59">DATEDIF(AF899, AG899, "D")</f>
        <v>4</v>
      </c>
    </row>
    <row r="900" spans="1:37">
      <c r="A900" t="s">
        <v>4081</v>
      </c>
      <c r="B900" t="s">
        <v>3644</v>
      </c>
      <c r="C900" t="s">
        <v>50</v>
      </c>
      <c r="D900" t="s">
        <v>4082</v>
      </c>
      <c r="E900" t="s">
        <v>83</v>
      </c>
      <c r="F900" t="s">
        <v>26</v>
      </c>
      <c r="G900" t="s">
        <v>27</v>
      </c>
      <c r="H900" t="s">
        <v>506</v>
      </c>
      <c r="I900" t="s">
        <v>507</v>
      </c>
      <c r="J900" t="s">
        <v>45</v>
      </c>
      <c r="K900" t="s">
        <v>46</v>
      </c>
      <c r="L900" t="s">
        <v>4083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  <c r="V900" s="1" t="s">
        <v>83</v>
      </c>
      <c r="W900" s="1" t="s">
        <v>26</v>
      </c>
      <c r="X900" s="1" t="s">
        <v>27</v>
      </c>
      <c r="Y900" s="1" t="s">
        <v>506</v>
      </c>
      <c r="Z900" s="1" t="s">
        <v>507</v>
      </c>
      <c r="AA900" s="1" t="s">
        <v>45</v>
      </c>
      <c r="AB900" s="1" t="s">
        <v>46</v>
      </c>
      <c r="AC900" s="1" t="s">
        <v>56</v>
      </c>
      <c r="AD900" s="1" t="s">
        <v>34</v>
      </c>
      <c r="AE900" s="1" t="s">
        <v>35</v>
      </c>
      <c r="AF900" s="5">
        <f t="shared" si="56"/>
        <v>45445</v>
      </c>
      <c r="AG900" s="5">
        <f t="shared" si="56"/>
        <v>45451</v>
      </c>
      <c r="AH900" s="5" t="b">
        <f t="shared" si="57"/>
        <v>1</v>
      </c>
      <c r="AI900" s="5" t="b">
        <f t="shared" si="57"/>
        <v>1</v>
      </c>
      <c r="AJ900" t="str">
        <f t="shared" si="58"/>
        <v>OK</v>
      </c>
      <c r="AK900">
        <f t="shared" si="59"/>
        <v>6</v>
      </c>
    </row>
    <row r="901" spans="1:37">
      <c r="A901" t="s">
        <v>4084</v>
      </c>
      <c r="B901" t="s">
        <v>1682</v>
      </c>
      <c r="C901" t="s">
        <v>4085</v>
      </c>
      <c r="D901" t="s">
        <v>4086</v>
      </c>
      <c r="E901" t="s">
        <v>25</v>
      </c>
      <c r="F901" t="s">
        <v>26</v>
      </c>
      <c r="G901" t="s">
        <v>27</v>
      </c>
      <c r="H901" t="s">
        <v>154</v>
      </c>
      <c r="I901" t="s">
        <v>155</v>
      </c>
      <c r="J901" t="s">
        <v>45</v>
      </c>
      <c r="K901" t="s">
        <v>76</v>
      </c>
      <c r="L901" t="s">
        <v>4087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200</v>
      </c>
      <c r="U901" t="s">
        <v>78</v>
      </c>
      <c r="V901" s="1" t="s">
        <v>25</v>
      </c>
      <c r="W901" s="1" t="s">
        <v>26</v>
      </c>
      <c r="X901" s="1" t="s">
        <v>27</v>
      </c>
      <c r="Y901" s="1" t="s">
        <v>154</v>
      </c>
      <c r="Z901" s="1" t="s">
        <v>155</v>
      </c>
      <c r="AA901" s="1" t="s">
        <v>45</v>
      </c>
      <c r="AB901" s="1" t="s">
        <v>76</v>
      </c>
      <c r="AC901" s="1" t="s">
        <v>56</v>
      </c>
      <c r="AD901" s="1" t="s">
        <v>200</v>
      </c>
      <c r="AE901" s="1" t="s">
        <v>78</v>
      </c>
      <c r="AF901" s="5">
        <f t="shared" si="56"/>
        <v>45804</v>
      </c>
      <c r="AG901" s="5">
        <f t="shared" si="56"/>
        <v>45811</v>
      </c>
      <c r="AH901" s="5" t="b">
        <f t="shared" si="57"/>
        <v>1</v>
      </c>
      <c r="AI901" s="5" t="b">
        <f t="shared" si="57"/>
        <v>1</v>
      </c>
      <c r="AJ901" t="str">
        <f t="shared" si="58"/>
        <v>OK</v>
      </c>
      <c r="AK901">
        <f t="shared" si="59"/>
        <v>7</v>
      </c>
    </row>
    <row r="902" spans="1:37">
      <c r="A902" t="s">
        <v>2441</v>
      </c>
      <c r="B902" t="s">
        <v>2442</v>
      </c>
      <c r="C902" t="s">
        <v>2443</v>
      </c>
      <c r="D902" t="s">
        <v>2444</v>
      </c>
      <c r="E902" t="s">
        <v>142</v>
      </c>
      <c r="F902" t="s">
        <v>41</v>
      </c>
      <c r="G902" t="s">
        <v>42</v>
      </c>
      <c r="H902" t="s">
        <v>43</v>
      </c>
      <c r="I902" t="s">
        <v>44</v>
      </c>
      <c r="J902" t="s">
        <v>86</v>
      </c>
      <c r="K902" t="s">
        <v>94</v>
      </c>
      <c r="L902" t="s">
        <v>2445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  <c r="V902" s="1" t="s">
        <v>142</v>
      </c>
      <c r="W902" s="1" t="s">
        <v>41</v>
      </c>
      <c r="X902" s="1" t="s">
        <v>42</v>
      </c>
      <c r="Y902" s="1" t="s">
        <v>43</v>
      </c>
      <c r="Z902" s="1" t="s">
        <v>44</v>
      </c>
      <c r="AA902" s="1" t="s">
        <v>86</v>
      </c>
      <c r="AB902" s="1" t="s">
        <v>94</v>
      </c>
      <c r="AC902" s="1" t="s">
        <v>33</v>
      </c>
      <c r="AD902" s="1" t="s">
        <v>34</v>
      </c>
      <c r="AE902" s="1" t="s">
        <v>35</v>
      </c>
      <c r="AF902" s="5">
        <f t="shared" si="56"/>
        <v>45383</v>
      </c>
      <c r="AG902" s="5">
        <f t="shared" si="56"/>
        <v>45391</v>
      </c>
      <c r="AH902" s="5" t="b">
        <f t="shared" si="57"/>
        <v>1</v>
      </c>
      <c r="AI902" s="5" t="b">
        <f t="shared" si="57"/>
        <v>1</v>
      </c>
      <c r="AJ902" t="str">
        <f t="shared" si="58"/>
        <v>OK</v>
      </c>
      <c r="AK902">
        <f t="shared" si="59"/>
        <v>8</v>
      </c>
    </row>
    <row r="903" spans="1:37">
      <c r="A903" t="s">
        <v>2856</v>
      </c>
      <c r="B903" t="s">
        <v>2439</v>
      </c>
      <c r="C903" t="s">
        <v>2857</v>
      </c>
      <c r="D903" t="s">
        <v>2858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2859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  <c r="V903" s="1" t="s">
        <v>72</v>
      </c>
      <c r="W903" s="1" t="s">
        <v>108</v>
      </c>
      <c r="X903" s="1" t="s">
        <v>42</v>
      </c>
      <c r="Y903" s="1" t="s">
        <v>121</v>
      </c>
      <c r="Z903" s="1" t="s">
        <v>122</v>
      </c>
      <c r="AA903" s="1" t="s">
        <v>86</v>
      </c>
      <c r="AB903" s="1" t="s">
        <v>94</v>
      </c>
      <c r="AC903" s="1" t="s">
        <v>48</v>
      </c>
      <c r="AD903" s="1" t="s">
        <v>34</v>
      </c>
      <c r="AE903" s="1" t="s">
        <v>35</v>
      </c>
      <c r="AF903" s="5">
        <f t="shared" si="56"/>
        <v>45521</v>
      </c>
      <c r="AG903" s="5">
        <f t="shared" si="56"/>
        <v>45528</v>
      </c>
      <c r="AH903" s="5" t="b">
        <f t="shared" si="57"/>
        <v>1</v>
      </c>
      <c r="AI903" s="5" t="b">
        <f t="shared" si="57"/>
        <v>1</v>
      </c>
      <c r="AJ903" t="str">
        <f t="shared" si="58"/>
        <v>OK</v>
      </c>
      <c r="AK903">
        <f t="shared" si="59"/>
        <v>7</v>
      </c>
    </row>
    <row r="904" spans="1:37">
      <c r="A904" t="s">
        <v>3258</v>
      </c>
      <c r="B904" t="s">
        <v>1730</v>
      </c>
      <c r="C904" t="s">
        <v>3079</v>
      </c>
      <c r="D904" t="s">
        <v>1738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156</v>
      </c>
      <c r="L904" t="s">
        <v>3259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  <c r="V904" s="1" t="s">
        <v>53</v>
      </c>
      <c r="W904" s="1" t="s">
        <v>26</v>
      </c>
      <c r="X904" s="1" t="s">
        <v>62</v>
      </c>
      <c r="Y904" s="1" t="s">
        <v>100</v>
      </c>
      <c r="Z904" s="1" t="s">
        <v>101</v>
      </c>
      <c r="AA904" s="1" t="s">
        <v>30</v>
      </c>
      <c r="AB904" s="1" t="s">
        <v>156</v>
      </c>
      <c r="AC904" s="1" t="s">
        <v>56</v>
      </c>
      <c r="AD904" s="1" t="s">
        <v>34</v>
      </c>
      <c r="AE904" s="1" t="s">
        <v>35</v>
      </c>
      <c r="AF904" s="5">
        <f t="shared" si="56"/>
        <v>45665</v>
      </c>
      <c r="AG904" s="5">
        <f t="shared" si="56"/>
        <v>45908</v>
      </c>
      <c r="AH904" s="5" t="b">
        <f t="shared" si="57"/>
        <v>1</v>
      </c>
      <c r="AI904" s="5" t="b">
        <f t="shared" si="57"/>
        <v>1</v>
      </c>
      <c r="AJ904" t="str">
        <f t="shared" si="58"/>
        <v>OK</v>
      </c>
      <c r="AK904">
        <f t="shared" si="59"/>
        <v>243</v>
      </c>
    </row>
    <row r="905" spans="1:37">
      <c r="A905" t="s">
        <v>3296</v>
      </c>
      <c r="B905" t="s">
        <v>1558</v>
      </c>
      <c r="C905" t="s">
        <v>3297</v>
      </c>
      <c r="D905" t="s">
        <v>3298</v>
      </c>
      <c r="E905" t="s">
        <v>142</v>
      </c>
      <c r="F905" t="s">
        <v>115</v>
      </c>
      <c r="G905" t="s">
        <v>62</v>
      </c>
      <c r="H905" t="s">
        <v>339</v>
      </c>
      <c r="I905" t="s">
        <v>340</v>
      </c>
      <c r="J905" t="s">
        <v>45</v>
      </c>
      <c r="K905" t="s">
        <v>204</v>
      </c>
      <c r="L905" t="s">
        <v>3299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  <c r="V905" s="1" t="s">
        <v>142</v>
      </c>
      <c r="W905" s="1" t="s">
        <v>115</v>
      </c>
      <c r="X905" s="1" t="s">
        <v>62</v>
      </c>
      <c r="Y905" s="1" t="s">
        <v>339</v>
      </c>
      <c r="Z905" s="1" t="s">
        <v>340</v>
      </c>
      <c r="AA905" s="1" t="s">
        <v>45</v>
      </c>
      <c r="AB905" s="1" t="s">
        <v>204</v>
      </c>
      <c r="AC905" s="1" t="s">
        <v>4119</v>
      </c>
      <c r="AD905" s="1" t="s">
        <v>34</v>
      </c>
      <c r="AE905" s="1" t="s">
        <v>35</v>
      </c>
      <c r="AF905" s="5">
        <f t="shared" si="56"/>
        <v>45364</v>
      </c>
      <c r="AG905" s="5">
        <f t="shared" si="56"/>
        <v>45371</v>
      </c>
      <c r="AH905" s="5" t="b">
        <f t="shared" si="57"/>
        <v>1</v>
      </c>
      <c r="AI905" s="5" t="b">
        <f t="shared" si="57"/>
        <v>1</v>
      </c>
      <c r="AJ905" t="str">
        <f t="shared" si="58"/>
        <v>OK</v>
      </c>
      <c r="AK905">
        <f t="shared" si="59"/>
        <v>7</v>
      </c>
    </row>
    <row r="906" spans="1:37">
      <c r="A906" t="s">
        <v>1427</v>
      </c>
      <c r="B906" t="s">
        <v>1058</v>
      </c>
      <c r="C906" t="s">
        <v>1428</v>
      </c>
      <c r="D906" t="s">
        <v>1429</v>
      </c>
      <c r="E906" t="s">
        <v>162</v>
      </c>
      <c r="F906" t="s">
        <v>41</v>
      </c>
      <c r="H906" t="s">
        <v>216</v>
      </c>
      <c r="I906" t="s">
        <v>217</v>
      </c>
      <c r="J906" t="s">
        <v>45</v>
      </c>
      <c r="K906" t="s">
        <v>76</v>
      </c>
      <c r="L906" t="s">
        <v>1430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  <c r="V906" s="1" t="s">
        <v>162</v>
      </c>
      <c r="W906" s="1" t="s">
        <v>41</v>
      </c>
      <c r="X906" s="1" t="s">
        <v>4119</v>
      </c>
      <c r="Y906" s="1" t="s">
        <v>216</v>
      </c>
      <c r="Z906" s="1" t="s">
        <v>217</v>
      </c>
      <c r="AA906" s="1" t="s">
        <v>45</v>
      </c>
      <c r="AB906" s="1" t="s">
        <v>76</v>
      </c>
      <c r="AC906" s="1" t="s">
        <v>33</v>
      </c>
      <c r="AD906" s="1" t="s">
        <v>34</v>
      </c>
      <c r="AE906" s="1" t="s">
        <v>35</v>
      </c>
      <c r="AF906" s="5" t="e">
        <f t="shared" si="56"/>
        <v>#N/A</v>
      </c>
      <c r="AG906" s="5" t="e">
        <f t="shared" si="56"/>
        <v>#N/A</v>
      </c>
      <c r="AH906" s="5" t="b">
        <f t="shared" si="57"/>
        <v>0</v>
      </c>
      <c r="AI906" s="5" t="b">
        <f t="shared" si="57"/>
        <v>0</v>
      </c>
      <c r="AJ906" t="e">
        <f t="shared" si="58"/>
        <v>#N/A</v>
      </c>
      <c r="AK906" t="e">
        <f t="shared" si="59"/>
        <v>#N/A</v>
      </c>
    </row>
    <row r="907" spans="1:37">
      <c r="A907" t="s">
        <v>2994</v>
      </c>
      <c r="B907" t="s">
        <v>2995</v>
      </c>
      <c r="C907" t="s">
        <v>2996</v>
      </c>
      <c r="D907" t="s">
        <v>2997</v>
      </c>
      <c r="E907" t="s">
        <v>168</v>
      </c>
      <c r="F907" t="s">
        <v>41</v>
      </c>
      <c r="G907" t="s">
        <v>62</v>
      </c>
      <c r="H907" t="s">
        <v>229</v>
      </c>
      <c r="I907" t="s">
        <v>230</v>
      </c>
      <c r="J907" t="s">
        <v>45</v>
      </c>
      <c r="K907" t="s">
        <v>65</v>
      </c>
      <c r="L907" t="s">
        <v>2998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  <c r="V907" s="1" t="s">
        <v>168</v>
      </c>
      <c r="W907" s="1" t="s">
        <v>41</v>
      </c>
      <c r="X907" s="1" t="s">
        <v>62</v>
      </c>
      <c r="Y907" s="1" t="s">
        <v>229</v>
      </c>
      <c r="Z907" s="1" t="s">
        <v>230</v>
      </c>
      <c r="AA907" s="1" t="s">
        <v>45</v>
      </c>
      <c r="AB907" s="1" t="s">
        <v>65</v>
      </c>
      <c r="AC907" s="1" t="s">
        <v>56</v>
      </c>
      <c r="AD907" s="1" t="s">
        <v>34</v>
      </c>
      <c r="AE907" s="1" t="s">
        <v>35</v>
      </c>
      <c r="AF907" s="5" t="e">
        <f t="shared" si="56"/>
        <v>#N/A</v>
      </c>
      <c r="AG907" s="5" t="e">
        <f t="shared" si="56"/>
        <v>#N/A</v>
      </c>
      <c r="AH907" s="5" t="b">
        <f t="shared" si="57"/>
        <v>0</v>
      </c>
      <c r="AI907" s="5" t="b">
        <f t="shared" si="57"/>
        <v>0</v>
      </c>
      <c r="AJ907" t="e">
        <f t="shared" si="58"/>
        <v>#N/A</v>
      </c>
      <c r="AK907" t="e">
        <f t="shared" si="59"/>
        <v>#N/A</v>
      </c>
    </row>
    <row r="908" spans="1:37">
      <c r="A908" t="s">
        <v>3393</v>
      </c>
      <c r="B908" t="s">
        <v>3394</v>
      </c>
      <c r="C908" t="s">
        <v>3395</v>
      </c>
      <c r="D908" t="s">
        <v>3396</v>
      </c>
      <c r="E908" t="s">
        <v>72</v>
      </c>
      <c r="F908" t="s">
        <v>108</v>
      </c>
      <c r="G908" t="s">
        <v>62</v>
      </c>
      <c r="H908" t="s">
        <v>339</v>
      </c>
      <c r="I908" t="s">
        <v>340</v>
      </c>
      <c r="J908" t="s">
        <v>86</v>
      </c>
      <c r="K908" t="s">
        <v>382</v>
      </c>
      <c r="L908" t="s">
        <v>3397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  <c r="V908" s="1" t="s">
        <v>72</v>
      </c>
      <c r="W908" s="1" t="s">
        <v>108</v>
      </c>
      <c r="X908" s="1" t="s">
        <v>62</v>
      </c>
      <c r="Y908" s="1" t="s">
        <v>339</v>
      </c>
      <c r="Z908" s="1" t="s">
        <v>340</v>
      </c>
      <c r="AA908" s="1" t="s">
        <v>86</v>
      </c>
      <c r="AB908" s="1" t="s">
        <v>382</v>
      </c>
      <c r="AC908" s="1" t="s">
        <v>48</v>
      </c>
      <c r="AD908" s="1" t="s">
        <v>34</v>
      </c>
      <c r="AE908" s="1" t="s">
        <v>35</v>
      </c>
      <c r="AF908" s="5" t="e">
        <f t="shared" si="56"/>
        <v>#N/A</v>
      </c>
      <c r="AG908" s="5">
        <f t="shared" si="56"/>
        <v>45802</v>
      </c>
      <c r="AH908" s="5" t="b">
        <f t="shared" si="57"/>
        <v>0</v>
      </c>
      <c r="AI908" s="5" t="b">
        <f t="shared" si="57"/>
        <v>1</v>
      </c>
      <c r="AJ908" t="e">
        <f t="shared" si="58"/>
        <v>#N/A</v>
      </c>
      <c r="AK908" t="e">
        <f t="shared" si="59"/>
        <v>#N/A</v>
      </c>
    </row>
    <row r="909" spans="1:37">
      <c r="A909" t="s">
        <v>755</v>
      </c>
      <c r="B909" t="s">
        <v>756</v>
      </c>
      <c r="C909" t="s">
        <v>757</v>
      </c>
      <c r="D909" t="s">
        <v>758</v>
      </c>
      <c r="E909" t="s">
        <v>25</v>
      </c>
      <c r="F909" t="s">
        <v>26</v>
      </c>
      <c r="G909" t="s">
        <v>73</v>
      </c>
      <c r="H909" t="s">
        <v>249</v>
      </c>
      <c r="I909" t="s">
        <v>250</v>
      </c>
      <c r="J909" t="s">
        <v>86</v>
      </c>
      <c r="K909" t="s">
        <v>223</v>
      </c>
      <c r="L909" t="s">
        <v>759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  <c r="V909" s="1" t="s">
        <v>25</v>
      </c>
      <c r="W909" s="1" t="s">
        <v>26</v>
      </c>
      <c r="X909" s="1" t="s">
        <v>73</v>
      </c>
      <c r="Y909" s="1" t="s">
        <v>249</v>
      </c>
      <c r="Z909" s="1" t="s">
        <v>250</v>
      </c>
      <c r="AA909" s="1" t="s">
        <v>86</v>
      </c>
      <c r="AB909" s="1" t="s">
        <v>223</v>
      </c>
      <c r="AC909" s="1" t="s">
        <v>33</v>
      </c>
      <c r="AD909" s="1" t="s">
        <v>34</v>
      </c>
      <c r="AE909" s="1" t="s">
        <v>35</v>
      </c>
      <c r="AF909" s="5">
        <f t="shared" si="56"/>
        <v>45639</v>
      </c>
      <c r="AG909" s="5">
        <f t="shared" si="56"/>
        <v>45644</v>
      </c>
      <c r="AH909" s="5" t="b">
        <f t="shared" si="57"/>
        <v>1</v>
      </c>
      <c r="AI909" s="5" t="b">
        <f t="shared" si="57"/>
        <v>1</v>
      </c>
      <c r="AJ909" t="str">
        <f t="shared" si="58"/>
        <v>OK</v>
      </c>
      <c r="AK909">
        <f t="shared" si="59"/>
        <v>5</v>
      </c>
    </row>
    <row r="910" spans="1:37">
      <c r="A910" t="s">
        <v>3355</v>
      </c>
      <c r="B910" t="s">
        <v>1724</v>
      </c>
      <c r="C910" t="s">
        <v>1725</v>
      </c>
      <c r="D910" t="s">
        <v>185</v>
      </c>
      <c r="E910" t="s">
        <v>366</v>
      </c>
      <c r="F910" t="s">
        <v>108</v>
      </c>
      <c r="G910" t="s">
        <v>73</v>
      </c>
      <c r="H910" t="s">
        <v>235</v>
      </c>
      <c r="I910" t="s">
        <v>236</v>
      </c>
      <c r="J910" t="s">
        <v>30</v>
      </c>
      <c r="K910" t="s">
        <v>54</v>
      </c>
      <c r="L910" t="s">
        <v>3356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  <c r="V910" s="1" t="s">
        <v>366</v>
      </c>
      <c r="W910" s="1" t="s">
        <v>108</v>
      </c>
      <c r="X910" s="1" t="s">
        <v>73</v>
      </c>
      <c r="Y910" s="1" t="s">
        <v>235</v>
      </c>
      <c r="Z910" s="1" t="s">
        <v>236</v>
      </c>
      <c r="AA910" s="1" t="s">
        <v>30</v>
      </c>
      <c r="AB910" s="1" t="s">
        <v>54</v>
      </c>
      <c r="AC910" s="1" t="s">
        <v>48</v>
      </c>
      <c r="AD910" s="1" t="s">
        <v>34</v>
      </c>
      <c r="AE910" s="1" t="s">
        <v>35</v>
      </c>
      <c r="AF910" s="5">
        <f t="shared" si="56"/>
        <v>45908</v>
      </c>
      <c r="AG910" s="5">
        <f t="shared" si="56"/>
        <v>45909</v>
      </c>
      <c r="AH910" s="5" t="b">
        <f t="shared" si="57"/>
        <v>1</v>
      </c>
      <c r="AI910" s="5" t="b">
        <f t="shared" si="57"/>
        <v>1</v>
      </c>
      <c r="AJ910" t="str">
        <f t="shared" si="58"/>
        <v>OK</v>
      </c>
      <c r="AK910">
        <f t="shared" si="59"/>
        <v>1</v>
      </c>
    </row>
    <row r="911" spans="1:37">
      <c r="A911" t="s">
        <v>1976</v>
      </c>
      <c r="B911" t="s">
        <v>1977</v>
      </c>
      <c r="C911" t="s">
        <v>1978</v>
      </c>
      <c r="D911" t="s">
        <v>1979</v>
      </c>
      <c r="E911" t="s">
        <v>210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1980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  <c r="V911" s="1" t="s">
        <v>210</v>
      </c>
      <c r="W911" s="1" t="s">
        <v>41</v>
      </c>
      <c r="X911" s="1" t="s">
        <v>62</v>
      </c>
      <c r="Y911" s="1" t="s">
        <v>100</v>
      </c>
      <c r="Z911" s="1" t="s">
        <v>101</v>
      </c>
      <c r="AA911" s="1" t="s">
        <v>30</v>
      </c>
      <c r="AB911" s="1" t="s">
        <v>31</v>
      </c>
      <c r="AC911" s="1" t="s">
        <v>48</v>
      </c>
      <c r="AD911" s="1" t="s">
        <v>34</v>
      </c>
      <c r="AE911" s="1" t="s">
        <v>35</v>
      </c>
      <c r="AF911" s="5">
        <f t="shared" si="56"/>
        <v>45771</v>
      </c>
      <c r="AG911" s="5">
        <f t="shared" si="56"/>
        <v>45776</v>
      </c>
      <c r="AH911" s="5" t="b">
        <f t="shared" si="57"/>
        <v>1</v>
      </c>
      <c r="AI911" s="5" t="b">
        <f t="shared" si="57"/>
        <v>1</v>
      </c>
      <c r="AJ911" t="str">
        <f t="shared" si="58"/>
        <v>OK</v>
      </c>
      <c r="AK911">
        <f t="shared" si="59"/>
        <v>5</v>
      </c>
    </row>
    <row r="912" spans="1:37">
      <c r="A912" t="s">
        <v>708</v>
      </c>
      <c r="B912" t="s">
        <v>709</v>
      </c>
      <c r="C912" t="s">
        <v>710</v>
      </c>
      <c r="D912" t="s">
        <v>711</v>
      </c>
      <c r="E912" t="s">
        <v>168</v>
      </c>
      <c r="F912" t="s">
        <v>41</v>
      </c>
      <c r="G912" t="s">
        <v>712</v>
      </c>
      <c r="H912" t="s">
        <v>154</v>
      </c>
      <c r="I912" t="s">
        <v>155</v>
      </c>
      <c r="J912" t="s">
        <v>86</v>
      </c>
      <c r="K912" t="s">
        <v>94</v>
      </c>
      <c r="L912" t="s">
        <v>713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  <c r="V912" s="1" t="s">
        <v>168</v>
      </c>
      <c r="W912" s="1" t="s">
        <v>41</v>
      </c>
      <c r="X912" s="1" t="s">
        <v>27</v>
      </c>
      <c r="Y912" s="1" t="s">
        <v>154</v>
      </c>
      <c r="Z912" s="1" t="s">
        <v>155</v>
      </c>
      <c r="AA912" s="1" t="s">
        <v>86</v>
      </c>
      <c r="AB912" s="1" t="s">
        <v>94</v>
      </c>
      <c r="AC912" s="1" t="s">
        <v>48</v>
      </c>
      <c r="AD912" s="1" t="s">
        <v>124</v>
      </c>
      <c r="AE912" s="1" t="s">
        <v>78</v>
      </c>
      <c r="AF912" s="5">
        <f t="shared" si="56"/>
        <v>45436</v>
      </c>
      <c r="AG912" s="5">
        <f t="shared" si="56"/>
        <v>45437</v>
      </c>
      <c r="AH912" s="5" t="b">
        <f t="shared" si="57"/>
        <v>1</v>
      </c>
      <c r="AI912" s="5" t="b">
        <f t="shared" si="57"/>
        <v>1</v>
      </c>
      <c r="AJ912" t="str">
        <f t="shared" si="58"/>
        <v>OK</v>
      </c>
      <c r="AK912">
        <f t="shared" si="59"/>
        <v>1</v>
      </c>
    </row>
    <row r="913" spans="1:37">
      <c r="A913" t="s">
        <v>1310</v>
      </c>
      <c r="B913" t="s">
        <v>1311</v>
      </c>
      <c r="C913" t="s">
        <v>1312</v>
      </c>
      <c r="D913" t="s">
        <v>1313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1314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137</v>
      </c>
      <c r="U913" t="s">
        <v>125</v>
      </c>
      <c r="V913" s="1" t="s">
        <v>61</v>
      </c>
      <c r="W913" s="1" t="s">
        <v>41</v>
      </c>
      <c r="X913" s="1" t="s">
        <v>42</v>
      </c>
      <c r="Y913" s="1" t="s">
        <v>121</v>
      </c>
      <c r="Z913" s="1" t="s">
        <v>122</v>
      </c>
      <c r="AA913" s="1" t="s">
        <v>45</v>
      </c>
      <c r="AB913" s="1" t="s">
        <v>65</v>
      </c>
      <c r="AC913" s="1" t="s">
        <v>67</v>
      </c>
      <c r="AD913" s="1" t="s">
        <v>137</v>
      </c>
      <c r="AE913" s="1" t="s">
        <v>125</v>
      </c>
      <c r="AF913" s="5">
        <f t="shared" si="56"/>
        <v>45343</v>
      </c>
      <c r="AG913" s="5">
        <f t="shared" si="56"/>
        <v>45349</v>
      </c>
      <c r="AH913" s="5" t="b">
        <f t="shared" si="57"/>
        <v>1</v>
      </c>
      <c r="AI913" s="5" t="b">
        <f t="shared" si="57"/>
        <v>1</v>
      </c>
      <c r="AJ913" t="str">
        <f t="shared" si="58"/>
        <v>OK</v>
      </c>
      <c r="AK913">
        <f t="shared" si="59"/>
        <v>6</v>
      </c>
    </row>
    <row r="914" spans="1:37">
      <c r="A914" t="s">
        <v>1879</v>
      </c>
      <c r="B914" t="s">
        <v>1521</v>
      </c>
      <c r="C914" t="s">
        <v>1880</v>
      </c>
      <c r="D914" t="s">
        <v>1881</v>
      </c>
      <c r="E914" t="s">
        <v>366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1882</v>
      </c>
      <c r="L914" t="s">
        <v>1883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  <c r="V914" s="1" t="s">
        <v>366</v>
      </c>
      <c r="W914" s="1" t="s">
        <v>41</v>
      </c>
      <c r="X914" s="1" t="s">
        <v>42</v>
      </c>
      <c r="Y914" s="1" t="s">
        <v>43</v>
      </c>
      <c r="Z914" s="1" t="s">
        <v>44</v>
      </c>
      <c r="AA914" s="1" t="s">
        <v>30</v>
      </c>
      <c r="AB914" s="1" t="s">
        <v>156</v>
      </c>
      <c r="AC914" s="1" t="s">
        <v>48</v>
      </c>
      <c r="AD914" s="1" t="s">
        <v>34</v>
      </c>
      <c r="AE914" s="1" t="s">
        <v>35</v>
      </c>
      <c r="AF914" s="5">
        <f t="shared" si="56"/>
        <v>45801</v>
      </c>
      <c r="AG914" s="5" t="e">
        <f t="shared" si="56"/>
        <v>#N/A</v>
      </c>
      <c r="AH914" s="5" t="b">
        <f t="shared" si="57"/>
        <v>1</v>
      </c>
      <c r="AI914" s="5" t="b">
        <f t="shared" si="57"/>
        <v>0</v>
      </c>
      <c r="AJ914" t="e">
        <f t="shared" si="58"/>
        <v>#N/A</v>
      </c>
      <c r="AK914" t="e">
        <f t="shared" si="59"/>
        <v>#N/A</v>
      </c>
    </row>
    <row r="915" spans="1:37">
      <c r="A915" t="s">
        <v>1443</v>
      </c>
      <c r="B915" t="s">
        <v>1444</v>
      </c>
      <c r="C915" t="s">
        <v>1445</v>
      </c>
      <c r="D915" t="s">
        <v>1446</v>
      </c>
      <c r="E915" t="s">
        <v>107</v>
      </c>
      <c r="F915" t="s">
        <v>26</v>
      </c>
      <c r="G915" t="s">
        <v>62</v>
      </c>
      <c r="H915" t="s">
        <v>229</v>
      </c>
      <c r="I915" t="s">
        <v>230</v>
      </c>
      <c r="J915" t="s">
        <v>86</v>
      </c>
      <c r="K915" t="s">
        <v>94</v>
      </c>
      <c r="L915" t="s">
        <v>1447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  <c r="V915" s="1" t="s">
        <v>107</v>
      </c>
      <c r="W915" s="1" t="s">
        <v>26</v>
      </c>
      <c r="X915" s="1" t="s">
        <v>62</v>
      </c>
      <c r="Y915" s="1" t="s">
        <v>229</v>
      </c>
      <c r="Z915" s="1" t="s">
        <v>230</v>
      </c>
      <c r="AA915" s="1" t="s">
        <v>86</v>
      </c>
      <c r="AB915" s="1" t="s">
        <v>94</v>
      </c>
      <c r="AC915" s="1" t="s">
        <v>67</v>
      </c>
      <c r="AD915" s="1" t="s">
        <v>34</v>
      </c>
      <c r="AE915" s="1" t="s">
        <v>35</v>
      </c>
      <c r="AF915" s="5">
        <f t="shared" si="56"/>
        <v>45649</v>
      </c>
      <c r="AG915" s="5" t="e">
        <f t="shared" si="56"/>
        <v>#N/A</v>
      </c>
      <c r="AH915" s="5" t="b">
        <f t="shared" si="57"/>
        <v>1</v>
      </c>
      <c r="AI915" s="5" t="b">
        <f t="shared" si="57"/>
        <v>0</v>
      </c>
      <c r="AJ915" t="e">
        <f t="shared" si="58"/>
        <v>#N/A</v>
      </c>
      <c r="AK915" t="e">
        <f t="shared" si="59"/>
        <v>#N/A</v>
      </c>
    </row>
    <row r="916" spans="1:37">
      <c r="A916" t="s">
        <v>3330</v>
      </c>
      <c r="B916" t="s">
        <v>2129</v>
      </c>
      <c r="C916" t="s">
        <v>3331</v>
      </c>
      <c r="D916" t="s">
        <v>3332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3333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  <c r="V916" s="1" t="s">
        <v>53</v>
      </c>
      <c r="W916" s="1" t="s">
        <v>115</v>
      </c>
      <c r="X916" s="1" t="s">
        <v>73</v>
      </c>
      <c r="Y916" s="1" t="s">
        <v>84</v>
      </c>
      <c r="Z916" s="1" t="s">
        <v>85</v>
      </c>
      <c r="AA916" s="1" t="s">
        <v>45</v>
      </c>
      <c r="AB916" s="1" t="s">
        <v>76</v>
      </c>
      <c r="AC916" s="1" t="s">
        <v>56</v>
      </c>
      <c r="AD916" s="1" t="s">
        <v>34</v>
      </c>
      <c r="AE916" s="1" t="s">
        <v>35</v>
      </c>
      <c r="AF916" s="5">
        <f t="shared" si="56"/>
        <v>45332</v>
      </c>
      <c r="AG916" s="5">
        <f t="shared" si="56"/>
        <v>45340</v>
      </c>
      <c r="AH916" s="5" t="b">
        <f t="shared" si="57"/>
        <v>1</v>
      </c>
      <c r="AI916" s="5" t="b">
        <f t="shared" si="57"/>
        <v>1</v>
      </c>
      <c r="AJ916" t="str">
        <f t="shared" si="58"/>
        <v>OK</v>
      </c>
      <c r="AK916">
        <f t="shared" si="59"/>
        <v>8</v>
      </c>
    </row>
    <row r="917" spans="1:37">
      <c r="A917" t="s">
        <v>2648</v>
      </c>
      <c r="B917" t="s">
        <v>2649</v>
      </c>
      <c r="C917" t="s">
        <v>2650</v>
      </c>
      <c r="D917" t="s">
        <v>2651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2652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  <c r="V917" s="1" t="s">
        <v>40</v>
      </c>
      <c r="W917" s="1" t="s">
        <v>108</v>
      </c>
      <c r="X917" s="1" t="s">
        <v>62</v>
      </c>
      <c r="Y917" s="1" t="s">
        <v>63</v>
      </c>
      <c r="Z917" s="1" t="s">
        <v>64</v>
      </c>
      <c r="AA917" s="1" t="s">
        <v>30</v>
      </c>
      <c r="AB917" s="1" t="s">
        <v>54</v>
      </c>
      <c r="AC917" s="1" t="s">
        <v>33</v>
      </c>
      <c r="AD917" s="1" t="s">
        <v>34</v>
      </c>
      <c r="AE917" s="1" t="s">
        <v>35</v>
      </c>
      <c r="AF917" s="5">
        <f t="shared" si="56"/>
        <v>45941</v>
      </c>
      <c r="AG917" s="5">
        <f t="shared" si="56"/>
        <v>45943</v>
      </c>
      <c r="AH917" s="5" t="b">
        <f t="shared" si="57"/>
        <v>1</v>
      </c>
      <c r="AI917" s="5" t="b">
        <f t="shared" si="57"/>
        <v>1</v>
      </c>
      <c r="AJ917" t="str">
        <f t="shared" si="58"/>
        <v>OK</v>
      </c>
      <c r="AK917">
        <f t="shared" si="59"/>
        <v>2</v>
      </c>
    </row>
    <row r="918" spans="1:37">
      <c r="A918" t="s">
        <v>3890</v>
      </c>
      <c r="B918" t="s">
        <v>3891</v>
      </c>
      <c r="C918" t="s">
        <v>1071</v>
      </c>
      <c r="D918" t="s">
        <v>3892</v>
      </c>
      <c r="E918" t="s">
        <v>53</v>
      </c>
      <c r="F918" t="s">
        <v>115</v>
      </c>
      <c r="G918" t="s">
        <v>73</v>
      </c>
      <c r="H918" t="s">
        <v>235</v>
      </c>
      <c r="I918" t="s">
        <v>236</v>
      </c>
      <c r="J918" t="s">
        <v>45</v>
      </c>
      <c r="K918" t="s">
        <v>204</v>
      </c>
      <c r="L918" t="s">
        <v>3893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35</v>
      </c>
      <c r="V918" s="1" t="s">
        <v>53</v>
      </c>
      <c r="W918" s="1" t="s">
        <v>115</v>
      </c>
      <c r="X918" s="1" t="s">
        <v>73</v>
      </c>
      <c r="Y918" s="1" t="s">
        <v>235</v>
      </c>
      <c r="Z918" s="1" t="s">
        <v>236</v>
      </c>
      <c r="AA918" s="1" t="s">
        <v>45</v>
      </c>
      <c r="AB918" s="1" t="s">
        <v>204</v>
      </c>
      <c r="AC918" s="1" t="s">
        <v>67</v>
      </c>
      <c r="AD918" s="1" t="s">
        <v>34</v>
      </c>
      <c r="AE918" s="1" t="s">
        <v>35</v>
      </c>
      <c r="AF918" s="5">
        <f t="shared" si="56"/>
        <v>45357</v>
      </c>
      <c r="AG918" s="5">
        <f t="shared" si="56"/>
        <v>45629</v>
      </c>
      <c r="AH918" s="5" t="b">
        <f t="shared" si="57"/>
        <v>1</v>
      </c>
      <c r="AI918" s="5" t="b">
        <f t="shared" si="57"/>
        <v>1</v>
      </c>
      <c r="AJ918" t="str">
        <f t="shared" si="58"/>
        <v>OK</v>
      </c>
      <c r="AK918">
        <f t="shared" si="59"/>
        <v>272</v>
      </c>
    </row>
    <row r="919" spans="1:37">
      <c r="A919" t="s">
        <v>728</v>
      </c>
      <c r="B919" t="s">
        <v>191</v>
      </c>
      <c r="C919" t="s">
        <v>729</v>
      </c>
      <c r="D919" t="s">
        <v>730</v>
      </c>
      <c r="E919" t="s">
        <v>142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156</v>
      </c>
      <c r="L919" t="s">
        <v>731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  <c r="V919" s="1" t="s">
        <v>142</v>
      </c>
      <c r="W919" s="1" t="s">
        <v>108</v>
      </c>
      <c r="X919" s="1" t="s">
        <v>73</v>
      </c>
      <c r="Y919" s="1" t="s">
        <v>84</v>
      </c>
      <c r="Z919" s="1" t="s">
        <v>85</v>
      </c>
      <c r="AA919" s="1" t="s">
        <v>30</v>
      </c>
      <c r="AB919" s="1" t="s">
        <v>156</v>
      </c>
      <c r="AC919" s="1" t="s">
        <v>33</v>
      </c>
      <c r="AD919" s="1" t="s">
        <v>34</v>
      </c>
      <c r="AE919" s="1" t="s">
        <v>35</v>
      </c>
      <c r="AF919" s="5">
        <f t="shared" si="56"/>
        <v>45687</v>
      </c>
      <c r="AG919" s="5" t="e">
        <f t="shared" si="56"/>
        <v>#N/A</v>
      </c>
      <c r="AH919" s="5" t="b">
        <f t="shared" si="57"/>
        <v>1</v>
      </c>
      <c r="AI919" s="5" t="b">
        <f t="shared" si="57"/>
        <v>0</v>
      </c>
      <c r="AJ919" t="e">
        <f t="shared" si="58"/>
        <v>#N/A</v>
      </c>
      <c r="AK919" t="e">
        <f t="shared" si="59"/>
        <v>#N/A</v>
      </c>
    </row>
    <row r="920" spans="1:37">
      <c r="A920" t="s">
        <v>3184</v>
      </c>
      <c r="B920" t="s">
        <v>3185</v>
      </c>
      <c r="C920" t="s">
        <v>3186</v>
      </c>
      <c r="D920" t="s">
        <v>3187</v>
      </c>
      <c r="E920" t="s">
        <v>148</v>
      </c>
      <c r="F920" t="s">
        <v>41</v>
      </c>
      <c r="G920" t="s">
        <v>27</v>
      </c>
      <c r="H920" t="s">
        <v>506</v>
      </c>
      <c r="I920" t="s">
        <v>507</v>
      </c>
      <c r="J920" t="s">
        <v>86</v>
      </c>
      <c r="K920" t="s">
        <v>223</v>
      </c>
      <c r="L920" t="s">
        <v>3188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  <c r="V920" s="1" t="s">
        <v>148</v>
      </c>
      <c r="W920" s="1" t="s">
        <v>41</v>
      </c>
      <c r="X920" s="1" t="s">
        <v>27</v>
      </c>
      <c r="Y920" s="1" t="s">
        <v>506</v>
      </c>
      <c r="Z920" s="1" t="s">
        <v>507</v>
      </c>
      <c r="AA920" s="1" t="s">
        <v>86</v>
      </c>
      <c r="AB920" s="1" t="s">
        <v>223</v>
      </c>
      <c r="AC920" s="1" t="s">
        <v>48</v>
      </c>
      <c r="AD920" s="1" t="s">
        <v>34</v>
      </c>
      <c r="AE920" s="1" t="s">
        <v>35</v>
      </c>
      <c r="AF920" s="5">
        <f t="shared" si="56"/>
        <v>45911</v>
      </c>
      <c r="AG920" s="5">
        <f t="shared" si="56"/>
        <v>45918</v>
      </c>
      <c r="AH920" s="5" t="b">
        <f t="shared" si="57"/>
        <v>1</v>
      </c>
      <c r="AI920" s="5" t="b">
        <f t="shared" si="57"/>
        <v>1</v>
      </c>
      <c r="AJ920" t="str">
        <f t="shared" si="58"/>
        <v>OK</v>
      </c>
      <c r="AK920">
        <f t="shared" si="59"/>
        <v>7</v>
      </c>
    </row>
    <row r="921" spans="1:37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  <c r="V921" s="1" t="s">
        <v>93</v>
      </c>
      <c r="W921" s="1" t="s">
        <v>26</v>
      </c>
      <c r="X921" s="1" t="s">
        <v>42</v>
      </c>
      <c r="Y921" s="1" t="s">
        <v>43</v>
      </c>
      <c r="Z921" s="1" t="s">
        <v>44</v>
      </c>
      <c r="AA921" s="1" t="s">
        <v>86</v>
      </c>
      <c r="AB921" s="1" t="s">
        <v>94</v>
      </c>
      <c r="AC921" s="1" t="s">
        <v>67</v>
      </c>
      <c r="AD921" s="1" t="s">
        <v>34</v>
      </c>
      <c r="AE921" s="1" t="s">
        <v>35</v>
      </c>
      <c r="AF921" s="5">
        <f t="shared" si="56"/>
        <v>45757</v>
      </c>
      <c r="AG921" s="5">
        <f t="shared" si="56"/>
        <v>45763</v>
      </c>
      <c r="AH921" s="5" t="b">
        <f t="shared" si="57"/>
        <v>1</v>
      </c>
      <c r="AI921" s="5" t="b">
        <f t="shared" si="57"/>
        <v>1</v>
      </c>
      <c r="AJ921" t="str">
        <f t="shared" si="58"/>
        <v>OK</v>
      </c>
      <c r="AK921">
        <f t="shared" si="59"/>
        <v>6</v>
      </c>
    </row>
    <row r="922" spans="1:37">
      <c r="A922" t="s">
        <v>1677</v>
      </c>
      <c r="B922" t="s">
        <v>705</v>
      </c>
      <c r="C922" t="s">
        <v>1678</v>
      </c>
      <c r="D922" t="s">
        <v>1679</v>
      </c>
      <c r="E922" t="s">
        <v>168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198</v>
      </c>
      <c r="L922" t="s">
        <v>1680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  <c r="V922" s="1" t="s">
        <v>168</v>
      </c>
      <c r="W922" s="1" t="s">
        <v>115</v>
      </c>
      <c r="X922" s="1" t="s">
        <v>42</v>
      </c>
      <c r="Y922" s="1" t="s">
        <v>43</v>
      </c>
      <c r="Z922" s="1" t="s">
        <v>44</v>
      </c>
      <c r="AA922" s="1" t="s">
        <v>30</v>
      </c>
      <c r="AB922" s="1" t="s">
        <v>198</v>
      </c>
      <c r="AC922" s="1" t="s">
        <v>33</v>
      </c>
      <c r="AD922" s="1" t="s">
        <v>34</v>
      </c>
      <c r="AE922" s="1" t="s">
        <v>35</v>
      </c>
      <c r="AF922" s="5">
        <f t="shared" si="56"/>
        <v>45394</v>
      </c>
      <c r="AG922" s="5">
        <f t="shared" si="56"/>
        <v>45632</v>
      </c>
      <c r="AH922" s="5" t="b">
        <f t="shared" si="57"/>
        <v>1</v>
      </c>
      <c r="AI922" s="5" t="b">
        <f t="shared" si="57"/>
        <v>1</v>
      </c>
      <c r="AJ922" t="str">
        <f t="shared" si="58"/>
        <v>OK</v>
      </c>
      <c r="AK922">
        <f t="shared" si="59"/>
        <v>238</v>
      </c>
    </row>
    <row r="923" spans="1:37">
      <c r="A923" t="s">
        <v>549</v>
      </c>
      <c r="B923" t="s">
        <v>550</v>
      </c>
      <c r="C923" t="s">
        <v>69</v>
      </c>
      <c r="D923" t="s">
        <v>551</v>
      </c>
      <c r="E923" t="s">
        <v>162</v>
      </c>
      <c r="F923" t="s">
        <v>41</v>
      </c>
      <c r="G923" t="s">
        <v>42</v>
      </c>
      <c r="H923" t="s">
        <v>186</v>
      </c>
      <c r="I923" t="s">
        <v>187</v>
      </c>
      <c r="J923" t="s">
        <v>86</v>
      </c>
      <c r="K923" t="s">
        <v>94</v>
      </c>
      <c r="L923" t="s">
        <v>552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  <c r="V923" s="1" t="s">
        <v>162</v>
      </c>
      <c r="W923" s="1" t="s">
        <v>41</v>
      </c>
      <c r="X923" s="1" t="s">
        <v>42</v>
      </c>
      <c r="Y923" s="1" t="s">
        <v>186</v>
      </c>
      <c r="Z923" s="1" t="s">
        <v>187</v>
      </c>
      <c r="AA923" s="1" t="s">
        <v>86</v>
      </c>
      <c r="AB923" s="1" t="s">
        <v>94</v>
      </c>
      <c r="AC923" s="1" t="s">
        <v>56</v>
      </c>
      <c r="AD923" s="1" t="s">
        <v>34</v>
      </c>
      <c r="AE923" s="1" t="s">
        <v>125</v>
      </c>
      <c r="AF923" s="5">
        <f t="shared" si="56"/>
        <v>45893</v>
      </c>
      <c r="AG923" s="5">
        <f t="shared" si="56"/>
        <v>45898</v>
      </c>
      <c r="AH923" s="5" t="b">
        <f t="shared" si="57"/>
        <v>1</v>
      </c>
      <c r="AI923" s="5" t="b">
        <f t="shared" si="57"/>
        <v>1</v>
      </c>
      <c r="AJ923" t="str">
        <f t="shared" si="58"/>
        <v>OK</v>
      </c>
      <c r="AK923">
        <f t="shared" si="59"/>
        <v>5</v>
      </c>
    </row>
    <row r="924" spans="1:37">
      <c r="A924" t="s">
        <v>1861</v>
      </c>
      <c r="B924" t="s">
        <v>1862</v>
      </c>
      <c r="C924" t="s">
        <v>1862</v>
      </c>
      <c r="D924" t="s">
        <v>1863</v>
      </c>
      <c r="E924" t="s">
        <v>168</v>
      </c>
      <c r="F924" t="s">
        <v>41</v>
      </c>
      <c r="G924" t="s">
        <v>27</v>
      </c>
      <c r="H924" t="s">
        <v>174</v>
      </c>
      <c r="I924" t="s">
        <v>175</v>
      </c>
      <c r="J924" t="s">
        <v>30</v>
      </c>
      <c r="K924" t="s">
        <v>156</v>
      </c>
      <c r="L924" t="s">
        <v>1864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  <c r="V924" s="1" t="s">
        <v>168</v>
      </c>
      <c r="W924" s="1" t="s">
        <v>41</v>
      </c>
      <c r="X924" s="1" t="s">
        <v>27</v>
      </c>
      <c r="Y924" s="1" t="s">
        <v>174</v>
      </c>
      <c r="Z924" s="1" t="s">
        <v>175</v>
      </c>
      <c r="AA924" s="1" t="s">
        <v>30</v>
      </c>
      <c r="AB924" s="1" t="s">
        <v>156</v>
      </c>
      <c r="AC924" s="1" t="s">
        <v>33</v>
      </c>
      <c r="AD924" s="1" t="s">
        <v>34</v>
      </c>
      <c r="AE924" s="1" t="s">
        <v>125</v>
      </c>
      <c r="AF924" s="5">
        <f t="shared" si="56"/>
        <v>45760</v>
      </c>
      <c r="AG924" s="5">
        <f t="shared" si="56"/>
        <v>45760</v>
      </c>
      <c r="AH924" s="5" t="b">
        <f t="shared" si="57"/>
        <v>1</v>
      </c>
      <c r="AI924" s="5" t="b">
        <f t="shared" si="57"/>
        <v>1</v>
      </c>
      <c r="AJ924" t="str">
        <f t="shared" si="58"/>
        <v>OK</v>
      </c>
      <c r="AK924">
        <f t="shared" si="59"/>
        <v>0</v>
      </c>
    </row>
    <row r="925" spans="1:37">
      <c r="A925" t="s">
        <v>1189</v>
      </c>
      <c r="B925" t="s">
        <v>1190</v>
      </c>
      <c r="C925" t="s">
        <v>1191</v>
      </c>
      <c r="D925" t="s">
        <v>1192</v>
      </c>
      <c r="E925" t="s">
        <v>53</v>
      </c>
      <c r="F925" t="s">
        <v>41</v>
      </c>
      <c r="G925" t="s">
        <v>27</v>
      </c>
      <c r="H925" t="s">
        <v>154</v>
      </c>
      <c r="I925" t="s">
        <v>155</v>
      </c>
      <c r="J925" t="s">
        <v>45</v>
      </c>
      <c r="K925" t="s">
        <v>65</v>
      </c>
      <c r="L925" t="s">
        <v>1193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  <c r="V925" s="1" t="s">
        <v>53</v>
      </c>
      <c r="W925" s="1" t="s">
        <v>41</v>
      </c>
      <c r="X925" s="1" t="s">
        <v>27</v>
      </c>
      <c r="Y925" s="1" t="s">
        <v>154</v>
      </c>
      <c r="Z925" s="1" t="s">
        <v>155</v>
      </c>
      <c r="AA925" s="1" t="s">
        <v>45</v>
      </c>
      <c r="AB925" s="1" t="s">
        <v>65</v>
      </c>
      <c r="AC925" s="1" t="s">
        <v>67</v>
      </c>
      <c r="AD925" s="1" t="s">
        <v>34</v>
      </c>
      <c r="AE925" s="1" t="s">
        <v>125</v>
      </c>
      <c r="AF925" s="5">
        <f t="shared" si="56"/>
        <v>45932</v>
      </c>
      <c r="AG925" s="5">
        <f t="shared" si="56"/>
        <v>45938</v>
      </c>
      <c r="AH925" s="5" t="b">
        <f t="shared" si="57"/>
        <v>1</v>
      </c>
      <c r="AI925" s="5" t="b">
        <f t="shared" si="57"/>
        <v>1</v>
      </c>
      <c r="AJ925" t="str">
        <f t="shared" si="58"/>
        <v>OK</v>
      </c>
      <c r="AK925">
        <f t="shared" si="59"/>
        <v>6</v>
      </c>
    </row>
    <row r="926" spans="1:37">
      <c r="A926" t="s">
        <v>1602</v>
      </c>
      <c r="B926" t="s">
        <v>1104</v>
      </c>
      <c r="C926" t="s">
        <v>118</v>
      </c>
      <c r="D926" t="s">
        <v>1603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1604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200</v>
      </c>
      <c r="U926" t="s">
        <v>35</v>
      </c>
      <c r="V926" s="1" t="s">
        <v>53</v>
      </c>
      <c r="W926" s="1" t="s">
        <v>108</v>
      </c>
      <c r="X926" s="1" t="s">
        <v>73</v>
      </c>
      <c r="Y926" s="1" t="s">
        <v>84</v>
      </c>
      <c r="Z926" s="1" t="s">
        <v>85</v>
      </c>
      <c r="AA926" s="1" t="s">
        <v>30</v>
      </c>
      <c r="AB926" s="1" t="s">
        <v>109</v>
      </c>
      <c r="AC926" s="1" t="s">
        <v>67</v>
      </c>
      <c r="AD926" s="1" t="s">
        <v>200</v>
      </c>
      <c r="AE926" s="1" t="s">
        <v>35</v>
      </c>
      <c r="AF926" s="5">
        <f t="shared" si="56"/>
        <v>45795</v>
      </c>
      <c r="AG926" s="5">
        <f t="shared" si="56"/>
        <v>45797</v>
      </c>
      <c r="AH926" s="5" t="b">
        <f t="shared" si="57"/>
        <v>1</v>
      </c>
      <c r="AI926" s="5" t="b">
        <f t="shared" si="57"/>
        <v>1</v>
      </c>
      <c r="AJ926" t="str">
        <f t="shared" si="58"/>
        <v>OK</v>
      </c>
      <c r="AK926">
        <f t="shared" si="59"/>
        <v>2</v>
      </c>
    </row>
    <row r="927" spans="1:37">
      <c r="A927" t="s">
        <v>934</v>
      </c>
      <c r="B927" t="s">
        <v>112</v>
      </c>
      <c r="C927" t="s">
        <v>935</v>
      </c>
      <c r="D927" t="s">
        <v>936</v>
      </c>
      <c r="E927" t="s">
        <v>180</v>
      </c>
      <c r="F927" t="s">
        <v>108</v>
      </c>
      <c r="G927" t="s">
        <v>42</v>
      </c>
      <c r="H927" t="s">
        <v>186</v>
      </c>
      <c r="I927" t="s">
        <v>187</v>
      </c>
      <c r="J927" t="s">
        <v>86</v>
      </c>
      <c r="K927" t="s">
        <v>94</v>
      </c>
      <c r="L927" t="s">
        <v>937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  <c r="V927" s="1" t="s">
        <v>180</v>
      </c>
      <c r="W927" s="1" t="s">
        <v>108</v>
      </c>
      <c r="X927" s="1" t="s">
        <v>42</v>
      </c>
      <c r="Y927" s="1" t="s">
        <v>186</v>
      </c>
      <c r="Z927" s="1" t="s">
        <v>187</v>
      </c>
      <c r="AA927" s="1" t="s">
        <v>86</v>
      </c>
      <c r="AB927" s="1" t="s">
        <v>94</v>
      </c>
      <c r="AC927" s="1" t="s">
        <v>67</v>
      </c>
      <c r="AD927" s="1" t="s">
        <v>34</v>
      </c>
      <c r="AE927" s="1" t="s">
        <v>125</v>
      </c>
      <c r="AF927" s="5">
        <f t="shared" si="56"/>
        <v>45847</v>
      </c>
      <c r="AG927" s="5">
        <f t="shared" si="56"/>
        <v>45915</v>
      </c>
      <c r="AH927" s="5" t="b">
        <f t="shared" si="57"/>
        <v>1</v>
      </c>
      <c r="AI927" s="5" t="b">
        <f t="shared" si="57"/>
        <v>1</v>
      </c>
      <c r="AJ927" t="str">
        <f t="shared" si="58"/>
        <v>OK</v>
      </c>
      <c r="AK927">
        <f t="shared" si="59"/>
        <v>68</v>
      </c>
    </row>
    <row r="928" spans="1:37">
      <c r="A928" t="s">
        <v>2087</v>
      </c>
      <c r="B928" t="s">
        <v>2088</v>
      </c>
      <c r="C928" t="s">
        <v>2089</v>
      </c>
      <c r="D928" t="s">
        <v>2090</v>
      </c>
      <c r="E928" t="s">
        <v>210</v>
      </c>
      <c r="F928" t="s">
        <v>26</v>
      </c>
      <c r="G928" t="s">
        <v>62</v>
      </c>
      <c r="H928" t="s">
        <v>242</v>
      </c>
      <c r="I928" t="s">
        <v>243</v>
      </c>
      <c r="J928" t="s">
        <v>86</v>
      </c>
      <c r="K928" t="s">
        <v>87</v>
      </c>
      <c r="L928" t="s">
        <v>2091</v>
      </c>
      <c r="M928" t="s">
        <v>2092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  <c r="V928" s="1" t="s">
        <v>210</v>
      </c>
      <c r="W928" s="1" t="s">
        <v>26</v>
      </c>
      <c r="X928" s="1" t="s">
        <v>62</v>
      </c>
      <c r="Y928" s="1" t="s">
        <v>242</v>
      </c>
      <c r="Z928" s="1" t="s">
        <v>243</v>
      </c>
      <c r="AA928" s="1" t="s">
        <v>86</v>
      </c>
      <c r="AB928" s="1" t="s">
        <v>87</v>
      </c>
      <c r="AC928" s="1" t="s">
        <v>56</v>
      </c>
      <c r="AD928" s="1" t="s">
        <v>34</v>
      </c>
      <c r="AE928" s="1" t="s">
        <v>125</v>
      </c>
      <c r="AF928" s="5">
        <f t="shared" si="56"/>
        <v>45342</v>
      </c>
      <c r="AG928" s="5" t="e">
        <f t="shared" si="56"/>
        <v>#N/A</v>
      </c>
      <c r="AH928" s="5" t="b">
        <f t="shared" si="57"/>
        <v>1</v>
      </c>
      <c r="AI928" s="5" t="b">
        <f t="shared" si="57"/>
        <v>0</v>
      </c>
      <c r="AJ928" t="e">
        <f t="shared" si="58"/>
        <v>#N/A</v>
      </c>
      <c r="AK928" t="e">
        <f t="shared" si="59"/>
        <v>#N/A</v>
      </c>
    </row>
    <row r="929" spans="1:37">
      <c r="A929" t="s">
        <v>2739</v>
      </c>
      <c r="B929" t="s">
        <v>2675</v>
      </c>
      <c r="C929" t="s">
        <v>2740</v>
      </c>
      <c r="D929" t="s">
        <v>2741</v>
      </c>
      <c r="E929" t="s">
        <v>142</v>
      </c>
      <c r="F929" t="s">
        <v>41</v>
      </c>
      <c r="G929" t="s">
        <v>27</v>
      </c>
      <c r="H929" t="s">
        <v>174</v>
      </c>
      <c r="I929" t="s">
        <v>175</v>
      </c>
      <c r="J929" t="s">
        <v>86</v>
      </c>
      <c r="K929" t="s">
        <v>223</v>
      </c>
      <c r="L929" t="s">
        <v>2742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200</v>
      </c>
      <c r="U929" t="s">
        <v>35</v>
      </c>
      <c r="V929" s="1" t="s">
        <v>142</v>
      </c>
      <c r="W929" s="1" t="s">
        <v>41</v>
      </c>
      <c r="X929" s="1" t="s">
        <v>27</v>
      </c>
      <c r="Y929" s="1" t="s">
        <v>174</v>
      </c>
      <c r="Z929" s="1" t="s">
        <v>175</v>
      </c>
      <c r="AA929" s="1" t="s">
        <v>86</v>
      </c>
      <c r="AB929" s="1" t="s">
        <v>223</v>
      </c>
      <c r="AC929" s="1" t="s">
        <v>4119</v>
      </c>
      <c r="AD929" s="1" t="s">
        <v>200</v>
      </c>
      <c r="AE929" s="1" t="s">
        <v>35</v>
      </c>
      <c r="AF929" s="5">
        <f t="shared" si="56"/>
        <v>45698</v>
      </c>
      <c r="AG929" s="5">
        <f t="shared" si="56"/>
        <v>45702</v>
      </c>
      <c r="AH929" s="5" t="b">
        <f t="shared" si="57"/>
        <v>1</v>
      </c>
      <c r="AI929" s="5" t="b">
        <f t="shared" si="57"/>
        <v>1</v>
      </c>
      <c r="AJ929" t="str">
        <f t="shared" si="58"/>
        <v>OK</v>
      </c>
      <c r="AK929">
        <f t="shared" si="59"/>
        <v>4</v>
      </c>
    </row>
    <row r="930" spans="1:37">
      <c r="A930" t="s">
        <v>800</v>
      </c>
      <c r="B930" t="s">
        <v>801</v>
      </c>
      <c r="C930" t="s">
        <v>802</v>
      </c>
      <c r="D930" t="s">
        <v>803</v>
      </c>
      <c r="E930" t="s">
        <v>107</v>
      </c>
      <c r="F930" t="s">
        <v>115</v>
      </c>
      <c r="G930" t="s">
        <v>27</v>
      </c>
      <c r="H930" t="s">
        <v>28</v>
      </c>
      <c r="I930" t="s">
        <v>29</v>
      </c>
      <c r="J930" t="s">
        <v>86</v>
      </c>
      <c r="K930" t="s">
        <v>223</v>
      </c>
      <c r="L930" t="s">
        <v>804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  <c r="V930" s="1" t="s">
        <v>107</v>
      </c>
      <c r="W930" s="1" t="s">
        <v>115</v>
      </c>
      <c r="X930" s="1" t="s">
        <v>27</v>
      </c>
      <c r="Y930" s="1" t="s">
        <v>28</v>
      </c>
      <c r="Z930" s="1" t="s">
        <v>29</v>
      </c>
      <c r="AA930" s="1" t="s">
        <v>86</v>
      </c>
      <c r="AB930" s="1" t="s">
        <v>223</v>
      </c>
      <c r="AC930" s="1" t="s">
        <v>33</v>
      </c>
      <c r="AD930" s="1" t="s">
        <v>34</v>
      </c>
      <c r="AE930" s="1" t="s">
        <v>125</v>
      </c>
      <c r="AF930" s="5">
        <f t="shared" si="56"/>
        <v>45381</v>
      </c>
      <c r="AG930" s="5">
        <f t="shared" si="56"/>
        <v>45377</v>
      </c>
      <c r="AH930" s="5" t="b">
        <f t="shared" si="57"/>
        <v>1</v>
      </c>
      <c r="AI930" s="5" t="b">
        <f t="shared" si="57"/>
        <v>1</v>
      </c>
      <c r="AJ930" t="str">
        <f t="shared" si="58"/>
        <v>Invalid: Ship before Order</v>
      </c>
      <c r="AK930" t="e">
        <f t="shared" si="59"/>
        <v>#NUM!</v>
      </c>
    </row>
    <row r="931" spans="1:37">
      <c r="A931" t="s">
        <v>1408</v>
      </c>
      <c r="B931" t="s">
        <v>1409</v>
      </c>
      <c r="C931" t="s">
        <v>1410</v>
      </c>
      <c r="D931" t="s">
        <v>1411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1412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  <c r="V931" s="1" t="s">
        <v>61</v>
      </c>
      <c r="W931" s="1" t="s">
        <v>26</v>
      </c>
      <c r="X931" s="1" t="s">
        <v>62</v>
      </c>
      <c r="Y931" s="1" t="s">
        <v>100</v>
      </c>
      <c r="Z931" s="1" t="s">
        <v>101</v>
      </c>
      <c r="AA931" s="1" t="s">
        <v>45</v>
      </c>
      <c r="AB931" s="1" t="s">
        <v>76</v>
      </c>
      <c r="AC931" s="1" t="s">
        <v>56</v>
      </c>
      <c r="AD931" s="1" t="s">
        <v>34</v>
      </c>
      <c r="AE931" s="1" t="s">
        <v>125</v>
      </c>
      <c r="AF931" s="5">
        <f t="shared" si="56"/>
        <v>45522</v>
      </c>
      <c r="AG931" s="5">
        <f t="shared" si="56"/>
        <v>45528</v>
      </c>
      <c r="AH931" s="5" t="b">
        <f t="shared" si="57"/>
        <v>1</v>
      </c>
      <c r="AI931" s="5" t="b">
        <f t="shared" si="57"/>
        <v>1</v>
      </c>
      <c r="AJ931" t="str">
        <f t="shared" si="58"/>
        <v>OK</v>
      </c>
      <c r="AK931">
        <f t="shared" si="59"/>
        <v>6</v>
      </c>
    </row>
    <row r="932" spans="1:37">
      <c r="A932" t="s">
        <v>708</v>
      </c>
      <c r="B932" t="s">
        <v>709</v>
      </c>
      <c r="C932" t="s">
        <v>710</v>
      </c>
      <c r="D932" t="s">
        <v>711</v>
      </c>
      <c r="E932" t="s">
        <v>168</v>
      </c>
      <c r="F932" t="s">
        <v>41</v>
      </c>
      <c r="G932" t="s">
        <v>712</v>
      </c>
      <c r="H932" t="s">
        <v>154</v>
      </c>
      <c r="I932" t="s">
        <v>155</v>
      </c>
      <c r="J932" t="s">
        <v>86</v>
      </c>
      <c r="K932" t="s">
        <v>94</v>
      </c>
      <c r="L932" t="s">
        <v>713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  <c r="V932" s="1" t="s">
        <v>168</v>
      </c>
      <c r="W932" s="1" t="s">
        <v>41</v>
      </c>
      <c r="X932" s="1" t="s">
        <v>27</v>
      </c>
      <c r="Y932" s="1" t="s">
        <v>154</v>
      </c>
      <c r="Z932" s="1" t="s">
        <v>155</v>
      </c>
      <c r="AA932" s="1" t="s">
        <v>86</v>
      </c>
      <c r="AB932" s="1" t="s">
        <v>94</v>
      </c>
      <c r="AC932" s="1" t="s">
        <v>48</v>
      </c>
      <c r="AD932" s="1" t="s">
        <v>124</v>
      </c>
      <c r="AE932" s="1" t="s">
        <v>125</v>
      </c>
      <c r="AF932" s="5">
        <f t="shared" si="56"/>
        <v>45436</v>
      </c>
      <c r="AG932" s="5">
        <f t="shared" si="56"/>
        <v>45437</v>
      </c>
      <c r="AH932" s="5" t="b">
        <f t="shared" si="57"/>
        <v>1</v>
      </c>
      <c r="AI932" s="5" t="b">
        <f t="shared" si="57"/>
        <v>1</v>
      </c>
      <c r="AJ932" t="str">
        <f t="shared" si="58"/>
        <v>OK</v>
      </c>
      <c r="AK932">
        <f t="shared" si="59"/>
        <v>1</v>
      </c>
    </row>
    <row r="933" spans="1:37">
      <c r="A933" t="s">
        <v>1697</v>
      </c>
      <c r="B933" t="s">
        <v>1698</v>
      </c>
      <c r="C933" t="s">
        <v>1699</v>
      </c>
      <c r="D933" t="s">
        <v>1700</v>
      </c>
      <c r="E933" t="s">
        <v>148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1701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  <c r="V933" s="1" t="s">
        <v>148</v>
      </c>
      <c r="W933" s="1" t="s">
        <v>115</v>
      </c>
      <c r="X933" s="1" t="s">
        <v>73</v>
      </c>
      <c r="Y933" s="1" t="s">
        <v>84</v>
      </c>
      <c r="Z933" s="1" t="s">
        <v>85</v>
      </c>
      <c r="AA933" s="1" t="s">
        <v>30</v>
      </c>
      <c r="AB933" s="1" t="s">
        <v>31</v>
      </c>
      <c r="AC933" s="1" t="s">
        <v>56</v>
      </c>
      <c r="AD933" s="1" t="s">
        <v>34</v>
      </c>
      <c r="AE933" s="1" t="s">
        <v>125</v>
      </c>
      <c r="AF933" s="5">
        <f t="shared" si="56"/>
        <v>45824</v>
      </c>
      <c r="AG933" s="5">
        <f t="shared" si="56"/>
        <v>45826</v>
      </c>
      <c r="AH933" s="5" t="b">
        <f t="shared" si="57"/>
        <v>1</v>
      </c>
      <c r="AI933" s="5" t="b">
        <f t="shared" si="57"/>
        <v>1</v>
      </c>
      <c r="AJ933" t="str">
        <f t="shared" si="58"/>
        <v>OK</v>
      </c>
      <c r="AK933">
        <f t="shared" si="59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2" t="s">
        <v>4088</v>
      </c>
      <c r="B1" s="2" t="s">
        <v>4089</v>
      </c>
    </row>
    <row r="2" spans="1:2" ht="42">
      <c r="A2" s="3" t="s">
        <v>4090</v>
      </c>
      <c r="B2" s="3" t="s">
        <v>4091</v>
      </c>
    </row>
    <row r="3" spans="1:2" ht="28">
      <c r="A3" s="3" t="s">
        <v>4092</v>
      </c>
      <c r="B3" s="3" t="s">
        <v>4093</v>
      </c>
    </row>
    <row r="4" spans="1:2" ht="28">
      <c r="A4" s="3" t="s">
        <v>4094</v>
      </c>
      <c r="B4" s="3" t="s">
        <v>4093</v>
      </c>
    </row>
    <row r="5" spans="1:2" ht="28">
      <c r="A5" s="3" t="s">
        <v>4095</v>
      </c>
      <c r="B5" s="3" t="s">
        <v>4096</v>
      </c>
    </row>
    <row r="6" spans="1:2" ht="42">
      <c r="A6" s="3" t="s">
        <v>4097</v>
      </c>
      <c r="B6" s="3" t="s">
        <v>4098</v>
      </c>
    </row>
    <row r="7" spans="1:2" ht="56">
      <c r="A7" s="3" t="s">
        <v>4099</v>
      </c>
      <c r="B7" s="3" t="s">
        <v>4100</v>
      </c>
    </row>
    <row r="8" spans="1:2" ht="28">
      <c r="A8" s="3" t="s">
        <v>4101</v>
      </c>
      <c r="B8" s="3" t="s">
        <v>4102</v>
      </c>
    </row>
    <row r="9" spans="1:2" ht="42">
      <c r="A9" s="3" t="s">
        <v>4103</v>
      </c>
      <c r="B9" s="3" t="s">
        <v>4104</v>
      </c>
    </row>
    <row r="10" spans="1:2" ht="70">
      <c r="A10" s="3" t="s">
        <v>4105</v>
      </c>
      <c r="B10" s="3" t="s">
        <v>4106</v>
      </c>
    </row>
    <row r="11" spans="1:2" ht="28">
      <c r="A11" s="3" t="s">
        <v>4107</v>
      </c>
      <c r="B11" s="3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 text field &amp; Validat date</vt:lpstr>
      <vt:lpstr>Handle duplicates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Mansi Varma</cp:lastModifiedBy>
  <dcterms:modified xsi:type="dcterms:W3CDTF">2026-06-28T18:12:31Z</dcterms:modified>
</cp:coreProperties>
</file>